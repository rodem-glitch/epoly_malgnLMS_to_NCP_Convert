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WKL1\Desktop\MalgnLMS\통계\"/>
    </mc:Choice>
  </mc:AlternateContent>
  <bookViews>
    <workbookView xWindow="0" yWindow="0" windowWidth="38400" windowHeight="17670"/>
  </bookViews>
  <sheets>
    <sheet name="Sheet1" sheetId="1" r:id="rId1"/>
  </sheets>
  <calcPr calcId="152511" iterateDelta="0"/>
</workbook>
</file>

<file path=xl/calcChain.xml><?xml version="1.0" encoding="utf-8"?>
<calcChain xmlns="http://schemas.openxmlformats.org/spreadsheetml/2006/main">
  <c r="M11" i="1" l="1"/>
  <c r="N11" i="1" s="1"/>
  <c r="L11" i="1"/>
  <c r="K11" i="1"/>
  <c r="I11" i="1"/>
  <c r="J11" i="1" s="1"/>
  <c r="H11" i="1"/>
</calcChain>
</file>

<file path=xl/sharedStrings.xml><?xml version="1.0" encoding="utf-8"?>
<sst xmlns="http://schemas.openxmlformats.org/spreadsheetml/2006/main" count="30" uniqueCount="30">
  <si>
    <t>※학년도 기준 학과별 학과명, 정원, 입학인원, 졸업인원, 취업대상자, 취업자, 취업률, 취업유지율</t>
  </si>
  <si>
    <t>※학위과정: 2024학년도 3월 입학, '26년2월 졸업, '26년 12월 31일 시점 취업현황이 '27년 12월 정보공시</t>
  </si>
  <si>
    <t>※전문기술,하이테크과정: 2024학년도 3월 입학, '25년 2월 수료, '25년 3월 31일 시점 취업현황</t>
  </si>
  <si>
    <t>※전문기술,하이테크과정: 2024학년도 3월 입학, '25년 2월 수료새부터 "4대보험+사업자(내부평가기준동일)=취업률 추가 관리"</t>
  </si>
  <si>
    <t>※ 신중년(단기),여성재취업과정 운영직종(3.15.기준)은 캠퍼스 사정에 따라 변경될 수 있음</t>
  </si>
  <si>
    <t>대 학</t>
  </si>
  <si>
    <t>캠퍼스</t>
  </si>
  <si>
    <t>과정</t>
  </si>
  <si>
    <t>학 과</t>
  </si>
  <si>
    <t>직종</t>
  </si>
  <si>
    <t>계열</t>
  </si>
  <si>
    <t>구 분</t>
  </si>
  <si>
    <t>정원</t>
  </si>
  <si>
    <t>입학인원</t>
  </si>
  <si>
    <t>입학률</t>
  </si>
  <si>
    <t>졸업(양성)자</t>
  </si>
  <si>
    <t>취업
대상자수</t>
  </si>
  <si>
    <t>취업자수</t>
  </si>
  <si>
    <t>취업률</t>
  </si>
  <si>
    <t>4대+사업자</t>
  </si>
  <si>
    <t>4대취업률</t>
  </si>
  <si>
    <t>취업유지율</t>
  </si>
  <si>
    <t>비고</t>
  </si>
  <si>
    <t>Ⅰ대학</t>
  </si>
  <si>
    <t>서울정수</t>
  </si>
  <si>
    <t>하이테크과정</t>
  </si>
  <si>
    <t>기계시스템디자인</t>
  </si>
  <si>
    <t>제품디자인</t>
  </si>
  <si>
    <t>기계</t>
  </si>
  <si>
    <t>주간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</si>
</sst>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%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2" applyNumberFormat="1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 applyProtection="1">
      <alignment horizontal="center" vertical="center" shrinkToFit="1"/>
      <protection locked="0"/>
    </xf>
    <xf numFmtId="0" fontId="10" fillId="2" borderId="1" xfId="0" applyFont="1" applyFill="1" applyBorder="1" applyAlignment="1" applyProtection="1">
      <alignment horizontal="center" vertical="center" shrinkToFit="1"/>
      <protection locked="0"/>
    </xf>
    <xf numFmtId="0" fontId="7" fillId="0" borderId="1" xfId="0" applyFont="1" applyBorder="1" applyAlignment="1">
      <alignment horizontal="center" vertical="center" shrinkToFit="1"/>
    </xf>
    <xf numFmtId="176" fontId="0" fillId="0" borderId="0" xfId="1" applyNumberFormat="1" applyFont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176" fontId="0" fillId="0" borderId="0" xfId="2" applyNumberFormat="1" applyFont="1" applyAlignment="1">
      <alignment horizontal="center" vertical="center"/>
    </xf>
    <xf numFmtId="176" fontId="10" fillId="3" borderId="1" xfId="0" applyNumberFormat="1" applyFont="1" applyFill="1" applyBorder="1" applyAlignment="1" applyProtection="1">
      <alignment horizontal="center" vertical="center" shrinkToFit="1"/>
      <protection locked="0"/>
    </xf>
    <xf numFmtId="176" fontId="10" fillId="2" borderId="1" xfId="0" applyNumberFormat="1" applyFont="1" applyFill="1" applyBorder="1" applyAlignment="1" applyProtection="1">
      <alignment horizontal="center" vertical="center" shrinkToFit="1"/>
      <protection locked="0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abSelected="1" workbookViewId="0">
      <selection activeCell="M11" sqref="M11"/>
    </sheetView>
  </sheetViews>
  <sheetFormatPr defaultRowHeight="16.5" x14ac:dyDescent="0.3"/>
  <sheetData>
    <row r="1" spans="1:20" x14ac:dyDescent="0.3">
      <c r="A1" s="1"/>
      <c r="B1" s="1"/>
      <c r="C1" s="1"/>
      <c r="D1" s="1"/>
      <c r="E1" s="1"/>
      <c r="F1" s="1"/>
      <c r="G1" s="1"/>
      <c r="H1" s="2"/>
      <c r="I1" s="2"/>
      <c r="J1" s="22"/>
      <c r="K1" s="3"/>
      <c r="L1" s="1"/>
      <c r="M1" s="1"/>
      <c r="N1" s="1"/>
      <c r="O1" s="1"/>
      <c r="P1" s="1"/>
      <c r="Q1" s="1"/>
      <c r="R1" s="1"/>
      <c r="S1" s="1"/>
      <c r="T1" s="4"/>
    </row>
    <row r="2" spans="1:20" x14ac:dyDescent="0.3">
      <c r="A2" s="4" t="s">
        <v>0</v>
      </c>
      <c r="B2" s="1"/>
      <c r="C2" s="1"/>
      <c r="D2" s="1"/>
      <c r="E2" s="1"/>
      <c r="F2" s="1"/>
      <c r="G2" s="1"/>
      <c r="H2" s="2"/>
      <c r="I2" s="2"/>
      <c r="J2" s="22"/>
      <c r="K2" s="3"/>
      <c r="L2" s="1"/>
      <c r="M2" s="1"/>
      <c r="N2" s="1"/>
      <c r="O2" s="1"/>
      <c r="P2" s="1"/>
      <c r="Q2" s="1"/>
      <c r="R2" s="1"/>
      <c r="S2" s="1"/>
      <c r="T2" s="4"/>
    </row>
    <row r="3" spans="1:20" s="10" customFormat="1" x14ac:dyDescent="0.3">
      <c r="A3" s="5" t="s">
        <v>1</v>
      </c>
      <c r="B3" s="6"/>
      <c r="C3" s="6"/>
      <c r="D3" s="6"/>
      <c r="E3" s="6"/>
      <c r="F3" s="6"/>
      <c r="G3" s="6"/>
      <c r="H3" s="7"/>
      <c r="I3" s="7"/>
      <c r="J3" s="23"/>
      <c r="K3" s="8"/>
      <c r="L3" s="6"/>
      <c r="M3" s="6"/>
      <c r="N3" s="6"/>
      <c r="O3" s="6"/>
      <c r="P3" s="6"/>
      <c r="Q3" s="6"/>
      <c r="R3" s="6"/>
      <c r="S3" s="6"/>
      <c r="T3" s="9"/>
    </row>
    <row r="4" spans="1:20" s="10" customFormat="1" x14ac:dyDescent="0.3">
      <c r="A4" s="5" t="s">
        <v>2</v>
      </c>
      <c r="B4" s="11"/>
      <c r="C4" s="11"/>
      <c r="D4" s="11"/>
      <c r="E4" s="11"/>
      <c r="F4" s="11"/>
      <c r="G4" s="6"/>
      <c r="H4" s="7"/>
      <c r="I4" s="7"/>
      <c r="J4" s="23"/>
      <c r="K4" s="8"/>
      <c r="L4" s="6"/>
      <c r="M4" s="6"/>
      <c r="N4" s="6"/>
      <c r="O4" s="6"/>
      <c r="P4" s="6"/>
      <c r="Q4" s="6"/>
      <c r="R4" s="6"/>
      <c r="S4" s="6"/>
      <c r="T4" s="9"/>
    </row>
    <row r="5" spans="1:20" s="10" customFormat="1" ht="21" customHeight="1" x14ac:dyDescent="0.3">
      <c r="A5" s="12" t="s">
        <v>3</v>
      </c>
      <c r="B5" s="13"/>
      <c r="C5" s="13"/>
      <c r="D5" s="13"/>
      <c r="E5" s="13"/>
      <c r="F5" s="13"/>
      <c r="G5" s="6"/>
      <c r="H5" s="7"/>
      <c r="I5" s="7"/>
      <c r="J5" s="23"/>
      <c r="K5" s="8"/>
      <c r="L5" s="6"/>
      <c r="M5" s="6"/>
      <c r="N5" s="6"/>
      <c r="O5" s="6"/>
      <c r="P5" s="6"/>
      <c r="Q5" s="6"/>
      <c r="R5" s="6"/>
      <c r="S5" s="6"/>
      <c r="T5" s="9"/>
    </row>
    <row r="6" spans="1:20" s="10" customFormat="1" x14ac:dyDescent="0.3">
      <c r="A6" s="14"/>
      <c r="B6" s="6"/>
      <c r="C6" s="6"/>
      <c r="D6" s="6"/>
      <c r="E6" s="6"/>
      <c r="F6" s="6"/>
      <c r="G6" s="6"/>
      <c r="H6" s="7"/>
      <c r="I6" s="7"/>
      <c r="J6" s="23"/>
      <c r="K6" s="8"/>
      <c r="L6" s="6"/>
      <c r="M6" s="6"/>
      <c r="N6" s="6"/>
      <c r="O6" s="6"/>
      <c r="P6" s="6"/>
      <c r="Q6" s="6"/>
      <c r="R6" s="6"/>
      <c r="S6" s="6"/>
      <c r="T6" s="9"/>
    </row>
    <row r="7" spans="1:20" s="10" customFormat="1" x14ac:dyDescent="0.3">
      <c r="A7" s="15"/>
      <c r="B7" s="6"/>
      <c r="C7" s="6"/>
      <c r="D7" s="6"/>
      <c r="E7" s="6"/>
      <c r="F7" s="6"/>
      <c r="G7" s="6"/>
      <c r="H7" s="7"/>
      <c r="I7" s="7"/>
      <c r="J7" s="23"/>
      <c r="K7" s="8"/>
      <c r="L7" s="9"/>
      <c r="M7" s="6"/>
      <c r="N7" s="6"/>
      <c r="O7" s="6"/>
      <c r="P7" s="6"/>
      <c r="Q7" s="6"/>
      <c r="R7" s="6"/>
      <c r="S7" s="6"/>
      <c r="T7" s="9"/>
    </row>
    <row r="8" spans="1:20" s="10" customFormat="1" x14ac:dyDescent="0.3">
      <c r="A8" s="15"/>
      <c r="B8" s="6"/>
      <c r="C8" s="6"/>
      <c r="D8" s="6"/>
      <c r="E8" s="6"/>
      <c r="F8" s="6"/>
      <c r="G8" s="6"/>
      <c r="H8" s="7"/>
      <c r="I8" s="7"/>
      <c r="J8" s="23"/>
      <c r="K8" s="8"/>
      <c r="L8" s="6"/>
      <c r="M8" s="6"/>
      <c r="N8" s="6"/>
      <c r="O8" s="6"/>
      <c r="P8" s="6"/>
      <c r="Q8" s="6"/>
      <c r="R8" s="6"/>
      <c r="S8" s="6"/>
      <c r="T8" s="9"/>
    </row>
    <row r="9" spans="1:20" s="10" customFormat="1" x14ac:dyDescent="0.3">
      <c r="A9" s="15"/>
      <c r="B9" s="6"/>
      <c r="C9" s="6"/>
      <c r="D9" s="6"/>
      <c r="E9" s="6"/>
      <c r="F9" s="6"/>
      <c r="G9" s="6"/>
      <c r="H9" s="7"/>
      <c r="I9" s="7"/>
      <c r="J9" s="23"/>
      <c r="K9" s="8"/>
      <c r="L9" s="6"/>
      <c r="M9" s="6"/>
      <c r="N9" s="6"/>
      <c r="O9" s="6"/>
      <c r="P9" s="6"/>
      <c r="Q9" s="6"/>
      <c r="R9" s="6"/>
      <c r="S9" s="6"/>
      <c r="T9" s="9"/>
    </row>
    <row r="10" spans="1:20" s="10" customFormat="1" x14ac:dyDescent="0.3">
      <c r="A10" s="16" t="s">
        <v>4</v>
      </c>
      <c r="B10" s="6"/>
      <c r="C10" s="6"/>
      <c r="D10" s="6"/>
      <c r="E10" s="6"/>
      <c r="F10" s="6"/>
      <c r="G10" s="6"/>
      <c r="H10" s="7"/>
      <c r="I10" s="7"/>
      <c r="J10" s="23"/>
      <c r="K10" s="8"/>
      <c r="L10" s="6"/>
      <c r="M10" s="6"/>
      <c r="N10" s="6"/>
      <c r="O10" s="6"/>
      <c r="P10" s="6"/>
      <c r="Q10" s="6"/>
      <c r="R10" s="6"/>
      <c r="S10" s="6"/>
      <c r="T10" s="9"/>
    </row>
    <row r="11" spans="1:20" ht="21.75" customHeight="1" x14ac:dyDescent="0.3">
      <c r="A11" s="1"/>
      <c r="B11" s="1"/>
      <c r="C11" s="1"/>
      <c r="D11" s="1"/>
      <c r="E11" s="1"/>
      <c r="F11" s="1"/>
      <c r="G11" s="1"/>
      <c r="H11" s="2">
        <f>SUBTOTAL(9,H13:H614)</f>
        <v>136</v>
      </c>
      <c r="I11" s="2">
        <f>SUBTOTAL(9,I13:I614)</f>
        <v>269</v>
      </c>
      <c r="J11" s="22">
        <f>I11/H11</f>
        <v>1.9779411764705883</v>
      </c>
      <c r="K11" s="2">
        <f>SUBTOTAL(9,K13:K614)</f>
        <v>471</v>
      </c>
      <c r="L11" s="2">
        <f>SUBTOTAL(9,L13:L614)</f>
        <v>394</v>
      </c>
      <c r="M11" s="2">
        <f>SUBTOTAL(9,M13:M614)</f>
        <v>357</v>
      </c>
      <c r="N11" s="24">
        <f>M11/L11</f>
        <v>0.90609137055837563</v>
      </c>
      <c r="O11" s="24"/>
      <c r="P11" s="24"/>
      <c r="Q11" s="24"/>
      <c r="R11" s="17"/>
      <c r="S11" s="1"/>
      <c r="T11" s="4"/>
    </row>
    <row r="12" spans="1:20" ht="48" customHeight="1" x14ac:dyDescent="0.3">
      <c r="A12" s="18" t="s">
        <v>5</v>
      </c>
      <c r="B12" s="18" t="s">
        <v>6</v>
      </c>
      <c r="C12" s="18" t="s">
        <v>7</v>
      </c>
      <c r="D12" s="18" t="s">
        <v>8</v>
      </c>
      <c r="E12" s="18" t="s">
        <v>9</v>
      </c>
      <c r="F12" s="18" t="s">
        <v>10</v>
      </c>
      <c r="G12" s="18" t="s">
        <v>11</v>
      </c>
      <c r="H12" s="19" t="s">
        <v>12</v>
      </c>
      <c r="I12" s="19" t="s">
        <v>13</v>
      </c>
      <c r="J12" s="25" t="s">
        <v>14</v>
      </c>
      <c r="K12" s="19" t="s">
        <v>15</v>
      </c>
      <c r="L12" s="25" t="s">
        <v>16</v>
      </c>
      <c r="M12" s="25" t="s">
        <v>17</v>
      </c>
      <c r="N12" s="25" t="s">
        <v>18</v>
      </c>
      <c r="O12" s="26" t="s">
        <v>19</v>
      </c>
      <c r="P12" s="26" t="s">
        <v>20</v>
      </c>
      <c r="Q12" s="26"/>
      <c r="R12" s="20"/>
      <c r="S12" s="19" t="s">
        <v>21</v>
      </c>
      <c r="T12" s="25" t="s">
        <v>22</v>
      </c>
    </row>
    <row r="13" spans="1:20" x14ac:dyDescent="0.3">
      <c r="A13" s="21" t="s">
        <v>23</v>
      </c>
      <c r="B13" s="21" t="s">
        <v>24</v>
      </c>
      <c r="C13" s="21" t="s">
        <v>25</v>
      </c>
      <c r="D13" s="21" t="s">
        <v>26</v>
      </c>
      <c r="E13" s="21" t="s">
        <v>27</v>
      </c>
      <c r="F13" s="21" t="s">
        <v>28</v>
      </c>
      <c r="G13" s="21" t="s">
        <v>29</v>
      </c>
      <c r="H13">
        <v>136</v>
      </c>
      <c r="I13">
        <v>269</v>
      </c>
      <c r="K13">
        <v>471</v>
      </c>
      <c r="L13">
        <v>394</v>
      </c>
      <c r="M13">
        <v>357</v>
      </c>
      <c r="N13">
        <v>218</v>
      </c>
      <c r="P13">
        <v>269</v>
      </c>
      <c r="S13">
        <v>79.900000000000006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NEWKL1</cp:lastModifiedBy>
  <dcterms:created xsi:type="dcterms:W3CDTF">2025-12-01T06:00:38Z</dcterms:created>
  <dcterms:modified xsi:type="dcterms:W3CDTF">2026-01-23T08:58:59Z</dcterms:modified>
</cp:coreProperties>
</file>