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EWKL1\Desktop\MalgnLMS\통계\"/>
    </mc:Choice>
  </mc:AlternateContent>
  <bookViews>
    <workbookView xWindow="0" yWindow="0" windowWidth="38400" windowHeight="17670" activeTab="1"/>
  </bookViews>
  <sheets>
    <sheet name="캠퍼스별" sheetId="1" r:id="rId1"/>
    <sheet name="2025.11.25. 24시" sheetId="2" r:id="rId2"/>
  </sheets>
  <calcPr calcId="152511" iterateDelta="0"/>
</workbook>
</file>

<file path=xl/calcChain.xml><?xml version="1.0" encoding="utf-8"?>
<calcChain xmlns="http://schemas.openxmlformats.org/spreadsheetml/2006/main">
  <c r="AZ21" i="2" l="1"/>
  <c r="BA211" i="2" l="1"/>
  <c r="BS210" i="2"/>
  <c r="BN210" i="2"/>
  <c r="BM210" i="2"/>
  <c r="BR210" i="2" s="1"/>
  <c r="BI210" i="2"/>
  <c r="BW210" i="2" s="1"/>
  <c r="BE210" i="2"/>
  <c r="BD210" i="2"/>
  <c r="AZ210" i="2"/>
  <c r="AX210" i="2"/>
  <c r="AM210" i="2"/>
  <c r="AR210" i="2" s="1"/>
  <c r="AI210" i="2"/>
  <c r="AE210" i="2"/>
  <c r="AD210" i="2"/>
  <c r="Z210" i="2"/>
  <c r="Y210" i="2"/>
  <c r="R210" i="2"/>
  <c r="Q210" i="2"/>
  <c r="V210" i="2" s="1"/>
  <c r="P210" i="2"/>
  <c r="O210" i="2"/>
  <c r="N210" i="2"/>
  <c r="L210" i="2" s="1"/>
  <c r="G210" i="2" s="1"/>
  <c r="M210" i="2"/>
  <c r="BW209" i="2"/>
  <c r="BS209" i="2"/>
  <c r="BR209" i="2"/>
  <c r="BN209" i="2"/>
  <c r="BM209" i="2"/>
  <c r="BI209" i="2"/>
  <c r="BI208" i="2" s="1"/>
  <c r="BE209" i="2"/>
  <c r="BD209" i="2"/>
  <c r="AZ209" i="2"/>
  <c r="AZ208" i="2" s="1"/>
  <c r="AX209" i="2"/>
  <c r="AM209" i="2"/>
  <c r="AI209" i="2"/>
  <c r="AR209" i="2" s="1"/>
  <c r="AE209" i="2"/>
  <c r="AD209" i="2"/>
  <c r="AD208" i="2" s="1"/>
  <c r="Z209" i="2"/>
  <c r="Y209" i="2"/>
  <c r="R209" i="2"/>
  <c r="Q209" i="2"/>
  <c r="V209" i="2" s="1"/>
  <c r="P209" i="2"/>
  <c r="P208" i="2" s="1"/>
  <c r="O209" i="2"/>
  <c r="O208" i="2" s="1"/>
  <c r="N209" i="2"/>
  <c r="M209" i="2" s="1"/>
  <c r="M208" i="2" s="1"/>
  <c r="BV208" i="2"/>
  <c r="BU208" i="2"/>
  <c r="BT208" i="2"/>
  <c r="BS208" i="2" s="1"/>
  <c r="BW208" i="2" s="1"/>
  <c r="BQ208" i="2"/>
  <c r="BP208" i="2"/>
  <c r="BO208" i="2"/>
  <c r="BN208" i="2" s="1"/>
  <c r="BM208" i="2" s="1"/>
  <c r="BL208" i="2"/>
  <c r="BK208" i="2"/>
  <c r="BJ208" i="2"/>
  <c r="BH208" i="2"/>
  <c r="BG208" i="2"/>
  <c r="BF208" i="2"/>
  <c r="BE208" i="2"/>
  <c r="BD208" i="2"/>
  <c r="AT208" i="2"/>
  <c r="AM208" i="2"/>
  <c r="AH208" i="2"/>
  <c r="AG208" i="2"/>
  <c r="AF208" i="2"/>
  <c r="AE208" i="2"/>
  <c r="AC208" i="2"/>
  <c r="AB208" i="2"/>
  <c r="AA208" i="2"/>
  <c r="Z208" i="2"/>
  <c r="X208" i="2"/>
  <c r="W208" i="2"/>
  <c r="U208" i="2"/>
  <c r="T208" i="2"/>
  <c r="S208" i="2"/>
  <c r="R208" i="2"/>
  <c r="Q208" i="2"/>
  <c r="V208" i="2" s="1"/>
  <c r="N208" i="2"/>
  <c r="K208" i="2"/>
  <c r="J208" i="2"/>
  <c r="I208" i="2"/>
  <c r="H208" i="2"/>
  <c r="F208" i="2"/>
  <c r="BS207" i="2"/>
  <c r="BN207" i="2"/>
  <c r="BM207" i="2" s="1"/>
  <c r="BI207" i="2"/>
  <c r="BW207" i="2" s="1"/>
  <c r="BE207" i="2"/>
  <c r="BD207" i="2"/>
  <c r="AZ207" i="2"/>
  <c r="AM207" i="2"/>
  <c r="AR207" i="2" s="1"/>
  <c r="AI207" i="2"/>
  <c r="AX207" i="2" s="1"/>
  <c r="AE207" i="2"/>
  <c r="AD207" i="2" s="1"/>
  <c r="Z207" i="2"/>
  <c r="Y207" i="2" s="1"/>
  <c r="V207" i="2"/>
  <c r="R207" i="2"/>
  <c r="Q207" i="2"/>
  <c r="P207" i="2"/>
  <c r="O207" i="2"/>
  <c r="N207" i="2"/>
  <c r="M207" i="2"/>
  <c r="L207" i="2"/>
  <c r="G207" i="2" s="1"/>
  <c r="BS206" i="2"/>
  <c r="BW206" i="2" s="1"/>
  <c r="BN206" i="2"/>
  <c r="BM206" i="2" s="1"/>
  <c r="BR206" i="2" s="1"/>
  <c r="BI206" i="2"/>
  <c r="BE206" i="2"/>
  <c r="BD206" i="2" s="1"/>
  <c r="AZ206" i="2"/>
  <c r="AX206" i="2"/>
  <c r="AR206" i="2"/>
  <c r="AM206" i="2"/>
  <c r="AI206" i="2"/>
  <c r="AE206" i="2"/>
  <c r="AD206" i="2" s="1"/>
  <c r="Z206" i="2"/>
  <c r="Y206" i="2" s="1"/>
  <c r="R206" i="2"/>
  <c r="Q206" i="2" s="1"/>
  <c r="V206" i="2" s="1"/>
  <c r="P206" i="2"/>
  <c r="O206" i="2"/>
  <c r="N206" i="2"/>
  <c r="M206" i="2" s="1"/>
  <c r="BS205" i="2"/>
  <c r="BW205" i="2" s="1"/>
  <c r="BN205" i="2"/>
  <c r="BM205" i="2"/>
  <c r="BR205" i="2" s="1"/>
  <c r="BI205" i="2"/>
  <c r="BE205" i="2"/>
  <c r="BD205" i="2"/>
  <c r="AZ205" i="2"/>
  <c r="AX205" i="2"/>
  <c r="AM205" i="2"/>
  <c r="AR205" i="2" s="1"/>
  <c r="AI205" i="2"/>
  <c r="AE205" i="2"/>
  <c r="AD205" i="2" s="1"/>
  <c r="Z205" i="2"/>
  <c r="Y205" i="2"/>
  <c r="R205" i="2"/>
  <c r="Q205" i="2"/>
  <c r="V205" i="2" s="1"/>
  <c r="P205" i="2"/>
  <c r="O205" i="2"/>
  <c r="N205" i="2"/>
  <c r="L205" i="2" s="1"/>
  <c r="G205" i="2" s="1"/>
  <c r="M205" i="2"/>
  <c r="BS204" i="2"/>
  <c r="BW204" i="2" s="1"/>
  <c r="BN204" i="2"/>
  <c r="BM204" i="2"/>
  <c r="BR204" i="2" s="1"/>
  <c r="BI204" i="2"/>
  <c r="BE204" i="2"/>
  <c r="BD204" i="2" s="1"/>
  <c r="AZ204" i="2"/>
  <c r="AX204" i="2"/>
  <c r="AM204" i="2"/>
  <c r="AR204" i="2" s="1"/>
  <c r="AI204" i="2"/>
  <c r="AE204" i="2"/>
  <c r="AD204" i="2"/>
  <c r="Z204" i="2"/>
  <c r="Y204" i="2"/>
  <c r="R204" i="2"/>
  <c r="Q204" i="2" s="1"/>
  <c r="V204" i="2" s="1"/>
  <c r="P204" i="2"/>
  <c r="O204" i="2"/>
  <c r="L204" i="2" s="1"/>
  <c r="G204" i="2" s="1"/>
  <c r="N204" i="2"/>
  <c r="M204" i="2"/>
  <c r="BS203" i="2"/>
  <c r="BW203" i="2" s="1"/>
  <c r="BN203" i="2"/>
  <c r="BM203" i="2"/>
  <c r="BR203" i="2" s="1"/>
  <c r="BI203" i="2"/>
  <c r="BE203" i="2"/>
  <c r="BD203" i="2"/>
  <c r="AZ203" i="2"/>
  <c r="AX203" i="2"/>
  <c r="AM203" i="2"/>
  <c r="AR203" i="2" s="1"/>
  <c r="AI203" i="2"/>
  <c r="AE203" i="2"/>
  <c r="AD203" i="2" s="1"/>
  <c r="Z203" i="2"/>
  <c r="Y203" i="2"/>
  <c r="R203" i="2"/>
  <c r="Q203" i="2"/>
  <c r="V203" i="2" s="1"/>
  <c r="P203" i="2"/>
  <c r="O203" i="2"/>
  <c r="N203" i="2"/>
  <c r="BS202" i="2"/>
  <c r="BW202" i="2" s="1"/>
  <c r="BN202" i="2"/>
  <c r="BM202" i="2" s="1"/>
  <c r="BR202" i="2" s="1"/>
  <c r="BI202" i="2"/>
  <c r="BE202" i="2"/>
  <c r="BD202" i="2"/>
  <c r="AZ202" i="2"/>
  <c r="AM202" i="2"/>
  <c r="AR202" i="2" s="1"/>
  <c r="AI202" i="2"/>
  <c r="AX202" i="2" s="1"/>
  <c r="AE202" i="2"/>
  <c r="AD202" i="2"/>
  <c r="Z202" i="2"/>
  <c r="Y202" i="2" s="1"/>
  <c r="R202" i="2"/>
  <c r="Q202" i="2"/>
  <c r="P202" i="2"/>
  <c r="O202" i="2"/>
  <c r="N202" i="2"/>
  <c r="L202" i="2" s="1"/>
  <c r="G202" i="2" s="1"/>
  <c r="M202" i="2"/>
  <c r="BS201" i="2"/>
  <c r="BN201" i="2"/>
  <c r="BM201" i="2" s="1"/>
  <c r="BI201" i="2"/>
  <c r="BW201" i="2" s="1"/>
  <c r="BE201" i="2"/>
  <c r="BD201" i="2"/>
  <c r="AZ201" i="2"/>
  <c r="AM201" i="2"/>
  <c r="AR201" i="2" s="1"/>
  <c r="AI201" i="2"/>
  <c r="AX201" i="2" s="1"/>
  <c r="AE201" i="2"/>
  <c r="AD201" i="2" s="1"/>
  <c r="Z201" i="2"/>
  <c r="Y201" i="2" s="1"/>
  <c r="V201" i="2"/>
  <c r="R201" i="2"/>
  <c r="Q201" i="2"/>
  <c r="P201" i="2"/>
  <c r="O201" i="2"/>
  <c r="N201" i="2"/>
  <c r="M201" i="2"/>
  <c r="L201" i="2"/>
  <c r="G201" i="2" s="1"/>
  <c r="BS200" i="2"/>
  <c r="BW200" i="2" s="1"/>
  <c r="BN200" i="2"/>
  <c r="BM200" i="2" s="1"/>
  <c r="BR200" i="2" s="1"/>
  <c r="BI200" i="2"/>
  <c r="BE200" i="2"/>
  <c r="BD200" i="2"/>
  <c r="AZ200" i="2"/>
  <c r="AX200" i="2"/>
  <c r="AR200" i="2"/>
  <c r="AM200" i="2"/>
  <c r="AI200" i="2"/>
  <c r="AE200" i="2"/>
  <c r="AD200" i="2" s="1"/>
  <c r="AD199" i="2" s="1"/>
  <c r="Z200" i="2"/>
  <c r="R200" i="2"/>
  <c r="Q200" i="2"/>
  <c r="V200" i="2" s="1"/>
  <c r="P200" i="2"/>
  <c r="O200" i="2"/>
  <c r="O199" i="2" s="1"/>
  <c r="N200" i="2"/>
  <c r="M200" i="2" s="1"/>
  <c r="BV199" i="2"/>
  <c r="BU199" i="2"/>
  <c r="BT199" i="2"/>
  <c r="BQ199" i="2"/>
  <c r="BP199" i="2"/>
  <c r="BO199" i="2"/>
  <c r="BN199" i="2" s="1"/>
  <c r="BM199" i="2" s="1"/>
  <c r="BL199" i="2"/>
  <c r="BK199" i="2"/>
  <c r="BJ199" i="2"/>
  <c r="BJ187" i="2" s="1"/>
  <c r="BH199" i="2"/>
  <c r="BG199" i="2"/>
  <c r="BF199" i="2"/>
  <c r="BE199" i="2" s="1"/>
  <c r="BD199" i="2" s="1"/>
  <c r="AZ199" i="2"/>
  <c r="AT199" i="2"/>
  <c r="AM199" i="2"/>
  <c r="AI199" i="2"/>
  <c r="AR199" i="2" s="1"/>
  <c r="AH199" i="2"/>
  <c r="AG199" i="2"/>
  <c r="AF199" i="2"/>
  <c r="AC199" i="2"/>
  <c r="AB199" i="2"/>
  <c r="AA199" i="2"/>
  <c r="X199" i="2"/>
  <c r="W199" i="2"/>
  <c r="W187" i="2" s="1"/>
  <c r="U199" i="2"/>
  <c r="T199" i="2"/>
  <c r="S199" i="2"/>
  <c r="P199" i="2"/>
  <c r="K199" i="2"/>
  <c r="K187" i="2" s="1"/>
  <c r="J199" i="2"/>
  <c r="I199" i="2"/>
  <c r="H199" i="2"/>
  <c r="F199" i="2"/>
  <c r="BS198" i="2"/>
  <c r="BW198" i="2" s="1"/>
  <c r="BN198" i="2"/>
  <c r="BM198" i="2"/>
  <c r="BR198" i="2" s="1"/>
  <c r="BI198" i="2"/>
  <c r="BE198" i="2"/>
  <c r="BD198" i="2" s="1"/>
  <c r="AZ198" i="2"/>
  <c r="AM198" i="2"/>
  <c r="AI198" i="2"/>
  <c r="AX198" i="2" s="1"/>
  <c r="AE198" i="2"/>
  <c r="AD198" i="2" s="1"/>
  <c r="Z198" i="2"/>
  <c r="Y198" i="2"/>
  <c r="R198" i="2"/>
  <c r="Q198" i="2" s="1"/>
  <c r="V198" i="2" s="1"/>
  <c r="P198" i="2"/>
  <c r="O198" i="2"/>
  <c r="N198" i="2"/>
  <c r="M198" i="2" s="1"/>
  <c r="L198" i="2"/>
  <c r="G198" i="2"/>
  <c r="BS197" i="2"/>
  <c r="BW197" i="2" s="1"/>
  <c r="BN197" i="2"/>
  <c r="BM197" i="2"/>
  <c r="BR197" i="2" s="1"/>
  <c r="BI197" i="2"/>
  <c r="BE197" i="2"/>
  <c r="BD197" i="2"/>
  <c r="AZ197" i="2"/>
  <c r="AX197" i="2"/>
  <c r="AM197" i="2"/>
  <c r="AR197" i="2" s="1"/>
  <c r="AI197" i="2"/>
  <c r="AE197" i="2"/>
  <c r="AD197" i="2"/>
  <c r="Z197" i="2"/>
  <c r="Y197" i="2"/>
  <c r="R197" i="2"/>
  <c r="Q197" i="2"/>
  <c r="V197" i="2" s="1"/>
  <c r="P197" i="2"/>
  <c r="O197" i="2"/>
  <c r="N197" i="2"/>
  <c r="L197" i="2" s="1"/>
  <c r="G197" i="2" s="1"/>
  <c r="M197" i="2"/>
  <c r="BW196" i="2"/>
  <c r="BS196" i="2"/>
  <c r="BR196" i="2"/>
  <c r="BN196" i="2"/>
  <c r="BM196" i="2"/>
  <c r="BI196" i="2"/>
  <c r="BE196" i="2"/>
  <c r="BD196" i="2" s="1"/>
  <c r="AZ196" i="2"/>
  <c r="AX196" i="2"/>
  <c r="AM196" i="2"/>
  <c r="AR196" i="2" s="1"/>
  <c r="AI196" i="2"/>
  <c r="AE196" i="2"/>
  <c r="AD196" i="2"/>
  <c r="Z196" i="2"/>
  <c r="Y196" i="2"/>
  <c r="R196" i="2"/>
  <c r="Q196" i="2" s="1"/>
  <c r="V196" i="2" s="1"/>
  <c r="P196" i="2"/>
  <c r="O196" i="2"/>
  <c r="M196" i="2" s="1"/>
  <c r="N196" i="2"/>
  <c r="BW195" i="2"/>
  <c r="BS195" i="2"/>
  <c r="BN195" i="2"/>
  <c r="BM195" i="2"/>
  <c r="BR195" i="2" s="1"/>
  <c r="BI195" i="2"/>
  <c r="BE195" i="2"/>
  <c r="BD195" i="2"/>
  <c r="AZ195" i="2"/>
  <c r="AM195" i="2"/>
  <c r="AI195" i="2"/>
  <c r="AE195" i="2"/>
  <c r="AD195" i="2"/>
  <c r="Z195" i="2"/>
  <c r="Y195" i="2"/>
  <c r="R195" i="2"/>
  <c r="Q195" i="2"/>
  <c r="Q194" i="2" s="1"/>
  <c r="V194" i="2" s="1"/>
  <c r="P195" i="2"/>
  <c r="O195" i="2"/>
  <c r="N195" i="2"/>
  <c r="M195" i="2" s="1"/>
  <c r="L195" i="2"/>
  <c r="BV194" i="2"/>
  <c r="BU194" i="2"/>
  <c r="BT194" i="2"/>
  <c r="BS194" i="2"/>
  <c r="BW194" i="2" s="1"/>
  <c r="BQ194" i="2"/>
  <c r="BP194" i="2"/>
  <c r="BO194" i="2"/>
  <c r="BN194" i="2" s="1"/>
  <c r="BM194" i="2"/>
  <c r="BR194" i="2" s="1"/>
  <c r="BL194" i="2"/>
  <c r="BK194" i="2"/>
  <c r="BJ194" i="2"/>
  <c r="BI194" i="2"/>
  <c r="BH194" i="2"/>
  <c r="BG194" i="2"/>
  <c r="BF194" i="2"/>
  <c r="BE194" i="2" s="1"/>
  <c r="BD194" i="2" s="1"/>
  <c r="AZ194" i="2"/>
  <c r="AT194" i="2"/>
  <c r="AM194" i="2"/>
  <c r="AH194" i="2"/>
  <c r="AG194" i="2"/>
  <c r="AF194" i="2"/>
  <c r="AE194" i="2"/>
  <c r="AC194" i="2"/>
  <c r="AB194" i="2"/>
  <c r="AA194" i="2"/>
  <c r="Z194" i="2"/>
  <c r="X194" i="2"/>
  <c r="W194" i="2"/>
  <c r="U194" i="2"/>
  <c r="T194" i="2"/>
  <c r="S194" i="2"/>
  <c r="P194" i="2"/>
  <c r="N194" i="2"/>
  <c r="K194" i="2"/>
  <c r="J194" i="2"/>
  <c r="I194" i="2"/>
  <c r="H194" i="2"/>
  <c r="F194" i="2"/>
  <c r="BS193" i="2"/>
  <c r="BW193" i="2" s="1"/>
  <c r="BN193" i="2"/>
  <c r="BM193" i="2" s="1"/>
  <c r="BR193" i="2" s="1"/>
  <c r="BI193" i="2"/>
  <c r="BE193" i="2"/>
  <c r="BD193" i="2"/>
  <c r="AZ193" i="2"/>
  <c r="AX193" i="2"/>
  <c r="AR193" i="2"/>
  <c r="AM193" i="2"/>
  <c r="AI193" i="2"/>
  <c r="AE193" i="2"/>
  <c r="AD193" i="2" s="1"/>
  <c r="Z193" i="2"/>
  <c r="Y193" i="2" s="1"/>
  <c r="R193" i="2"/>
  <c r="Q193" i="2"/>
  <c r="V193" i="2" s="1"/>
  <c r="P193" i="2"/>
  <c r="O193" i="2"/>
  <c r="N193" i="2"/>
  <c r="M193" i="2" s="1"/>
  <c r="BS192" i="2"/>
  <c r="BW192" i="2" s="1"/>
  <c r="BN192" i="2"/>
  <c r="BM192" i="2"/>
  <c r="BR192" i="2" s="1"/>
  <c r="BI192" i="2"/>
  <c r="BE192" i="2"/>
  <c r="BD192" i="2"/>
  <c r="AZ192" i="2"/>
  <c r="AZ188" i="2" s="1"/>
  <c r="AZ187" i="2" s="1"/>
  <c r="AX192" i="2"/>
  <c r="AM192" i="2"/>
  <c r="AR192" i="2" s="1"/>
  <c r="AI192" i="2"/>
  <c r="AE192" i="2"/>
  <c r="AD192" i="2" s="1"/>
  <c r="Z192" i="2"/>
  <c r="Y192" i="2"/>
  <c r="R192" i="2"/>
  <c r="Q192" i="2"/>
  <c r="V192" i="2" s="1"/>
  <c r="P192" i="2"/>
  <c r="P188" i="2" s="1"/>
  <c r="P187" i="2" s="1"/>
  <c r="O192" i="2"/>
  <c r="N192" i="2"/>
  <c r="L192" i="2" s="1"/>
  <c r="M192" i="2"/>
  <c r="G192" i="2"/>
  <c r="BS191" i="2"/>
  <c r="BW191" i="2" s="1"/>
  <c r="BN191" i="2"/>
  <c r="BM191" i="2" s="1"/>
  <c r="BR191" i="2" s="1"/>
  <c r="BI191" i="2"/>
  <c r="BE191" i="2"/>
  <c r="BD191" i="2" s="1"/>
  <c r="AZ191" i="2"/>
  <c r="AX191" i="2"/>
  <c r="AM191" i="2"/>
  <c r="AR191" i="2" s="1"/>
  <c r="AI191" i="2"/>
  <c r="AE191" i="2"/>
  <c r="AD191" i="2"/>
  <c r="Z191" i="2"/>
  <c r="Y191" i="2" s="1"/>
  <c r="R191" i="2"/>
  <c r="Q191" i="2" s="1"/>
  <c r="V191" i="2" s="1"/>
  <c r="P191" i="2"/>
  <c r="O191" i="2"/>
  <c r="L191" i="2" s="1"/>
  <c r="G191" i="2" s="1"/>
  <c r="N191" i="2"/>
  <c r="M191" i="2"/>
  <c r="BS190" i="2"/>
  <c r="BW190" i="2" s="1"/>
  <c r="BN190" i="2"/>
  <c r="BM190" i="2"/>
  <c r="BR190" i="2" s="1"/>
  <c r="BI190" i="2"/>
  <c r="BE190" i="2"/>
  <c r="BD190" i="2"/>
  <c r="AZ190" i="2"/>
  <c r="AX190" i="2"/>
  <c r="AM190" i="2"/>
  <c r="AR190" i="2" s="1"/>
  <c r="AI190" i="2"/>
  <c r="AE190" i="2"/>
  <c r="AD190" i="2" s="1"/>
  <c r="Z190" i="2"/>
  <c r="Y190" i="2"/>
  <c r="R190" i="2"/>
  <c r="Q190" i="2"/>
  <c r="V190" i="2" s="1"/>
  <c r="P190" i="2"/>
  <c r="O190" i="2"/>
  <c r="N190" i="2"/>
  <c r="BS189" i="2"/>
  <c r="BW189" i="2" s="1"/>
  <c r="BR189" i="2"/>
  <c r="BN189" i="2"/>
  <c r="BM189" i="2"/>
  <c r="BI189" i="2"/>
  <c r="BI188" i="2" s="1"/>
  <c r="BE189" i="2"/>
  <c r="BD189" i="2"/>
  <c r="AZ189" i="2"/>
  <c r="AX189" i="2"/>
  <c r="AM189" i="2"/>
  <c r="AR189" i="2" s="1"/>
  <c r="AI189" i="2"/>
  <c r="AI188" i="2" s="1"/>
  <c r="AE189" i="2"/>
  <c r="AD189" i="2"/>
  <c r="AD188" i="2" s="1"/>
  <c r="Z189" i="2"/>
  <c r="Y189" i="2" s="1"/>
  <c r="Y188" i="2" s="1"/>
  <c r="R189" i="2"/>
  <c r="Q189" i="2"/>
  <c r="P189" i="2"/>
  <c r="O189" i="2"/>
  <c r="N189" i="2"/>
  <c r="L189" i="2" s="1"/>
  <c r="M189" i="2"/>
  <c r="BV188" i="2"/>
  <c r="BU188" i="2"/>
  <c r="BT188" i="2"/>
  <c r="BS188" i="2" s="1"/>
  <c r="BQ188" i="2"/>
  <c r="BP188" i="2"/>
  <c r="BP187" i="2" s="1"/>
  <c r="BO188" i="2"/>
  <c r="BN188" i="2"/>
  <c r="BM188" i="2" s="1"/>
  <c r="BL188" i="2"/>
  <c r="BL187" i="2" s="1"/>
  <c r="BK188" i="2"/>
  <c r="BK187" i="2" s="1"/>
  <c r="BJ188" i="2"/>
  <c r="BH188" i="2"/>
  <c r="BH187" i="2" s="1"/>
  <c r="BG188" i="2"/>
  <c r="BF188" i="2"/>
  <c r="AT188" i="2"/>
  <c r="AM188" i="2"/>
  <c r="AR188" i="2" s="1"/>
  <c r="AH188" i="2"/>
  <c r="AG188" i="2"/>
  <c r="AG187" i="2" s="1"/>
  <c r="AF188" i="2"/>
  <c r="AE188" i="2"/>
  <c r="AC188" i="2"/>
  <c r="AC187" i="2" s="1"/>
  <c r="AB188" i="2"/>
  <c r="AA188" i="2"/>
  <c r="AA187" i="2" s="1"/>
  <c r="X188" i="2"/>
  <c r="W188" i="2"/>
  <c r="U188" i="2"/>
  <c r="U187" i="2" s="1"/>
  <c r="T188" i="2"/>
  <c r="S188" i="2"/>
  <c r="S187" i="2" s="1"/>
  <c r="K188" i="2"/>
  <c r="J188" i="2"/>
  <c r="I188" i="2"/>
  <c r="I187" i="2" s="1"/>
  <c r="H188" i="2"/>
  <c r="F188" i="2"/>
  <c r="BU187" i="2"/>
  <c r="BQ187" i="2"/>
  <c r="BO187" i="2"/>
  <c r="BG187" i="2"/>
  <c r="AM187" i="2"/>
  <c r="AH187" i="2"/>
  <c r="AF187" i="2"/>
  <c r="AB187" i="2"/>
  <c r="T187" i="2"/>
  <c r="J187" i="2"/>
  <c r="H187" i="2"/>
  <c r="F187" i="2"/>
  <c r="BS186" i="2"/>
  <c r="BW186" i="2" s="1"/>
  <c r="BN186" i="2"/>
  <c r="BM186" i="2" s="1"/>
  <c r="BR186" i="2" s="1"/>
  <c r="BI186" i="2"/>
  <c r="BE186" i="2"/>
  <c r="BD186" i="2"/>
  <c r="AZ186" i="2"/>
  <c r="AX186" i="2"/>
  <c r="AR186" i="2"/>
  <c r="AM186" i="2"/>
  <c r="AI186" i="2"/>
  <c r="AE186" i="2"/>
  <c r="AD186" i="2" s="1"/>
  <c r="Z186" i="2"/>
  <c r="Y186" i="2" s="1"/>
  <c r="R186" i="2"/>
  <c r="Q186" i="2"/>
  <c r="V186" i="2" s="1"/>
  <c r="P186" i="2"/>
  <c r="O186" i="2"/>
  <c r="N186" i="2"/>
  <c r="M186" i="2" s="1"/>
  <c r="BS185" i="2"/>
  <c r="BW185" i="2" s="1"/>
  <c r="BN185" i="2"/>
  <c r="BM185" i="2"/>
  <c r="BR185" i="2" s="1"/>
  <c r="BI185" i="2"/>
  <c r="BE185" i="2"/>
  <c r="BD185" i="2"/>
  <c r="AZ185" i="2"/>
  <c r="AX185" i="2"/>
  <c r="AM185" i="2"/>
  <c r="AR185" i="2" s="1"/>
  <c r="AI185" i="2"/>
  <c r="AE185" i="2"/>
  <c r="AD185" i="2" s="1"/>
  <c r="Z185" i="2"/>
  <c r="Y185" i="2"/>
  <c r="R185" i="2"/>
  <c r="Q185" i="2"/>
  <c r="V185" i="2" s="1"/>
  <c r="P185" i="2"/>
  <c r="O185" i="2"/>
  <c r="N185" i="2"/>
  <c r="L185" i="2" s="1"/>
  <c r="M185" i="2"/>
  <c r="G185" i="2"/>
  <c r="BS184" i="2"/>
  <c r="BW184" i="2" s="1"/>
  <c r="BN184" i="2"/>
  <c r="BM184" i="2" s="1"/>
  <c r="BR184" i="2" s="1"/>
  <c r="BI184" i="2"/>
  <c r="BE184" i="2"/>
  <c r="BD184" i="2" s="1"/>
  <c r="AZ184" i="2"/>
  <c r="AX184" i="2"/>
  <c r="AM184" i="2"/>
  <c r="AR184" i="2" s="1"/>
  <c r="AI184" i="2"/>
  <c r="AE184" i="2"/>
  <c r="AD184" i="2"/>
  <c r="Z184" i="2"/>
  <c r="Y184" i="2" s="1"/>
  <c r="R184" i="2"/>
  <c r="Q184" i="2" s="1"/>
  <c r="V184" i="2" s="1"/>
  <c r="P184" i="2"/>
  <c r="O184" i="2"/>
  <c r="N184" i="2"/>
  <c r="L184" i="2" s="1"/>
  <c r="G184" i="2" s="1"/>
  <c r="M184" i="2"/>
  <c r="BS183" i="2"/>
  <c r="BW183" i="2" s="1"/>
  <c r="BN183" i="2"/>
  <c r="BM183" i="2"/>
  <c r="BR183" i="2" s="1"/>
  <c r="BI183" i="2"/>
  <c r="BE183" i="2"/>
  <c r="BD183" i="2"/>
  <c r="AZ183" i="2"/>
  <c r="AX183" i="2"/>
  <c r="AM183" i="2"/>
  <c r="AR183" i="2" s="1"/>
  <c r="AI183" i="2"/>
  <c r="AE183" i="2"/>
  <c r="AD183" i="2" s="1"/>
  <c r="Z183" i="2"/>
  <c r="Y183" i="2"/>
  <c r="R183" i="2"/>
  <c r="Q183" i="2"/>
  <c r="V183" i="2" s="1"/>
  <c r="P183" i="2"/>
  <c r="O183" i="2"/>
  <c r="N183" i="2"/>
  <c r="BS182" i="2"/>
  <c r="BW182" i="2" s="1"/>
  <c r="BR182" i="2"/>
  <c r="BN182" i="2"/>
  <c r="BM182" i="2"/>
  <c r="BI182" i="2"/>
  <c r="BE182" i="2"/>
  <c r="BD182" i="2"/>
  <c r="AZ182" i="2"/>
  <c r="AX182" i="2"/>
  <c r="AM182" i="2"/>
  <c r="AR182" i="2" s="1"/>
  <c r="AI182" i="2"/>
  <c r="AE182" i="2"/>
  <c r="AD182" i="2"/>
  <c r="Z182" i="2"/>
  <c r="Y182" i="2"/>
  <c r="R182" i="2"/>
  <c r="Q182" i="2"/>
  <c r="P182" i="2"/>
  <c r="O182" i="2"/>
  <c r="N182" i="2"/>
  <c r="L182" i="2" s="1"/>
  <c r="G182" i="2" s="1"/>
  <c r="M182" i="2"/>
  <c r="BS181" i="2"/>
  <c r="BN181" i="2"/>
  <c r="BM181" i="2" s="1"/>
  <c r="BI181" i="2"/>
  <c r="BW181" i="2" s="1"/>
  <c r="BE181" i="2"/>
  <c r="BD181" i="2"/>
  <c r="AZ181" i="2"/>
  <c r="AM181" i="2"/>
  <c r="AR181" i="2" s="1"/>
  <c r="AI181" i="2"/>
  <c r="AX181" i="2" s="1"/>
  <c r="AE181" i="2"/>
  <c r="AD181" i="2" s="1"/>
  <c r="Z181" i="2"/>
  <c r="Y181" i="2" s="1"/>
  <c r="V181" i="2"/>
  <c r="R181" i="2"/>
  <c r="Q181" i="2"/>
  <c r="P181" i="2"/>
  <c r="O181" i="2"/>
  <c r="N181" i="2"/>
  <c r="M181" i="2"/>
  <c r="L181" i="2"/>
  <c r="G181" i="2" s="1"/>
  <c r="BS180" i="2"/>
  <c r="BW180" i="2" s="1"/>
  <c r="BN180" i="2"/>
  <c r="BM180" i="2" s="1"/>
  <c r="BR180" i="2" s="1"/>
  <c r="BI180" i="2"/>
  <c r="BI179" i="2" s="1"/>
  <c r="BE180" i="2"/>
  <c r="BD180" i="2"/>
  <c r="AZ180" i="2"/>
  <c r="AX180" i="2"/>
  <c r="AR180" i="2"/>
  <c r="AM180" i="2"/>
  <c r="AI180" i="2"/>
  <c r="AE180" i="2"/>
  <c r="AD180" i="2" s="1"/>
  <c r="Z180" i="2"/>
  <c r="R180" i="2"/>
  <c r="R179" i="2" s="1"/>
  <c r="Q180" i="2"/>
  <c r="V180" i="2" s="1"/>
  <c r="P180" i="2"/>
  <c r="O180" i="2"/>
  <c r="O179" i="2" s="1"/>
  <c r="N180" i="2"/>
  <c r="M180" i="2" s="1"/>
  <c r="BV179" i="2"/>
  <c r="BV155" i="2" s="1"/>
  <c r="BU179" i="2"/>
  <c r="BT179" i="2"/>
  <c r="BQ179" i="2"/>
  <c r="BP179" i="2"/>
  <c r="BO179" i="2"/>
  <c r="BN179" i="2" s="1"/>
  <c r="BM179" i="2" s="1"/>
  <c r="BL179" i="2"/>
  <c r="BK179" i="2"/>
  <c r="BJ179" i="2"/>
  <c r="BJ155" i="2" s="1"/>
  <c r="BH179" i="2"/>
  <c r="BG179" i="2"/>
  <c r="BF179" i="2"/>
  <c r="BE179" i="2" s="1"/>
  <c r="BD179" i="2" s="1"/>
  <c r="AZ179" i="2"/>
  <c r="AT179" i="2"/>
  <c r="AX179" i="2" s="1"/>
  <c r="AM179" i="2"/>
  <c r="AI179" i="2"/>
  <c r="AR179" i="2" s="1"/>
  <c r="AH179" i="2"/>
  <c r="AG179" i="2"/>
  <c r="AF179" i="2"/>
  <c r="AC179" i="2"/>
  <c r="AB179" i="2"/>
  <c r="AA179" i="2"/>
  <c r="X179" i="2"/>
  <c r="W179" i="2"/>
  <c r="W155" i="2" s="1"/>
  <c r="U179" i="2"/>
  <c r="T179" i="2"/>
  <c r="S179" i="2"/>
  <c r="P179" i="2"/>
  <c r="K179" i="2"/>
  <c r="K155" i="2" s="1"/>
  <c r="J179" i="2"/>
  <c r="I179" i="2"/>
  <c r="H179" i="2"/>
  <c r="F179" i="2"/>
  <c r="BS178" i="2"/>
  <c r="BW178" i="2" s="1"/>
  <c r="BN178" i="2"/>
  <c r="BM178" i="2"/>
  <c r="BR178" i="2" s="1"/>
  <c r="BI178" i="2"/>
  <c r="BE178" i="2"/>
  <c r="BD178" i="2" s="1"/>
  <c r="AZ178" i="2"/>
  <c r="AM178" i="2"/>
  <c r="AI178" i="2"/>
  <c r="AX178" i="2" s="1"/>
  <c r="AE178" i="2"/>
  <c r="AD178" i="2" s="1"/>
  <c r="Z178" i="2"/>
  <c r="Y178" i="2"/>
  <c r="R178" i="2"/>
  <c r="Q178" i="2" s="1"/>
  <c r="V178" i="2" s="1"/>
  <c r="P178" i="2"/>
  <c r="O178" i="2"/>
  <c r="N178" i="2"/>
  <c r="M178" i="2" s="1"/>
  <c r="L178" i="2"/>
  <c r="G178" i="2"/>
  <c r="BS177" i="2"/>
  <c r="BW177" i="2" s="1"/>
  <c r="BN177" i="2"/>
  <c r="BM177" i="2"/>
  <c r="BR177" i="2" s="1"/>
  <c r="BI177" i="2"/>
  <c r="BE177" i="2"/>
  <c r="BD177" i="2" s="1"/>
  <c r="AZ177" i="2"/>
  <c r="AX177" i="2"/>
  <c r="AM177" i="2"/>
  <c r="AR177" i="2" s="1"/>
  <c r="AI177" i="2"/>
  <c r="AE177" i="2"/>
  <c r="AD177" i="2"/>
  <c r="Z177" i="2"/>
  <c r="Y177" i="2"/>
  <c r="R177" i="2"/>
  <c r="Q177" i="2" s="1"/>
  <c r="V177" i="2" s="1"/>
  <c r="P177" i="2"/>
  <c r="O177" i="2"/>
  <c r="N177" i="2"/>
  <c r="L177" i="2" s="1"/>
  <c r="G177" i="2" s="1"/>
  <c r="M177" i="2"/>
  <c r="BW176" i="2"/>
  <c r="BS176" i="2"/>
  <c r="BR176" i="2"/>
  <c r="BN176" i="2"/>
  <c r="BM176" i="2"/>
  <c r="BI176" i="2"/>
  <c r="BE176" i="2"/>
  <c r="BD176" i="2" s="1"/>
  <c r="AZ176" i="2"/>
  <c r="AX176" i="2"/>
  <c r="AM176" i="2"/>
  <c r="AR176" i="2" s="1"/>
  <c r="AI176" i="2"/>
  <c r="AE176" i="2"/>
  <c r="AD176" i="2"/>
  <c r="Z176" i="2"/>
  <c r="Y176" i="2"/>
  <c r="R176" i="2"/>
  <c r="Q176" i="2" s="1"/>
  <c r="V176" i="2" s="1"/>
  <c r="P176" i="2"/>
  <c r="O176" i="2"/>
  <c r="M176" i="2" s="1"/>
  <c r="N176" i="2"/>
  <c r="BW175" i="2"/>
  <c r="BS175" i="2"/>
  <c r="BN175" i="2"/>
  <c r="BM175" i="2"/>
  <c r="BR175" i="2" s="1"/>
  <c r="BI175" i="2"/>
  <c r="BE175" i="2"/>
  <c r="BD175" i="2"/>
  <c r="AZ175" i="2"/>
  <c r="AM175" i="2"/>
  <c r="AI175" i="2"/>
  <c r="AE175" i="2"/>
  <c r="AD175" i="2"/>
  <c r="Z175" i="2"/>
  <c r="Y175" i="2"/>
  <c r="R175" i="2"/>
  <c r="Q175" i="2"/>
  <c r="V175" i="2" s="1"/>
  <c r="P175" i="2"/>
  <c r="O175" i="2"/>
  <c r="N175" i="2"/>
  <c r="M175" i="2" s="1"/>
  <c r="L175" i="2"/>
  <c r="G175" i="2" s="1"/>
  <c r="BS174" i="2"/>
  <c r="BW174" i="2" s="1"/>
  <c r="BN174" i="2"/>
  <c r="BM174" i="2"/>
  <c r="BR174" i="2" s="1"/>
  <c r="BI174" i="2"/>
  <c r="BE174" i="2"/>
  <c r="BD174" i="2"/>
  <c r="AZ174" i="2"/>
  <c r="AR174" i="2"/>
  <c r="AM174" i="2"/>
  <c r="AI174" i="2"/>
  <c r="AX174" i="2" s="1"/>
  <c r="AE174" i="2"/>
  <c r="AD174" i="2"/>
  <c r="Z174" i="2"/>
  <c r="Y174" i="2"/>
  <c r="V174" i="2"/>
  <c r="R174" i="2"/>
  <c r="Q174" i="2"/>
  <c r="P174" i="2"/>
  <c r="O174" i="2"/>
  <c r="N174" i="2"/>
  <c r="BW173" i="2"/>
  <c r="BS173" i="2"/>
  <c r="BN173" i="2"/>
  <c r="BM173" i="2" s="1"/>
  <c r="BR173" i="2" s="1"/>
  <c r="BI173" i="2"/>
  <c r="BE173" i="2"/>
  <c r="BD173" i="2" s="1"/>
  <c r="AZ173" i="2"/>
  <c r="AZ170" i="2" s="1"/>
  <c r="AM173" i="2"/>
  <c r="AR173" i="2" s="1"/>
  <c r="AI173" i="2"/>
  <c r="AX173" i="2" s="1"/>
  <c r="AE173" i="2"/>
  <c r="AD173" i="2"/>
  <c r="Z173" i="2"/>
  <c r="Y173" i="2" s="1"/>
  <c r="R173" i="2"/>
  <c r="Q173" i="2" s="1"/>
  <c r="V173" i="2" s="1"/>
  <c r="P173" i="2"/>
  <c r="O173" i="2"/>
  <c r="N173" i="2"/>
  <c r="M173" i="2"/>
  <c r="BS172" i="2"/>
  <c r="BW172" i="2" s="1"/>
  <c r="BN172" i="2"/>
  <c r="BM172" i="2"/>
  <c r="BR172" i="2" s="1"/>
  <c r="BI172" i="2"/>
  <c r="BE172" i="2"/>
  <c r="BD172" i="2" s="1"/>
  <c r="AZ172" i="2"/>
  <c r="AM172" i="2"/>
  <c r="AI172" i="2"/>
  <c r="AI170" i="2" s="1"/>
  <c r="AX170" i="2" s="1"/>
  <c r="AE172" i="2"/>
  <c r="AD172" i="2" s="1"/>
  <c r="Z172" i="2"/>
  <c r="Y172" i="2"/>
  <c r="R172" i="2"/>
  <c r="P172" i="2"/>
  <c r="O172" i="2"/>
  <c r="N172" i="2"/>
  <c r="M172" i="2" s="1"/>
  <c r="L172" i="2"/>
  <c r="G172" i="2"/>
  <c r="BS171" i="2"/>
  <c r="BW171" i="2" s="1"/>
  <c r="BN171" i="2"/>
  <c r="BM171" i="2"/>
  <c r="BR171" i="2" s="1"/>
  <c r="BI171" i="2"/>
  <c r="BE171" i="2"/>
  <c r="BD171" i="2"/>
  <c r="AZ171" i="2"/>
  <c r="AX171" i="2"/>
  <c r="AM171" i="2"/>
  <c r="AR171" i="2" s="1"/>
  <c r="AI171" i="2"/>
  <c r="AE171" i="2"/>
  <c r="AD171" i="2"/>
  <c r="Z171" i="2"/>
  <c r="Y171" i="2"/>
  <c r="Y170" i="2" s="1"/>
  <c r="R171" i="2"/>
  <c r="Q171" i="2"/>
  <c r="V171" i="2" s="1"/>
  <c r="P171" i="2"/>
  <c r="O171" i="2"/>
  <c r="N171" i="2"/>
  <c r="L171" i="2" s="1"/>
  <c r="M171" i="2"/>
  <c r="BV170" i="2"/>
  <c r="BU170" i="2"/>
  <c r="BS170" i="2" s="1"/>
  <c r="BT170" i="2"/>
  <c r="BQ170" i="2"/>
  <c r="BP170" i="2"/>
  <c r="BO170" i="2"/>
  <c r="BN170" i="2"/>
  <c r="BM170" i="2" s="1"/>
  <c r="BL170" i="2"/>
  <c r="BK170" i="2"/>
  <c r="BJ170" i="2"/>
  <c r="BI170" i="2"/>
  <c r="BH170" i="2"/>
  <c r="BG170" i="2"/>
  <c r="BF170" i="2"/>
  <c r="BE170" i="2"/>
  <c r="BD170" i="2" s="1"/>
  <c r="AT170" i="2"/>
  <c r="AM170" i="2"/>
  <c r="AH170" i="2"/>
  <c r="AG170" i="2"/>
  <c r="AF170" i="2"/>
  <c r="AC170" i="2"/>
  <c r="AB170" i="2"/>
  <c r="AA170" i="2"/>
  <c r="X170" i="2"/>
  <c r="W170" i="2"/>
  <c r="U170" i="2"/>
  <c r="T170" i="2"/>
  <c r="S170" i="2"/>
  <c r="O170" i="2"/>
  <c r="K170" i="2"/>
  <c r="J170" i="2"/>
  <c r="J155" i="2" s="1"/>
  <c r="I170" i="2"/>
  <c r="H170" i="2"/>
  <c r="F170" i="2"/>
  <c r="BS169" i="2"/>
  <c r="BW169" i="2" s="1"/>
  <c r="BR169" i="2"/>
  <c r="BN169" i="2"/>
  <c r="BM169" i="2"/>
  <c r="BI169" i="2"/>
  <c r="BE169" i="2"/>
  <c r="BD169" i="2"/>
  <c r="AZ169" i="2"/>
  <c r="AX169" i="2"/>
  <c r="AM169" i="2"/>
  <c r="AR169" i="2" s="1"/>
  <c r="AI169" i="2"/>
  <c r="AE169" i="2"/>
  <c r="AD169" i="2"/>
  <c r="Z169" i="2"/>
  <c r="Y169" i="2"/>
  <c r="R169" i="2"/>
  <c r="Q169" i="2"/>
  <c r="V169" i="2" s="1"/>
  <c r="P169" i="2"/>
  <c r="O169" i="2"/>
  <c r="N169" i="2"/>
  <c r="L169" i="2" s="1"/>
  <c r="G169" i="2" s="1"/>
  <c r="M169" i="2"/>
  <c r="BS168" i="2"/>
  <c r="BN168" i="2"/>
  <c r="BM168" i="2" s="1"/>
  <c r="BI168" i="2"/>
  <c r="BW168" i="2" s="1"/>
  <c r="BE168" i="2"/>
  <c r="BD168" i="2"/>
  <c r="AZ168" i="2"/>
  <c r="AM168" i="2"/>
  <c r="AR168" i="2" s="1"/>
  <c r="AI168" i="2"/>
  <c r="AX168" i="2" s="1"/>
  <c r="AE168" i="2"/>
  <c r="AD168" i="2"/>
  <c r="Z168" i="2"/>
  <c r="Y168" i="2" s="1"/>
  <c r="V168" i="2"/>
  <c r="R168" i="2"/>
  <c r="Q168" i="2"/>
  <c r="P168" i="2"/>
  <c r="O168" i="2"/>
  <c r="M168" i="2" s="1"/>
  <c r="N168" i="2"/>
  <c r="L168" i="2"/>
  <c r="G168" i="2" s="1"/>
  <c r="BS167" i="2"/>
  <c r="BW167" i="2" s="1"/>
  <c r="BN167" i="2"/>
  <c r="BM167" i="2" s="1"/>
  <c r="BR167" i="2" s="1"/>
  <c r="BI167" i="2"/>
  <c r="BE167" i="2"/>
  <c r="BD167" i="2"/>
  <c r="AZ167" i="2"/>
  <c r="AX167" i="2"/>
  <c r="AR167" i="2"/>
  <c r="AM167" i="2"/>
  <c r="AI167" i="2"/>
  <c r="AE167" i="2"/>
  <c r="AD167" i="2" s="1"/>
  <c r="Z167" i="2"/>
  <c r="Y167" i="2" s="1"/>
  <c r="R167" i="2"/>
  <c r="Q167" i="2"/>
  <c r="V167" i="2" s="1"/>
  <c r="P167" i="2"/>
  <c r="O167" i="2"/>
  <c r="N167" i="2"/>
  <c r="M167" i="2" s="1"/>
  <c r="BS166" i="2"/>
  <c r="BW166" i="2" s="1"/>
  <c r="BN166" i="2"/>
  <c r="BM166" i="2" s="1"/>
  <c r="BR166" i="2" s="1"/>
  <c r="BI166" i="2"/>
  <c r="BE166" i="2"/>
  <c r="BD166" i="2"/>
  <c r="AZ166" i="2"/>
  <c r="AM166" i="2"/>
  <c r="AR166" i="2" s="1"/>
  <c r="AI166" i="2"/>
  <c r="AX166" i="2" s="1"/>
  <c r="AE166" i="2"/>
  <c r="AD166" i="2" s="1"/>
  <c r="Z166" i="2"/>
  <c r="Y166" i="2" s="1"/>
  <c r="R166" i="2"/>
  <c r="Q166" i="2"/>
  <c r="V166" i="2" s="1"/>
  <c r="P166" i="2"/>
  <c r="O166" i="2"/>
  <c r="N166" i="2"/>
  <c r="L166" i="2" s="1"/>
  <c r="G166" i="2" s="1"/>
  <c r="M166" i="2"/>
  <c r="BS165" i="2"/>
  <c r="BW165" i="2" s="1"/>
  <c r="BN165" i="2"/>
  <c r="BM165" i="2" s="1"/>
  <c r="BR165" i="2" s="1"/>
  <c r="BI165" i="2"/>
  <c r="BE165" i="2"/>
  <c r="BD165" i="2" s="1"/>
  <c r="AZ165" i="2"/>
  <c r="AX165" i="2"/>
  <c r="AM165" i="2"/>
  <c r="AR165" i="2" s="1"/>
  <c r="AI165" i="2"/>
  <c r="AE165" i="2"/>
  <c r="AD165" i="2" s="1"/>
  <c r="Z165" i="2"/>
  <c r="Y165" i="2" s="1"/>
  <c r="R165" i="2"/>
  <c r="Q165" i="2" s="1"/>
  <c r="V165" i="2" s="1"/>
  <c r="P165" i="2"/>
  <c r="O165" i="2"/>
  <c r="N165" i="2"/>
  <c r="L165" i="2" s="1"/>
  <c r="G165" i="2" s="1"/>
  <c r="M165" i="2"/>
  <c r="BS164" i="2"/>
  <c r="BW164" i="2" s="1"/>
  <c r="BN164" i="2"/>
  <c r="BM164" i="2"/>
  <c r="BR164" i="2" s="1"/>
  <c r="BI164" i="2"/>
  <c r="BE164" i="2"/>
  <c r="BD164" i="2"/>
  <c r="AZ164" i="2"/>
  <c r="AX164" i="2"/>
  <c r="AM164" i="2"/>
  <c r="AR164" i="2" s="1"/>
  <c r="AI164" i="2"/>
  <c r="AE164" i="2"/>
  <c r="AD164" i="2" s="1"/>
  <c r="Z164" i="2"/>
  <c r="Y164" i="2"/>
  <c r="R164" i="2"/>
  <c r="Q164" i="2"/>
  <c r="V164" i="2" s="1"/>
  <c r="P164" i="2"/>
  <c r="O164" i="2"/>
  <c r="N164" i="2"/>
  <c r="BS163" i="2"/>
  <c r="BW163" i="2" s="1"/>
  <c r="BR163" i="2"/>
  <c r="BN163" i="2"/>
  <c r="BM163" i="2"/>
  <c r="BI163" i="2"/>
  <c r="BE163" i="2"/>
  <c r="BD163" i="2"/>
  <c r="AZ163" i="2"/>
  <c r="AX163" i="2"/>
  <c r="AM163" i="2"/>
  <c r="AR163" i="2" s="1"/>
  <c r="AI163" i="2"/>
  <c r="AE163" i="2"/>
  <c r="AD163" i="2"/>
  <c r="Z163" i="2"/>
  <c r="Y163" i="2"/>
  <c r="R163" i="2"/>
  <c r="Q163" i="2"/>
  <c r="V163" i="2" s="1"/>
  <c r="P163" i="2"/>
  <c r="O163" i="2"/>
  <c r="N163" i="2"/>
  <c r="L163" i="2" s="1"/>
  <c r="G163" i="2" s="1"/>
  <c r="M163" i="2"/>
  <c r="BW162" i="2"/>
  <c r="BS162" i="2"/>
  <c r="BN162" i="2"/>
  <c r="BM162" i="2" s="1"/>
  <c r="BR162" i="2" s="1"/>
  <c r="BI162" i="2"/>
  <c r="BE162" i="2"/>
  <c r="BD162" i="2"/>
  <c r="AZ162" i="2"/>
  <c r="AM162" i="2"/>
  <c r="AR162" i="2" s="1"/>
  <c r="AI162" i="2"/>
  <c r="AE162" i="2"/>
  <c r="AD162" i="2"/>
  <c r="Z162" i="2"/>
  <c r="Y162" i="2" s="1"/>
  <c r="V162" i="2"/>
  <c r="R162" i="2"/>
  <c r="Q162" i="2"/>
  <c r="P162" i="2"/>
  <c r="O162" i="2"/>
  <c r="M162" i="2" s="1"/>
  <c r="N162" i="2"/>
  <c r="L162" i="2"/>
  <c r="G162" i="2" s="1"/>
  <c r="BS161" i="2"/>
  <c r="BW161" i="2" s="1"/>
  <c r="BN161" i="2"/>
  <c r="BM161" i="2" s="1"/>
  <c r="BR161" i="2" s="1"/>
  <c r="BI161" i="2"/>
  <c r="BE161" i="2"/>
  <c r="BD161" i="2"/>
  <c r="AZ161" i="2"/>
  <c r="AX161" i="2"/>
  <c r="AR161" i="2"/>
  <c r="AM161" i="2"/>
  <c r="AI161" i="2"/>
  <c r="AE161" i="2"/>
  <c r="AD161" i="2" s="1"/>
  <c r="Z161" i="2"/>
  <c r="Y161" i="2" s="1"/>
  <c r="R161" i="2"/>
  <c r="Q161" i="2"/>
  <c r="V161" i="2" s="1"/>
  <c r="P161" i="2"/>
  <c r="O161" i="2"/>
  <c r="N161" i="2"/>
  <c r="BS160" i="2"/>
  <c r="BW160" i="2" s="1"/>
  <c r="BN160" i="2"/>
  <c r="BM160" i="2" s="1"/>
  <c r="BR160" i="2" s="1"/>
  <c r="BI160" i="2"/>
  <c r="BE160" i="2"/>
  <c r="BD160" i="2"/>
  <c r="AZ160" i="2"/>
  <c r="AZ156" i="2" s="1"/>
  <c r="AX160" i="2"/>
  <c r="AM160" i="2"/>
  <c r="AR160" i="2" s="1"/>
  <c r="AI160" i="2"/>
  <c r="AE160" i="2"/>
  <c r="AD160" i="2" s="1"/>
  <c r="Z160" i="2"/>
  <c r="Y160" i="2" s="1"/>
  <c r="V160" i="2"/>
  <c r="R160" i="2"/>
  <c r="Q160" i="2"/>
  <c r="P160" i="2"/>
  <c r="P156" i="2" s="1"/>
  <c r="O160" i="2"/>
  <c r="N160" i="2"/>
  <c r="M160" i="2"/>
  <c r="BS159" i="2"/>
  <c r="BW159" i="2" s="1"/>
  <c r="BN159" i="2"/>
  <c r="BM159" i="2" s="1"/>
  <c r="BR159" i="2" s="1"/>
  <c r="BI159" i="2"/>
  <c r="BE159" i="2"/>
  <c r="BD159" i="2" s="1"/>
  <c r="AZ159" i="2"/>
  <c r="AX159" i="2"/>
  <c r="AM159" i="2"/>
  <c r="AR159" i="2" s="1"/>
  <c r="AI159" i="2"/>
  <c r="AE159" i="2"/>
  <c r="AD159" i="2" s="1"/>
  <c r="Z159" i="2"/>
  <c r="Y159" i="2" s="1"/>
  <c r="R159" i="2"/>
  <c r="P159" i="2"/>
  <c r="O159" i="2"/>
  <c r="N159" i="2"/>
  <c r="L159" i="2" s="1"/>
  <c r="G159" i="2" s="1"/>
  <c r="M159" i="2"/>
  <c r="BS158" i="2"/>
  <c r="BW158" i="2" s="1"/>
  <c r="BN158" i="2"/>
  <c r="BM158" i="2"/>
  <c r="BR158" i="2" s="1"/>
  <c r="BI158" i="2"/>
  <c r="BE158" i="2"/>
  <c r="BD158" i="2"/>
  <c r="AZ158" i="2"/>
  <c r="AX158" i="2"/>
  <c r="AM158" i="2"/>
  <c r="AR158" i="2" s="1"/>
  <c r="AI158" i="2"/>
  <c r="AE158" i="2"/>
  <c r="AD158" i="2" s="1"/>
  <c r="Z158" i="2"/>
  <c r="Y158" i="2"/>
  <c r="R158" i="2"/>
  <c r="Q158" i="2"/>
  <c r="V158" i="2" s="1"/>
  <c r="P158" i="2"/>
  <c r="O158" i="2"/>
  <c r="N158" i="2"/>
  <c r="BS157" i="2"/>
  <c r="BR157" i="2"/>
  <c r="BN157" i="2"/>
  <c r="BM157" i="2"/>
  <c r="BI157" i="2"/>
  <c r="BE157" i="2"/>
  <c r="BD157" i="2"/>
  <c r="AZ157" i="2"/>
  <c r="AX157" i="2"/>
  <c r="AM157" i="2"/>
  <c r="AR157" i="2" s="1"/>
  <c r="AI157" i="2"/>
  <c r="AE157" i="2"/>
  <c r="AD157" i="2"/>
  <c r="Z157" i="2"/>
  <c r="Z156" i="2" s="1"/>
  <c r="Y157" i="2"/>
  <c r="R157" i="2"/>
  <c r="Q157" i="2"/>
  <c r="P157" i="2"/>
  <c r="O157" i="2"/>
  <c r="N157" i="2"/>
  <c r="L157" i="2" s="1"/>
  <c r="M157" i="2"/>
  <c r="G157" i="2"/>
  <c r="BV156" i="2"/>
  <c r="BU156" i="2"/>
  <c r="BT156" i="2"/>
  <c r="BQ156" i="2"/>
  <c r="BP156" i="2"/>
  <c r="BP155" i="2" s="1"/>
  <c r="BO156" i="2"/>
  <c r="BN156" i="2"/>
  <c r="BM156" i="2" s="1"/>
  <c r="BL156" i="2"/>
  <c r="BL155" i="2" s="1"/>
  <c r="BK156" i="2"/>
  <c r="BK155" i="2" s="1"/>
  <c r="BJ156" i="2"/>
  <c r="BH156" i="2"/>
  <c r="BH155" i="2" s="1"/>
  <c r="BG156" i="2"/>
  <c r="BF156" i="2"/>
  <c r="BE156" i="2" s="1"/>
  <c r="BD156" i="2" s="1"/>
  <c r="AT156" i="2"/>
  <c r="AM156" i="2"/>
  <c r="AH156" i="2"/>
  <c r="AG156" i="2"/>
  <c r="AG155" i="2" s="1"/>
  <c r="AF156" i="2"/>
  <c r="AE156" i="2"/>
  <c r="AC156" i="2"/>
  <c r="AC155" i="2" s="1"/>
  <c r="AB156" i="2"/>
  <c r="AA156" i="2"/>
  <c r="AA155" i="2" s="1"/>
  <c r="Y156" i="2"/>
  <c r="X156" i="2"/>
  <c r="X155" i="2" s="1"/>
  <c r="W156" i="2"/>
  <c r="U156" i="2"/>
  <c r="U155" i="2" s="1"/>
  <c r="T156" i="2"/>
  <c r="S156" i="2"/>
  <c r="S155" i="2" s="1"/>
  <c r="O156" i="2"/>
  <c r="K156" i="2"/>
  <c r="J156" i="2"/>
  <c r="I156" i="2"/>
  <c r="I155" i="2" s="1"/>
  <c r="H156" i="2"/>
  <c r="F156" i="2"/>
  <c r="BU155" i="2"/>
  <c r="BQ155" i="2"/>
  <c r="BO155" i="2"/>
  <c r="BN155" i="2" s="1"/>
  <c r="BM155" i="2" s="1"/>
  <c r="BG155" i="2"/>
  <c r="AZ155" i="2"/>
  <c r="AT155" i="2"/>
  <c r="AM155" i="2"/>
  <c r="AH155" i="2"/>
  <c r="AF155" i="2"/>
  <c r="AB155" i="2"/>
  <c r="T155" i="2"/>
  <c r="H155" i="2"/>
  <c r="F155" i="2"/>
  <c r="BS154" i="2"/>
  <c r="BW154" i="2" s="1"/>
  <c r="BN154" i="2"/>
  <c r="BM154" i="2" s="1"/>
  <c r="BR154" i="2" s="1"/>
  <c r="BI154" i="2"/>
  <c r="BE154" i="2"/>
  <c r="BD154" i="2"/>
  <c r="AZ154" i="2"/>
  <c r="AX154" i="2"/>
  <c r="AR154" i="2"/>
  <c r="AM154" i="2"/>
  <c r="AI154" i="2"/>
  <c r="AE154" i="2"/>
  <c r="AD154" i="2" s="1"/>
  <c r="Z154" i="2"/>
  <c r="Y154" i="2" s="1"/>
  <c r="R154" i="2"/>
  <c r="Q154" i="2"/>
  <c r="P154" i="2"/>
  <c r="O154" i="2"/>
  <c r="N154" i="2"/>
  <c r="BS153" i="2"/>
  <c r="BW153" i="2" s="1"/>
  <c r="BN153" i="2"/>
  <c r="BM153" i="2" s="1"/>
  <c r="BI153" i="2"/>
  <c r="BE153" i="2"/>
  <c r="BD153" i="2"/>
  <c r="AZ153" i="2"/>
  <c r="AX153" i="2"/>
  <c r="AM153" i="2"/>
  <c r="AR153" i="2" s="1"/>
  <c r="AI153" i="2"/>
  <c r="AE153" i="2"/>
  <c r="AD153" i="2" s="1"/>
  <c r="AD150" i="2" s="1"/>
  <c r="Z153" i="2"/>
  <c r="Y153" i="2" s="1"/>
  <c r="V153" i="2"/>
  <c r="R153" i="2"/>
  <c r="Q153" i="2"/>
  <c r="P153" i="2"/>
  <c r="O153" i="2"/>
  <c r="N153" i="2"/>
  <c r="L153" i="2" s="1"/>
  <c r="M153" i="2"/>
  <c r="G153" i="2"/>
  <c r="BS152" i="2"/>
  <c r="BW152" i="2" s="1"/>
  <c r="BN152" i="2"/>
  <c r="BM152" i="2" s="1"/>
  <c r="BI152" i="2"/>
  <c r="BE152" i="2"/>
  <c r="BD152" i="2" s="1"/>
  <c r="AZ152" i="2"/>
  <c r="AX152" i="2"/>
  <c r="AM152" i="2"/>
  <c r="AR152" i="2" s="1"/>
  <c r="AI152" i="2"/>
  <c r="AE152" i="2"/>
  <c r="AD152" i="2" s="1"/>
  <c r="Z152" i="2"/>
  <c r="Y152" i="2" s="1"/>
  <c r="V152" i="2"/>
  <c r="R152" i="2"/>
  <c r="Q152" i="2" s="1"/>
  <c r="P152" i="2"/>
  <c r="O152" i="2"/>
  <c r="M152" i="2" s="1"/>
  <c r="N152" i="2"/>
  <c r="L152" i="2" s="1"/>
  <c r="G152" i="2" s="1"/>
  <c r="BS151" i="2"/>
  <c r="BW151" i="2" s="1"/>
  <c r="BN151" i="2"/>
  <c r="BM151" i="2"/>
  <c r="BR151" i="2" s="1"/>
  <c r="BI151" i="2"/>
  <c r="BE151" i="2"/>
  <c r="BD151" i="2"/>
  <c r="AZ151" i="2"/>
  <c r="AZ150" i="2" s="1"/>
  <c r="AX151" i="2"/>
  <c r="AM151" i="2"/>
  <c r="AR151" i="2" s="1"/>
  <c r="AI151" i="2"/>
  <c r="AE151" i="2"/>
  <c r="AD151" i="2" s="1"/>
  <c r="Z151" i="2"/>
  <c r="Y151" i="2"/>
  <c r="Y150" i="2" s="1"/>
  <c r="R151" i="2"/>
  <c r="R150" i="2" s="1"/>
  <c r="Q151" i="2"/>
  <c r="V151" i="2" s="1"/>
  <c r="P151" i="2"/>
  <c r="P150" i="2" s="1"/>
  <c r="O151" i="2"/>
  <c r="L151" i="2" s="1"/>
  <c r="G151" i="2" s="1"/>
  <c r="N151" i="2"/>
  <c r="M151" i="2"/>
  <c r="BV150" i="2"/>
  <c r="BS150" i="2" s="1"/>
  <c r="BU150" i="2"/>
  <c r="BT150" i="2"/>
  <c r="BQ150" i="2"/>
  <c r="BP150" i="2"/>
  <c r="BO150" i="2"/>
  <c r="BN150" i="2"/>
  <c r="BM150" i="2" s="1"/>
  <c r="BR150" i="2" s="1"/>
  <c r="BL150" i="2"/>
  <c r="BK150" i="2"/>
  <c r="BJ150" i="2"/>
  <c r="BI150" i="2"/>
  <c r="BH150" i="2"/>
  <c r="BG150" i="2"/>
  <c r="BF150" i="2"/>
  <c r="BE150" i="2" s="1"/>
  <c r="BD150" i="2" s="1"/>
  <c r="AT150" i="2"/>
  <c r="AM150" i="2"/>
  <c r="AI150" i="2"/>
  <c r="AH150" i="2"/>
  <c r="AG150" i="2"/>
  <c r="AF150" i="2"/>
  <c r="AC150" i="2"/>
  <c r="AB150" i="2"/>
  <c r="AA150" i="2"/>
  <c r="X150" i="2"/>
  <c r="W150" i="2"/>
  <c r="U150" i="2"/>
  <c r="T150" i="2"/>
  <c r="S150" i="2"/>
  <c r="K150" i="2"/>
  <c r="J150" i="2"/>
  <c r="I150" i="2"/>
  <c r="H150" i="2"/>
  <c r="F150" i="2"/>
  <c r="BW149" i="2"/>
  <c r="BW148" i="2" s="1"/>
  <c r="BS149" i="2"/>
  <c r="BR149" i="2"/>
  <c r="BN149" i="2"/>
  <c r="BM149" i="2"/>
  <c r="BI149" i="2"/>
  <c r="BE149" i="2"/>
  <c r="BD149" i="2" s="1"/>
  <c r="BD148" i="2" s="1"/>
  <c r="AZ149" i="2"/>
  <c r="AR149" i="2"/>
  <c r="AM149" i="2"/>
  <c r="AI149" i="2"/>
  <c r="AE149" i="2"/>
  <c r="AD149" i="2"/>
  <c r="Z149" i="2"/>
  <c r="Y149" i="2" s="1"/>
  <c r="Y148" i="2" s="1"/>
  <c r="R149" i="2"/>
  <c r="Q149" i="2"/>
  <c r="V149" i="2" s="1"/>
  <c r="P149" i="2"/>
  <c r="O149" i="2"/>
  <c r="O148" i="2" s="1"/>
  <c r="N149" i="2"/>
  <c r="M149" i="2"/>
  <c r="M148" i="2" s="1"/>
  <c r="BV148" i="2"/>
  <c r="BU148" i="2"/>
  <c r="BT148" i="2"/>
  <c r="BS148" i="2"/>
  <c r="BR148" i="2"/>
  <c r="BQ148" i="2"/>
  <c r="BP148" i="2"/>
  <c r="BO148" i="2"/>
  <c r="BN148" i="2" s="1"/>
  <c r="BM148" i="2"/>
  <c r="BL148" i="2"/>
  <c r="BK148" i="2"/>
  <c r="BJ148" i="2"/>
  <c r="BI148" i="2"/>
  <c r="BH148" i="2"/>
  <c r="BG148" i="2"/>
  <c r="BF148" i="2"/>
  <c r="BE148" i="2"/>
  <c r="AZ148" i="2"/>
  <c r="AT148" i="2"/>
  <c r="AM148" i="2"/>
  <c r="AH148" i="2"/>
  <c r="AG148" i="2"/>
  <c r="AF148" i="2"/>
  <c r="AE148" i="2"/>
  <c r="AD148" i="2"/>
  <c r="AC148" i="2"/>
  <c r="AB148" i="2"/>
  <c r="AA148" i="2"/>
  <c r="Z148" i="2"/>
  <c r="X148" i="2"/>
  <c r="W148" i="2"/>
  <c r="U148" i="2"/>
  <c r="T148" i="2"/>
  <c r="S148" i="2"/>
  <c r="R148" i="2"/>
  <c r="P148" i="2"/>
  <c r="N148" i="2"/>
  <c r="K148" i="2"/>
  <c r="J148" i="2"/>
  <c r="I148" i="2"/>
  <c r="H148" i="2"/>
  <c r="F148" i="2"/>
  <c r="BS147" i="2"/>
  <c r="BN147" i="2"/>
  <c r="BM147" i="2" s="1"/>
  <c r="BI147" i="2"/>
  <c r="BE147" i="2"/>
  <c r="BD147" i="2"/>
  <c r="AZ147" i="2"/>
  <c r="AM147" i="2"/>
  <c r="AR147" i="2" s="1"/>
  <c r="AI147" i="2"/>
  <c r="AX147" i="2" s="1"/>
  <c r="AE147" i="2"/>
  <c r="AD147" i="2" s="1"/>
  <c r="Z147" i="2"/>
  <c r="Y147" i="2" s="1"/>
  <c r="V147" i="2"/>
  <c r="R147" i="2"/>
  <c r="Q147" i="2"/>
  <c r="P147" i="2"/>
  <c r="L147" i="2" s="1"/>
  <c r="G147" i="2" s="1"/>
  <c r="O147" i="2"/>
  <c r="N147" i="2"/>
  <c r="M147" i="2"/>
  <c r="BS146" i="2"/>
  <c r="BW146" i="2" s="1"/>
  <c r="BN146" i="2"/>
  <c r="BM146" i="2" s="1"/>
  <c r="BR146" i="2" s="1"/>
  <c r="BI146" i="2"/>
  <c r="BE146" i="2"/>
  <c r="BD146" i="2" s="1"/>
  <c r="AZ146" i="2"/>
  <c r="AM146" i="2"/>
  <c r="AR146" i="2" s="1"/>
  <c r="AI146" i="2"/>
  <c r="AX146" i="2" s="1"/>
  <c r="AE146" i="2"/>
  <c r="AD146" i="2" s="1"/>
  <c r="Z146" i="2"/>
  <c r="Y146" i="2" s="1"/>
  <c r="R146" i="2"/>
  <c r="Q146" i="2" s="1"/>
  <c r="V146" i="2" s="1"/>
  <c r="P146" i="2"/>
  <c r="O146" i="2"/>
  <c r="N146" i="2"/>
  <c r="M146" i="2"/>
  <c r="L146" i="2"/>
  <c r="G146" i="2"/>
  <c r="BS145" i="2"/>
  <c r="BW145" i="2" s="1"/>
  <c r="BN145" i="2"/>
  <c r="BM145" i="2"/>
  <c r="BR145" i="2" s="1"/>
  <c r="BI145" i="2"/>
  <c r="BE145" i="2"/>
  <c r="BD145" i="2"/>
  <c r="AZ145" i="2"/>
  <c r="AX145" i="2"/>
  <c r="AM145" i="2"/>
  <c r="AR145" i="2" s="1"/>
  <c r="AI145" i="2"/>
  <c r="AE145" i="2"/>
  <c r="AD145" i="2" s="1"/>
  <c r="Z145" i="2"/>
  <c r="Y145" i="2"/>
  <c r="R145" i="2"/>
  <c r="Q145" i="2"/>
  <c r="V145" i="2" s="1"/>
  <c r="P145" i="2"/>
  <c r="O145" i="2"/>
  <c r="N145" i="2"/>
  <c r="L145" i="2" s="1"/>
  <c r="M145" i="2"/>
  <c r="G145" i="2"/>
  <c r="BS144" i="2"/>
  <c r="BW144" i="2" s="1"/>
  <c r="BR144" i="2"/>
  <c r="BN144" i="2"/>
  <c r="BM144" i="2"/>
  <c r="BI144" i="2"/>
  <c r="BE144" i="2"/>
  <c r="BD144" i="2"/>
  <c r="AZ144" i="2"/>
  <c r="AX144" i="2"/>
  <c r="AM144" i="2"/>
  <c r="AR144" i="2" s="1"/>
  <c r="AI144" i="2"/>
  <c r="AE144" i="2"/>
  <c r="AD144" i="2"/>
  <c r="Z144" i="2"/>
  <c r="Y144" i="2"/>
  <c r="R144" i="2"/>
  <c r="Q144" i="2"/>
  <c r="V144" i="2" s="1"/>
  <c r="P144" i="2"/>
  <c r="O144" i="2"/>
  <c r="M144" i="2" s="1"/>
  <c r="N144" i="2"/>
  <c r="BW143" i="2"/>
  <c r="BS143" i="2"/>
  <c r="BN143" i="2"/>
  <c r="BM143" i="2" s="1"/>
  <c r="BR143" i="2" s="1"/>
  <c r="BI143" i="2"/>
  <c r="BE143" i="2"/>
  <c r="BD143" i="2"/>
  <c r="AZ143" i="2"/>
  <c r="AX143" i="2"/>
  <c r="AM143" i="2"/>
  <c r="AR143" i="2" s="1"/>
  <c r="AI143" i="2"/>
  <c r="AI141" i="2" s="1"/>
  <c r="AR141" i="2" s="1"/>
  <c r="AE143" i="2"/>
  <c r="AD143" i="2"/>
  <c r="Z143" i="2"/>
  <c r="Y143" i="2" s="1"/>
  <c r="R143" i="2"/>
  <c r="Q143" i="2"/>
  <c r="V143" i="2" s="1"/>
  <c r="P143" i="2"/>
  <c r="O143" i="2"/>
  <c r="N143" i="2"/>
  <c r="BS142" i="2"/>
  <c r="BN142" i="2"/>
  <c r="BM142" i="2" s="1"/>
  <c r="BI142" i="2"/>
  <c r="BI141" i="2" s="1"/>
  <c r="BE142" i="2"/>
  <c r="BD142" i="2"/>
  <c r="AZ142" i="2"/>
  <c r="AR142" i="2"/>
  <c r="AM142" i="2"/>
  <c r="AI142" i="2"/>
  <c r="AX142" i="2" s="1"/>
  <c r="AE142" i="2"/>
  <c r="AD142" i="2" s="1"/>
  <c r="Z142" i="2"/>
  <c r="V142" i="2"/>
  <c r="R142" i="2"/>
  <c r="R141" i="2" s="1"/>
  <c r="Q142" i="2"/>
  <c r="Q141" i="2" s="1"/>
  <c r="V141" i="2" s="1"/>
  <c r="P142" i="2"/>
  <c r="O142" i="2"/>
  <c r="N142" i="2"/>
  <c r="M142" i="2" s="1"/>
  <c r="BV141" i="2"/>
  <c r="BU141" i="2"/>
  <c r="BT141" i="2"/>
  <c r="BS141" i="2" s="1"/>
  <c r="BW141" i="2" s="1"/>
  <c r="BQ141" i="2"/>
  <c r="BP141" i="2"/>
  <c r="BO141" i="2"/>
  <c r="BN141" i="2" s="1"/>
  <c r="BM141" i="2" s="1"/>
  <c r="BR141" i="2" s="1"/>
  <c r="BL141" i="2"/>
  <c r="BK141" i="2"/>
  <c r="BJ141" i="2"/>
  <c r="BH141" i="2"/>
  <c r="BG141" i="2"/>
  <c r="BF141" i="2"/>
  <c r="AZ141" i="2"/>
  <c r="AT141" i="2"/>
  <c r="AM141" i="2"/>
  <c r="AH141" i="2"/>
  <c r="AG141" i="2"/>
  <c r="AF141" i="2"/>
  <c r="AE141" i="2"/>
  <c r="AC141" i="2"/>
  <c r="AB141" i="2"/>
  <c r="AB131" i="2" s="1"/>
  <c r="AA141" i="2"/>
  <c r="X141" i="2"/>
  <c r="W141" i="2"/>
  <c r="U141" i="2"/>
  <c r="T141" i="2"/>
  <c r="S141" i="2"/>
  <c r="S131" i="2" s="1"/>
  <c r="P141" i="2"/>
  <c r="K141" i="2"/>
  <c r="J141" i="2"/>
  <c r="I141" i="2"/>
  <c r="H141" i="2"/>
  <c r="F141" i="2"/>
  <c r="BS140" i="2"/>
  <c r="BW140" i="2" s="1"/>
  <c r="BN140" i="2"/>
  <c r="BM140" i="2"/>
  <c r="BR140" i="2" s="1"/>
  <c r="BI140" i="2"/>
  <c r="BE140" i="2"/>
  <c r="BD140" i="2" s="1"/>
  <c r="AZ140" i="2"/>
  <c r="AX140" i="2"/>
  <c r="AR140" i="2"/>
  <c r="AM140" i="2"/>
  <c r="AI140" i="2"/>
  <c r="AE140" i="2"/>
  <c r="AD140" i="2" s="1"/>
  <c r="Z140" i="2"/>
  <c r="Y140" i="2"/>
  <c r="R140" i="2"/>
  <c r="Q140" i="2" s="1"/>
  <c r="V140" i="2" s="1"/>
  <c r="P140" i="2"/>
  <c r="O140" i="2"/>
  <c r="N140" i="2"/>
  <c r="BS139" i="2"/>
  <c r="BW139" i="2" s="1"/>
  <c r="BN139" i="2"/>
  <c r="BM139" i="2"/>
  <c r="BR139" i="2" s="1"/>
  <c r="BI139" i="2"/>
  <c r="BE139" i="2"/>
  <c r="BD139" i="2" s="1"/>
  <c r="AZ139" i="2"/>
  <c r="AM139" i="2"/>
  <c r="AR139" i="2" s="1"/>
  <c r="AI139" i="2"/>
  <c r="AX139" i="2" s="1"/>
  <c r="AE139" i="2"/>
  <c r="AD139" i="2"/>
  <c r="Z139" i="2"/>
  <c r="Y139" i="2"/>
  <c r="R139" i="2"/>
  <c r="Q139" i="2" s="1"/>
  <c r="V139" i="2" s="1"/>
  <c r="P139" i="2"/>
  <c r="O139" i="2"/>
  <c r="N139" i="2"/>
  <c r="M139" i="2"/>
  <c r="BS138" i="2"/>
  <c r="BN138" i="2"/>
  <c r="BM138" i="2"/>
  <c r="BR138" i="2" s="1"/>
  <c r="BI138" i="2"/>
  <c r="BW138" i="2" s="1"/>
  <c r="BE138" i="2"/>
  <c r="BD138" i="2" s="1"/>
  <c r="AZ138" i="2"/>
  <c r="AX138" i="2"/>
  <c r="AM138" i="2"/>
  <c r="AR138" i="2" s="1"/>
  <c r="AI138" i="2"/>
  <c r="AE138" i="2"/>
  <c r="AD138" i="2"/>
  <c r="Z138" i="2"/>
  <c r="Y138" i="2"/>
  <c r="R138" i="2"/>
  <c r="Q138" i="2" s="1"/>
  <c r="V138" i="2" s="1"/>
  <c r="P138" i="2"/>
  <c r="O138" i="2"/>
  <c r="N138" i="2"/>
  <c r="BW137" i="2"/>
  <c r="BS137" i="2"/>
  <c r="BN137" i="2"/>
  <c r="BM137" i="2"/>
  <c r="BR137" i="2" s="1"/>
  <c r="BI137" i="2"/>
  <c r="BE137" i="2"/>
  <c r="BD137" i="2"/>
  <c r="AZ137" i="2"/>
  <c r="AM137" i="2"/>
  <c r="AI137" i="2"/>
  <c r="AX137" i="2" s="1"/>
  <c r="AE137" i="2"/>
  <c r="AD137" i="2"/>
  <c r="Z137" i="2"/>
  <c r="Y137" i="2"/>
  <c r="R137" i="2"/>
  <c r="Q137" i="2"/>
  <c r="V137" i="2" s="1"/>
  <c r="P137" i="2"/>
  <c r="O137" i="2"/>
  <c r="N137" i="2"/>
  <c r="M137" i="2" s="1"/>
  <c r="L137" i="2"/>
  <c r="G137" i="2" s="1"/>
  <c r="BS136" i="2"/>
  <c r="BR136" i="2"/>
  <c r="BN136" i="2"/>
  <c r="BM136" i="2"/>
  <c r="BI136" i="2"/>
  <c r="BI132" i="2" s="1"/>
  <c r="BE136" i="2"/>
  <c r="BD136" i="2"/>
  <c r="AZ136" i="2"/>
  <c r="AM136" i="2"/>
  <c r="AI136" i="2"/>
  <c r="AE136" i="2"/>
  <c r="AD136" i="2"/>
  <c r="Z136" i="2"/>
  <c r="Y136" i="2"/>
  <c r="V136" i="2"/>
  <c r="R136" i="2"/>
  <c r="Q136" i="2"/>
  <c r="P136" i="2"/>
  <c r="O136" i="2"/>
  <c r="N136" i="2"/>
  <c r="M136" i="2" s="1"/>
  <c r="L136" i="2"/>
  <c r="G136" i="2" s="1"/>
  <c r="BW135" i="2"/>
  <c r="BS135" i="2"/>
  <c r="BN135" i="2"/>
  <c r="BM135" i="2" s="1"/>
  <c r="BR135" i="2" s="1"/>
  <c r="BI135" i="2"/>
  <c r="BE135" i="2"/>
  <c r="BD135" i="2" s="1"/>
  <c r="AZ135" i="2"/>
  <c r="AM135" i="2"/>
  <c r="AI135" i="2"/>
  <c r="AE135" i="2"/>
  <c r="AD135" i="2"/>
  <c r="Z135" i="2"/>
  <c r="Y135" i="2" s="1"/>
  <c r="R135" i="2"/>
  <c r="Q135" i="2" s="1"/>
  <c r="V135" i="2" s="1"/>
  <c r="P135" i="2"/>
  <c r="O135" i="2"/>
  <c r="N135" i="2"/>
  <c r="M135" i="2" s="1"/>
  <c r="L135" i="2"/>
  <c r="G135" i="2" s="1"/>
  <c r="BS134" i="2"/>
  <c r="BW134" i="2" s="1"/>
  <c r="BN134" i="2"/>
  <c r="BM134" i="2"/>
  <c r="BR134" i="2" s="1"/>
  <c r="BI134" i="2"/>
  <c r="BE134" i="2"/>
  <c r="BD134" i="2" s="1"/>
  <c r="AZ134" i="2"/>
  <c r="AX134" i="2"/>
  <c r="AR134" i="2"/>
  <c r="AM134" i="2"/>
  <c r="AI134" i="2"/>
  <c r="AE134" i="2"/>
  <c r="Z134" i="2"/>
  <c r="Y134" i="2"/>
  <c r="R134" i="2"/>
  <c r="Q134" i="2" s="1"/>
  <c r="V134" i="2" s="1"/>
  <c r="P134" i="2"/>
  <c r="O134" i="2"/>
  <c r="N134" i="2"/>
  <c r="BS133" i="2"/>
  <c r="BW133" i="2" s="1"/>
  <c r="BN133" i="2"/>
  <c r="BM133" i="2"/>
  <c r="BR133" i="2" s="1"/>
  <c r="BI133" i="2"/>
  <c r="BE133" i="2"/>
  <c r="BD133" i="2" s="1"/>
  <c r="AZ133" i="2"/>
  <c r="AM133" i="2"/>
  <c r="AR133" i="2" s="1"/>
  <c r="AI133" i="2"/>
  <c r="AX133" i="2" s="1"/>
  <c r="AE133" i="2"/>
  <c r="AD133" i="2"/>
  <c r="Z133" i="2"/>
  <c r="Y133" i="2"/>
  <c r="R133" i="2"/>
  <c r="Q133" i="2" s="1"/>
  <c r="P133" i="2"/>
  <c r="P132" i="2" s="1"/>
  <c r="P131" i="2" s="1"/>
  <c r="O133" i="2"/>
  <c r="N133" i="2"/>
  <c r="M133" i="2"/>
  <c r="BV132" i="2"/>
  <c r="BV131" i="2" s="1"/>
  <c r="BU132" i="2"/>
  <c r="BT132" i="2"/>
  <c r="BS132" i="2"/>
  <c r="BQ132" i="2"/>
  <c r="BQ131" i="2" s="1"/>
  <c r="BP132" i="2"/>
  <c r="BO132" i="2"/>
  <c r="BN132" i="2"/>
  <c r="BM132" i="2" s="1"/>
  <c r="BL132" i="2"/>
  <c r="BK132" i="2"/>
  <c r="BJ132" i="2"/>
  <c r="BJ131" i="2" s="1"/>
  <c r="BH132" i="2"/>
  <c r="BG132" i="2"/>
  <c r="BG131" i="2" s="1"/>
  <c r="BF132" i="2"/>
  <c r="AT132" i="2"/>
  <c r="AM132" i="2"/>
  <c r="AH132" i="2"/>
  <c r="AG132" i="2"/>
  <c r="AG131" i="2" s="1"/>
  <c r="AF132" i="2"/>
  <c r="AF131" i="2" s="1"/>
  <c r="AC132" i="2"/>
  <c r="AB132" i="2"/>
  <c r="AA132" i="2"/>
  <c r="AA131" i="2" s="1"/>
  <c r="X132" i="2"/>
  <c r="X131" i="2" s="1"/>
  <c r="W132" i="2"/>
  <c r="W131" i="2" s="1"/>
  <c r="U132" i="2"/>
  <c r="U131" i="2" s="1"/>
  <c r="T132" i="2"/>
  <c r="T131" i="2" s="1"/>
  <c r="S132" i="2"/>
  <c r="O132" i="2"/>
  <c r="K132" i="2"/>
  <c r="K131" i="2" s="1"/>
  <c r="J132" i="2"/>
  <c r="I132" i="2"/>
  <c r="H132" i="2"/>
  <c r="H131" i="2" s="1"/>
  <c r="F132" i="2"/>
  <c r="F131" i="2" s="1"/>
  <c r="BU131" i="2"/>
  <c r="BP131" i="2"/>
  <c r="BL131" i="2"/>
  <c r="BI131" i="2"/>
  <c r="AM131" i="2"/>
  <c r="AH131" i="2"/>
  <c r="AC131" i="2"/>
  <c r="J131" i="2"/>
  <c r="BW130" i="2"/>
  <c r="BS130" i="2"/>
  <c r="BR130" i="2"/>
  <c r="BN130" i="2"/>
  <c r="BM130" i="2"/>
  <c r="BI130" i="2"/>
  <c r="BE130" i="2"/>
  <c r="BD130" i="2"/>
  <c r="AZ130" i="2"/>
  <c r="AR130" i="2"/>
  <c r="AM130" i="2"/>
  <c r="AI130" i="2"/>
  <c r="AX130" i="2" s="1"/>
  <c r="AE130" i="2"/>
  <c r="AD130" i="2"/>
  <c r="Z130" i="2"/>
  <c r="Y130" i="2"/>
  <c r="Y128" i="2" s="1"/>
  <c r="R130" i="2"/>
  <c r="Q130" i="2"/>
  <c r="P130" i="2"/>
  <c r="O130" i="2"/>
  <c r="N130" i="2"/>
  <c r="M130" i="2" s="1"/>
  <c r="BS129" i="2"/>
  <c r="BN129" i="2"/>
  <c r="BM129" i="2"/>
  <c r="BI129" i="2"/>
  <c r="BI128" i="2" s="1"/>
  <c r="BE129" i="2"/>
  <c r="BD129" i="2"/>
  <c r="AZ129" i="2"/>
  <c r="AZ128" i="2" s="1"/>
  <c r="AM129" i="2"/>
  <c r="AI129" i="2"/>
  <c r="AE129" i="2"/>
  <c r="AE128" i="2" s="1"/>
  <c r="AD129" i="2"/>
  <c r="Z129" i="2"/>
  <c r="Y129" i="2"/>
  <c r="V129" i="2"/>
  <c r="R129" i="2"/>
  <c r="Q129" i="2"/>
  <c r="P129" i="2"/>
  <c r="P128" i="2" s="1"/>
  <c r="O129" i="2"/>
  <c r="N129" i="2"/>
  <c r="M129" i="2" s="1"/>
  <c r="L129" i="2"/>
  <c r="G129" i="2" s="1"/>
  <c r="BW128" i="2"/>
  <c r="BV128" i="2"/>
  <c r="BU128" i="2"/>
  <c r="BT128" i="2"/>
  <c r="BS128" i="2" s="1"/>
  <c r="BQ128" i="2"/>
  <c r="BP128" i="2"/>
  <c r="BO128" i="2"/>
  <c r="BN128" i="2" s="1"/>
  <c r="BM128" i="2"/>
  <c r="BR128" i="2" s="1"/>
  <c r="BL128" i="2"/>
  <c r="BK128" i="2"/>
  <c r="BJ128" i="2"/>
  <c r="BH128" i="2"/>
  <c r="BG128" i="2"/>
  <c r="BF128" i="2"/>
  <c r="BE128" i="2"/>
  <c r="AT128" i="2"/>
  <c r="AM128" i="2"/>
  <c r="AH128" i="2"/>
  <c r="AG128" i="2"/>
  <c r="AF128" i="2"/>
  <c r="AC128" i="2"/>
  <c r="AB128" i="2"/>
  <c r="AA128" i="2"/>
  <c r="Z128" i="2"/>
  <c r="X128" i="2"/>
  <c r="X108" i="2" s="1"/>
  <c r="W128" i="2"/>
  <c r="U128" i="2"/>
  <c r="T128" i="2"/>
  <c r="S128" i="2"/>
  <c r="R128" i="2"/>
  <c r="O128" i="2"/>
  <c r="N128" i="2"/>
  <c r="K128" i="2"/>
  <c r="J128" i="2"/>
  <c r="I128" i="2"/>
  <c r="H128" i="2"/>
  <c r="F128" i="2"/>
  <c r="BS127" i="2"/>
  <c r="BN127" i="2"/>
  <c r="BM127" i="2" s="1"/>
  <c r="BI127" i="2"/>
  <c r="BE127" i="2"/>
  <c r="BD127" i="2"/>
  <c r="AZ127" i="2"/>
  <c r="AZ124" i="2" s="1"/>
  <c r="AM127" i="2"/>
  <c r="AR127" i="2" s="1"/>
  <c r="AI127" i="2"/>
  <c r="AX127" i="2" s="1"/>
  <c r="AE127" i="2"/>
  <c r="AD127" i="2" s="1"/>
  <c r="Z127" i="2"/>
  <c r="Y127" i="2" s="1"/>
  <c r="V127" i="2"/>
  <c r="R127" i="2"/>
  <c r="Q127" i="2"/>
  <c r="P127" i="2"/>
  <c r="O127" i="2"/>
  <c r="N127" i="2"/>
  <c r="M127" i="2"/>
  <c r="BS126" i="2"/>
  <c r="BW126" i="2" s="1"/>
  <c r="BN126" i="2"/>
  <c r="BM126" i="2" s="1"/>
  <c r="BR126" i="2" s="1"/>
  <c r="BI126" i="2"/>
  <c r="BE126" i="2"/>
  <c r="BD126" i="2" s="1"/>
  <c r="AZ126" i="2"/>
  <c r="AX126" i="2"/>
  <c r="AM126" i="2"/>
  <c r="AR126" i="2" s="1"/>
  <c r="AI126" i="2"/>
  <c r="AE126" i="2"/>
  <c r="AD126" i="2" s="1"/>
  <c r="Z126" i="2"/>
  <c r="R126" i="2"/>
  <c r="P126" i="2"/>
  <c r="O126" i="2"/>
  <c r="M126" i="2" s="1"/>
  <c r="N126" i="2"/>
  <c r="BS125" i="2"/>
  <c r="BW125" i="2" s="1"/>
  <c r="BN125" i="2"/>
  <c r="BM125" i="2"/>
  <c r="BR125" i="2" s="1"/>
  <c r="BI125" i="2"/>
  <c r="BE125" i="2"/>
  <c r="BD125" i="2"/>
  <c r="AZ125" i="2"/>
  <c r="AX125" i="2"/>
  <c r="AM125" i="2"/>
  <c r="AR125" i="2" s="1"/>
  <c r="AI125" i="2"/>
  <c r="AI124" i="2" s="1"/>
  <c r="AR124" i="2" s="1"/>
  <c r="AE125" i="2"/>
  <c r="Z125" i="2"/>
  <c r="Y125" i="2"/>
  <c r="R125" i="2"/>
  <c r="Q125" i="2"/>
  <c r="V125" i="2" s="1"/>
  <c r="P125" i="2"/>
  <c r="O125" i="2"/>
  <c r="N125" i="2"/>
  <c r="L125" i="2" s="1"/>
  <c r="M125" i="2"/>
  <c r="M124" i="2" s="1"/>
  <c r="G125" i="2"/>
  <c r="BV124" i="2"/>
  <c r="BU124" i="2"/>
  <c r="BS124" i="2" s="1"/>
  <c r="BW124" i="2" s="1"/>
  <c r="BT124" i="2"/>
  <c r="BQ124" i="2"/>
  <c r="BP124" i="2"/>
  <c r="BO124" i="2"/>
  <c r="BN124" i="2"/>
  <c r="BM124" i="2" s="1"/>
  <c r="BR124" i="2" s="1"/>
  <c r="BL124" i="2"/>
  <c r="BK124" i="2"/>
  <c r="BJ124" i="2"/>
  <c r="BI124" i="2"/>
  <c r="BH124" i="2"/>
  <c r="BG124" i="2"/>
  <c r="BF124" i="2"/>
  <c r="BE124" i="2" s="1"/>
  <c r="BD124" i="2" s="1"/>
  <c r="AX124" i="2"/>
  <c r="AT124" i="2"/>
  <c r="AM124" i="2"/>
  <c r="AH124" i="2"/>
  <c r="AG124" i="2"/>
  <c r="AF124" i="2"/>
  <c r="AC124" i="2"/>
  <c r="AB124" i="2"/>
  <c r="AA124" i="2"/>
  <c r="X124" i="2"/>
  <c r="W124" i="2"/>
  <c r="U124" i="2"/>
  <c r="T124" i="2"/>
  <c r="S124" i="2"/>
  <c r="O124" i="2"/>
  <c r="K124" i="2"/>
  <c r="J124" i="2"/>
  <c r="I124" i="2"/>
  <c r="H124" i="2"/>
  <c r="F124" i="2"/>
  <c r="BS123" i="2"/>
  <c r="BW123" i="2" s="1"/>
  <c r="BN123" i="2"/>
  <c r="BM123" i="2"/>
  <c r="BR123" i="2" s="1"/>
  <c r="BI123" i="2"/>
  <c r="BE123" i="2"/>
  <c r="BD123" i="2"/>
  <c r="AZ123" i="2"/>
  <c r="AR123" i="2"/>
  <c r="AM123" i="2"/>
  <c r="AI123" i="2"/>
  <c r="AX123" i="2" s="1"/>
  <c r="AE123" i="2"/>
  <c r="AD123" i="2"/>
  <c r="Z123" i="2"/>
  <c r="Y123" i="2"/>
  <c r="R123" i="2"/>
  <c r="Q123" i="2"/>
  <c r="V123" i="2" s="1"/>
  <c r="P123" i="2"/>
  <c r="O123" i="2"/>
  <c r="N123" i="2"/>
  <c r="M123" i="2" s="1"/>
  <c r="BW122" i="2"/>
  <c r="BS122" i="2"/>
  <c r="BR122" i="2"/>
  <c r="BN122" i="2"/>
  <c r="BM122" i="2"/>
  <c r="BI122" i="2"/>
  <c r="BE122" i="2"/>
  <c r="BD122" i="2"/>
  <c r="AZ122" i="2"/>
  <c r="AM122" i="2"/>
  <c r="AR122" i="2" s="1"/>
  <c r="AI122" i="2"/>
  <c r="AX122" i="2" s="1"/>
  <c r="AE122" i="2"/>
  <c r="AD122" i="2"/>
  <c r="Z122" i="2"/>
  <c r="Y122" i="2"/>
  <c r="V122" i="2"/>
  <c r="R122" i="2"/>
  <c r="Q122" i="2"/>
  <c r="P122" i="2"/>
  <c r="O122" i="2"/>
  <c r="N122" i="2"/>
  <c r="M122" i="2" s="1"/>
  <c r="L122" i="2"/>
  <c r="G122" i="2" s="1"/>
  <c r="BW121" i="2"/>
  <c r="BS121" i="2"/>
  <c r="BN121" i="2"/>
  <c r="BM121" i="2" s="1"/>
  <c r="BR121" i="2" s="1"/>
  <c r="BI121" i="2"/>
  <c r="BE121" i="2"/>
  <c r="BD121" i="2" s="1"/>
  <c r="AZ121" i="2"/>
  <c r="AR121" i="2"/>
  <c r="AM121" i="2"/>
  <c r="AI121" i="2"/>
  <c r="AX121" i="2" s="1"/>
  <c r="AE121" i="2"/>
  <c r="AD121" i="2"/>
  <c r="Z121" i="2"/>
  <c r="R121" i="2"/>
  <c r="Q121" i="2" s="1"/>
  <c r="V121" i="2" s="1"/>
  <c r="P121" i="2"/>
  <c r="O121" i="2"/>
  <c r="N121" i="2"/>
  <c r="M121" i="2" s="1"/>
  <c r="BS120" i="2"/>
  <c r="BW120" i="2" s="1"/>
  <c r="BN120" i="2"/>
  <c r="BM120" i="2"/>
  <c r="BR120" i="2" s="1"/>
  <c r="BI120" i="2"/>
  <c r="BE120" i="2"/>
  <c r="BD120" i="2" s="1"/>
  <c r="AZ120" i="2"/>
  <c r="AZ119" i="2" s="1"/>
  <c r="AX120" i="2"/>
  <c r="AR120" i="2"/>
  <c r="AM120" i="2"/>
  <c r="AI120" i="2"/>
  <c r="AI119" i="2" s="1"/>
  <c r="AR119" i="2" s="1"/>
  <c r="AE120" i="2"/>
  <c r="Z120" i="2"/>
  <c r="Y120" i="2"/>
  <c r="R120" i="2"/>
  <c r="Q120" i="2" s="1"/>
  <c r="P120" i="2"/>
  <c r="O120" i="2"/>
  <c r="O119" i="2" s="1"/>
  <c r="N120" i="2"/>
  <c r="BV119" i="2"/>
  <c r="BU119" i="2"/>
  <c r="BS119" i="2" s="1"/>
  <c r="BW119" i="2" s="1"/>
  <c r="BT119" i="2"/>
  <c r="BQ119" i="2"/>
  <c r="BP119" i="2"/>
  <c r="BO119" i="2"/>
  <c r="BN119" i="2" s="1"/>
  <c r="BL119" i="2"/>
  <c r="BL108" i="2" s="1"/>
  <c r="BK119" i="2"/>
  <c r="BJ119" i="2"/>
  <c r="BI119" i="2"/>
  <c r="BH119" i="2"/>
  <c r="BG119" i="2"/>
  <c r="BF119" i="2"/>
  <c r="BE119" i="2"/>
  <c r="BD119" i="2" s="1"/>
  <c r="AT119" i="2"/>
  <c r="AX119" i="2" s="1"/>
  <c r="AM119" i="2"/>
  <c r="AH119" i="2"/>
  <c r="AG119" i="2"/>
  <c r="AF119" i="2"/>
  <c r="AC119" i="2"/>
  <c r="AB119" i="2"/>
  <c r="AB108" i="2" s="1"/>
  <c r="AA119" i="2"/>
  <c r="X119" i="2"/>
  <c r="W119" i="2"/>
  <c r="U119" i="2"/>
  <c r="T119" i="2"/>
  <c r="S119" i="2"/>
  <c r="P119" i="2"/>
  <c r="K119" i="2"/>
  <c r="J119" i="2"/>
  <c r="J108" i="2" s="1"/>
  <c r="I119" i="2"/>
  <c r="H119" i="2"/>
  <c r="F119" i="2"/>
  <c r="BS118" i="2"/>
  <c r="BW118" i="2" s="1"/>
  <c r="BN118" i="2"/>
  <c r="BM118" i="2"/>
  <c r="BR118" i="2" s="1"/>
  <c r="BI118" i="2"/>
  <c r="BE118" i="2"/>
  <c r="BD118" i="2"/>
  <c r="AZ118" i="2"/>
  <c r="AX118" i="2"/>
  <c r="AM118" i="2"/>
  <c r="AR118" i="2" s="1"/>
  <c r="AI118" i="2"/>
  <c r="AE118" i="2"/>
  <c r="AD118" i="2" s="1"/>
  <c r="Z118" i="2"/>
  <c r="Y118" i="2"/>
  <c r="R118" i="2"/>
  <c r="Q118" i="2"/>
  <c r="V118" i="2" s="1"/>
  <c r="P118" i="2"/>
  <c r="O118" i="2"/>
  <c r="N118" i="2"/>
  <c r="L118" i="2" s="1"/>
  <c r="G118" i="2" s="1"/>
  <c r="BS117" i="2"/>
  <c r="BN117" i="2"/>
  <c r="BM117" i="2"/>
  <c r="BI117" i="2"/>
  <c r="BR117" i="2" s="1"/>
  <c r="BE117" i="2"/>
  <c r="BD117" i="2"/>
  <c r="AZ117" i="2"/>
  <c r="AX117" i="2"/>
  <c r="AM117" i="2"/>
  <c r="AR117" i="2" s="1"/>
  <c r="AI117" i="2"/>
  <c r="AE117" i="2"/>
  <c r="AD117" i="2"/>
  <c r="Z117" i="2"/>
  <c r="Y117" i="2"/>
  <c r="R117" i="2"/>
  <c r="Q117" i="2"/>
  <c r="V117" i="2" s="1"/>
  <c r="P117" i="2"/>
  <c r="O117" i="2"/>
  <c r="N117" i="2"/>
  <c r="L117" i="2" s="1"/>
  <c r="G117" i="2" s="1"/>
  <c r="M117" i="2"/>
  <c r="BW116" i="2"/>
  <c r="BS116" i="2"/>
  <c r="BN116" i="2"/>
  <c r="BM116" i="2" s="1"/>
  <c r="BI116" i="2"/>
  <c r="BE116" i="2"/>
  <c r="BD116" i="2" s="1"/>
  <c r="AZ116" i="2"/>
  <c r="AX116" i="2"/>
  <c r="AM116" i="2"/>
  <c r="AI116" i="2"/>
  <c r="AE116" i="2"/>
  <c r="AD116" i="2"/>
  <c r="Z116" i="2"/>
  <c r="Y116" i="2" s="1"/>
  <c r="R116" i="2"/>
  <c r="Q116" i="2"/>
  <c r="V116" i="2" s="1"/>
  <c r="P116" i="2"/>
  <c r="O116" i="2"/>
  <c r="M116" i="2" s="1"/>
  <c r="N116" i="2"/>
  <c r="L116" i="2"/>
  <c r="G116" i="2" s="1"/>
  <c r="BS115" i="2"/>
  <c r="BN115" i="2"/>
  <c r="BM115" i="2"/>
  <c r="BI115" i="2"/>
  <c r="BE115" i="2"/>
  <c r="BD115" i="2"/>
  <c r="AZ115" i="2"/>
  <c r="AX115" i="2"/>
  <c r="AR115" i="2"/>
  <c r="AM115" i="2"/>
  <c r="AI115" i="2"/>
  <c r="AE115" i="2"/>
  <c r="AD115" i="2" s="1"/>
  <c r="Z115" i="2"/>
  <c r="Y115" i="2"/>
  <c r="R115" i="2"/>
  <c r="Q115" i="2"/>
  <c r="V115" i="2" s="1"/>
  <c r="P115" i="2"/>
  <c r="O115" i="2"/>
  <c r="N115" i="2"/>
  <c r="BS114" i="2"/>
  <c r="BW114" i="2" s="1"/>
  <c r="BN114" i="2"/>
  <c r="BM114" i="2" s="1"/>
  <c r="BR114" i="2" s="1"/>
  <c r="BI114" i="2"/>
  <c r="BE114" i="2"/>
  <c r="BD114" i="2"/>
  <c r="AZ114" i="2"/>
  <c r="AM114" i="2"/>
  <c r="AR114" i="2" s="1"/>
  <c r="AI114" i="2"/>
  <c r="AX114" i="2" s="1"/>
  <c r="AE114" i="2"/>
  <c r="AD114" i="2"/>
  <c r="Z114" i="2"/>
  <c r="Y114" i="2" s="1"/>
  <c r="V114" i="2"/>
  <c r="R114" i="2"/>
  <c r="Q114" i="2"/>
  <c r="P114" i="2"/>
  <c r="L114" i="2" s="1"/>
  <c r="O114" i="2"/>
  <c r="N114" i="2"/>
  <c r="M114" i="2"/>
  <c r="G114" i="2"/>
  <c r="BS113" i="2"/>
  <c r="BW113" i="2" s="1"/>
  <c r="BN113" i="2"/>
  <c r="BM113" i="2" s="1"/>
  <c r="BR113" i="2" s="1"/>
  <c r="BI113" i="2"/>
  <c r="BE113" i="2"/>
  <c r="BD113" i="2" s="1"/>
  <c r="AZ113" i="2"/>
  <c r="AX113" i="2"/>
  <c r="AM113" i="2"/>
  <c r="AI113" i="2"/>
  <c r="AE113" i="2"/>
  <c r="AD113" i="2" s="1"/>
  <c r="Z113" i="2"/>
  <c r="Y113" i="2" s="1"/>
  <c r="V113" i="2"/>
  <c r="R113" i="2"/>
  <c r="Q113" i="2" s="1"/>
  <c r="P113" i="2"/>
  <c r="O113" i="2"/>
  <c r="M113" i="2" s="1"/>
  <c r="N113" i="2"/>
  <c r="L113" i="2"/>
  <c r="G113" i="2"/>
  <c r="BS112" i="2"/>
  <c r="BW112" i="2" s="1"/>
  <c r="BN112" i="2"/>
  <c r="BM112" i="2"/>
  <c r="BR112" i="2" s="1"/>
  <c r="BI112" i="2"/>
  <c r="BE112" i="2"/>
  <c r="BD112" i="2"/>
  <c r="AZ112" i="2"/>
  <c r="AM112" i="2"/>
  <c r="AI112" i="2"/>
  <c r="AI109" i="2" s="1"/>
  <c r="AE112" i="2"/>
  <c r="AD112" i="2" s="1"/>
  <c r="Z112" i="2"/>
  <c r="Y112" i="2"/>
  <c r="R112" i="2"/>
  <c r="Q112" i="2"/>
  <c r="V112" i="2" s="1"/>
  <c r="P112" i="2"/>
  <c r="O112" i="2"/>
  <c r="N112" i="2"/>
  <c r="M112" i="2"/>
  <c r="L112" i="2"/>
  <c r="G112" i="2" s="1"/>
  <c r="BS111" i="2"/>
  <c r="BW111" i="2" s="1"/>
  <c r="BR111" i="2"/>
  <c r="BN111" i="2"/>
  <c r="BM111" i="2"/>
  <c r="BI111" i="2"/>
  <c r="BE111" i="2"/>
  <c r="BD111" i="2"/>
  <c r="AZ111" i="2"/>
  <c r="AX111" i="2"/>
  <c r="AR111" i="2"/>
  <c r="AM111" i="2"/>
  <c r="AI111" i="2"/>
  <c r="AE111" i="2"/>
  <c r="AE109" i="2" s="1"/>
  <c r="AD111" i="2"/>
  <c r="Z111" i="2"/>
  <c r="Y111" i="2"/>
  <c r="R111" i="2"/>
  <c r="Q111" i="2"/>
  <c r="V111" i="2" s="1"/>
  <c r="P111" i="2"/>
  <c r="O111" i="2"/>
  <c r="N111" i="2"/>
  <c r="L111" i="2" s="1"/>
  <c r="G111" i="2" s="1"/>
  <c r="BW110" i="2"/>
  <c r="BS110" i="2"/>
  <c r="BN110" i="2"/>
  <c r="BM110" i="2" s="1"/>
  <c r="BI110" i="2"/>
  <c r="BE110" i="2"/>
  <c r="BD110" i="2"/>
  <c r="AZ110" i="2"/>
  <c r="AM110" i="2"/>
  <c r="AI110" i="2"/>
  <c r="AX110" i="2" s="1"/>
  <c r="AE110" i="2"/>
  <c r="AD110" i="2"/>
  <c r="Z110" i="2"/>
  <c r="Y110" i="2" s="1"/>
  <c r="V110" i="2"/>
  <c r="R110" i="2"/>
  <c r="Q110" i="2"/>
  <c r="P110" i="2"/>
  <c r="P109" i="2" s="1"/>
  <c r="O110" i="2"/>
  <c r="M110" i="2" s="1"/>
  <c r="N110" i="2"/>
  <c r="BV109" i="2"/>
  <c r="BV108" i="2" s="1"/>
  <c r="BU109" i="2"/>
  <c r="BT109" i="2"/>
  <c r="BS109" i="2"/>
  <c r="BQ109" i="2"/>
  <c r="BP109" i="2"/>
  <c r="BP108" i="2" s="1"/>
  <c r="BO109" i="2"/>
  <c r="BN109" i="2"/>
  <c r="BM109" i="2" s="1"/>
  <c r="BL109" i="2"/>
  <c r="BK109" i="2"/>
  <c r="BJ109" i="2"/>
  <c r="BJ108" i="2" s="1"/>
  <c r="BH109" i="2"/>
  <c r="BG109" i="2"/>
  <c r="BG108" i="2" s="1"/>
  <c r="BF109" i="2"/>
  <c r="BF108" i="2" s="1"/>
  <c r="BE108" i="2" s="1"/>
  <c r="BD108" i="2" s="1"/>
  <c r="BE109" i="2"/>
  <c r="BD109" i="2" s="1"/>
  <c r="AT109" i="2"/>
  <c r="AX109" i="2" s="1"/>
  <c r="AM109" i="2"/>
  <c r="AH109" i="2"/>
  <c r="AG109" i="2"/>
  <c r="AF109" i="2"/>
  <c r="AF108" i="2" s="1"/>
  <c r="AC109" i="2"/>
  <c r="AC108" i="2" s="1"/>
  <c r="AB109" i="2"/>
  <c r="AA109" i="2"/>
  <c r="X109" i="2"/>
  <c r="W109" i="2"/>
  <c r="W108" i="2" s="1"/>
  <c r="U109" i="2"/>
  <c r="T109" i="2"/>
  <c r="T108" i="2" s="1"/>
  <c r="S109" i="2"/>
  <c r="S108" i="2" s="1"/>
  <c r="R109" i="2"/>
  <c r="N109" i="2"/>
  <c r="K109" i="2"/>
  <c r="K108" i="2" s="1"/>
  <c r="J109" i="2"/>
  <c r="I109" i="2"/>
  <c r="H109" i="2"/>
  <c r="H108" i="2" s="1"/>
  <c r="F109" i="2"/>
  <c r="BT108" i="2"/>
  <c r="BQ108" i="2"/>
  <c r="BO108" i="2"/>
  <c r="BN108" i="2"/>
  <c r="BM108" i="2"/>
  <c r="BK108" i="2"/>
  <c r="BH108" i="2"/>
  <c r="AT108" i="2"/>
  <c r="AM108" i="2"/>
  <c r="AH108" i="2"/>
  <c r="AG108" i="2"/>
  <c r="AA108" i="2"/>
  <c r="U108" i="2"/>
  <c r="I108" i="2"/>
  <c r="F108" i="2"/>
  <c r="BS107" i="2"/>
  <c r="BN107" i="2"/>
  <c r="BM107" i="2" s="1"/>
  <c r="BR107" i="2" s="1"/>
  <c r="BI107" i="2"/>
  <c r="BE107" i="2"/>
  <c r="BD107" i="2"/>
  <c r="AZ107" i="2"/>
  <c r="AM107" i="2"/>
  <c r="AR107" i="2" s="1"/>
  <c r="AI107" i="2"/>
  <c r="AX107" i="2" s="1"/>
  <c r="AE107" i="2"/>
  <c r="AD107" i="2" s="1"/>
  <c r="Z107" i="2"/>
  <c r="Y107" i="2"/>
  <c r="V107" i="2"/>
  <c r="R107" i="2"/>
  <c r="Q107" i="2"/>
  <c r="P107" i="2"/>
  <c r="L107" i="2" s="1"/>
  <c r="G107" i="2" s="1"/>
  <c r="O107" i="2"/>
  <c r="N107" i="2"/>
  <c r="M107" i="2"/>
  <c r="BW106" i="2"/>
  <c r="BS106" i="2"/>
  <c r="BN106" i="2"/>
  <c r="BM106" i="2" s="1"/>
  <c r="BR106" i="2" s="1"/>
  <c r="BI106" i="2"/>
  <c r="BI103" i="2" s="1"/>
  <c r="BW103" i="2" s="1"/>
  <c r="BE106" i="2"/>
  <c r="BD106" i="2" s="1"/>
  <c r="AZ106" i="2"/>
  <c r="AX106" i="2"/>
  <c r="AM106" i="2"/>
  <c r="AR106" i="2" s="1"/>
  <c r="AI106" i="2"/>
  <c r="AE106" i="2"/>
  <c r="AD106" i="2"/>
  <c r="Z106" i="2"/>
  <c r="Y106" i="2" s="1"/>
  <c r="V106" i="2"/>
  <c r="R106" i="2"/>
  <c r="Q106" i="2" s="1"/>
  <c r="G106" i="2"/>
  <c r="BW105" i="2"/>
  <c r="BS105" i="2"/>
  <c r="BN105" i="2"/>
  <c r="BM105" i="2"/>
  <c r="BR105" i="2" s="1"/>
  <c r="BI105" i="2"/>
  <c r="BE105" i="2"/>
  <c r="BD105" i="2" s="1"/>
  <c r="AZ105" i="2"/>
  <c r="AX105" i="2"/>
  <c r="AM105" i="2"/>
  <c r="AR105" i="2" s="1"/>
  <c r="AI105" i="2"/>
  <c r="AE105" i="2"/>
  <c r="AD105" i="2"/>
  <c r="Z105" i="2"/>
  <c r="Y105" i="2" s="1"/>
  <c r="R105" i="2"/>
  <c r="Q105" i="2" s="1"/>
  <c r="V105" i="2" s="1"/>
  <c r="P105" i="2"/>
  <c r="O105" i="2"/>
  <c r="M105" i="2" s="1"/>
  <c r="N105" i="2"/>
  <c r="L105" i="2"/>
  <c r="G105" i="2" s="1"/>
  <c r="BW104" i="2"/>
  <c r="BS104" i="2"/>
  <c r="BN104" i="2"/>
  <c r="BM104" i="2" s="1"/>
  <c r="BI104" i="2"/>
  <c r="BE104" i="2"/>
  <c r="BD104" i="2"/>
  <c r="AZ104" i="2"/>
  <c r="AM104" i="2"/>
  <c r="AR104" i="2" s="1"/>
  <c r="AI104" i="2"/>
  <c r="AX104" i="2" s="1"/>
  <c r="AE104" i="2"/>
  <c r="AD104" i="2" s="1"/>
  <c r="AD103" i="2" s="1"/>
  <c r="Z104" i="2"/>
  <c r="Y104" i="2"/>
  <c r="Y103" i="2" s="1"/>
  <c r="R104" i="2"/>
  <c r="Q104" i="2" s="1"/>
  <c r="P104" i="2"/>
  <c r="O104" i="2"/>
  <c r="N104" i="2"/>
  <c r="M104" i="2"/>
  <c r="L104" i="2"/>
  <c r="G104" i="2"/>
  <c r="BV103" i="2"/>
  <c r="BU103" i="2"/>
  <c r="BT103" i="2"/>
  <c r="BS103" i="2"/>
  <c r="BQ103" i="2"/>
  <c r="BP103" i="2"/>
  <c r="BO103" i="2"/>
  <c r="BN103" i="2"/>
  <c r="BL103" i="2"/>
  <c r="BK103" i="2"/>
  <c r="BJ103" i="2"/>
  <c r="BH103" i="2"/>
  <c r="BG103" i="2"/>
  <c r="BF103" i="2"/>
  <c r="AZ103" i="2"/>
  <c r="AX103" i="2"/>
  <c r="AT103" i="2"/>
  <c r="AM103" i="2"/>
  <c r="AR103" i="2" s="1"/>
  <c r="AI103" i="2"/>
  <c r="AH103" i="2"/>
  <c r="AG103" i="2"/>
  <c r="AF103" i="2"/>
  <c r="AE103" i="2"/>
  <c r="AC103" i="2"/>
  <c r="AB103" i="2"/>
  <c r="AA103" i="2"/>
  <c r="Z103" i="2"/>
  <c r="X103" i="2"/>
  <c r="W103" i="2"/>
  <c r="U103" i="2"/>
  <c r="T103" i="2"/>
  <c r="S103" i="2"/>
  <c r="P103" i="2"/>
  <c r="O103" i="2"/>
  <c r="N103" i="2"/>
  <c r="M103" i="2"/>
  <c r="L103" i="2"/>
  <c r="K103" i="2"/>
  <c r="J103" i="2"/>
  <c r="I103" i="2"/>
  <c r="H103" i="2"/>
  <c r="F103" i="2"/>
  <c r="BS102" i="2"/>
  <c r="BN102" i="2"/>
  <c r="BM102" i="2" s="1"/>
  <c r="BR102" i="2" s="1"/>
  <c r="BI102" i="2"/>
  <c r="BE102" i="2"/>
  <c r="BD102" i="2" s="1"/>
  <c r="AZ102" i="2"/>
  <c r="AX102" i="2"/>
  <c r="AR102" i="2"/>
  <c r="AM102" i="2"/>
  <c r="AI102" i="2"/>
  <c r="AE102" i="2"/>
  <c r="AD102" i="2"/>
  <c r="Z102" i="2"/>
  <c r="Y102" i="2" s="1"/>
  <c r="R102" i="2"/>
  <c r="Q102" i="2" s="1"/>
  <c r="V102" i="2" s="1"/>
  <c r="P102" i="2"/>
  <c r="O102" i="2"/>
  <c r="N102" i="2"/>
  <c r="BS101" i="2"/>
  <c r="BW101" i="2" s="1"/>
  <c r="BN101" i="2"/>
  <c r="BM101" i="2" s="1"/>
  <c r="BR101" i="2" s="1"/>
  <c r="BI101" i="2"/>
  <c r="BE101" i="2"/>
  <c r="BD101" i="2"/>
  <c r="AZ101" i="2"/>
  <c r="AM101" i="2"/>
  <c r="AI101" i="2"/>
  <c r="AX101" i="2" s="1"/>
  <c r="AE101" i="2"/>
  <c r="AD101" i="2" s="1"/>
  <c r="Z101" i="2"/>
  <c r="Y101" i="2"/>
  <c r="R101" i="2"/>
  <c r="Q101" i="2"/>
  <c r="V101" i="2" s="1"/>
  <c r="P101" i="2"/>
  <c r="L101" i="2" s="1"/>
  <c r="G101" i="2" s="1"/>
  <c r="O101" i="2"/>
  <c r="N101" i="2"/>
  <c r="M101" i="2"/>
  <c r="BS100" i="2"/>
  <c r="BW100" i="2" s="1"/>
  <c r="BR100" i="2"/>
  <c r="BN100" i="2"/>
  <c r="BM100" i="2" s="1"/>
  <c r="BI100" i="2"/>
  <c r="BE100" i="2"/>
  <c r="BD100" i="2" s="1"/>
  <c r="AZ100" i="2"/>
  <c r="AM100" i="2"/>
  <c r="AR100" i="2" s="1"/>
  <c r="AI100" i="2"/>
  <c r="AX100" i="2" s="1"/>
  <c r="AE100" i="2"/>
  <c r="AD100" i="2" s="1"/>
  <c r="Z100" i="2"/>
  <c r="Y100" i="2" s="1"/>
  <c r="V100" i="2"/>
  <c r="R100" i="2"/>
  <c r="Q100" i="2" s="1"/>
  <c r="P100" i="2"/>
  <c r="O100" i="2"/>
  <c r="N100" i="2"/>
  <c r="BW99" i="2"/>
  <c r="BS99" i="2"/>
  <c r="BN99" i="2"/>
  <c r="BM99" i="2"/>
  <c r="BR99" i="2" s="1"/>
  <c r="BI99" i="2"/>
  <c r="BE99" i="2"/>
  <c r="BD99" i="2" s="1"/>
  <c r="AZ99" i="2"/>
  <c r="AX99" i="2"/>
  <c r="AM99" i="2"/>
  <c r="AR99" i="2" s="1"/>
  <c r="AI99" i="2"/>
  <c r="AE99" i="2"/>
  <c r="AD99" i="2" s="1"/>
  <c r="Z99" i="2"/>
  <c r="Y99" i="2" s="1"/>
  <c r="R99" i="2"/>
  <c r="Q99" i="2"/>
  <c r="V99" i="2" s="1"/>
  <c r="P99" i="2"/>
  <c r="O99" i="2"/>
  <c r="N99" i="2"/>
  <c r="L99" i="2" s="1"/>
  <c r="G99" i="2" s="1"/>
  <c r="M99" i="2"/>
  <c r="BS98" i="2"/>
  <c r="BR98" i="2"/>
  <c r="BN98" i="2"/>
  <c r="BM98" i="2"/>
  <c r="BI98" i="2"/>
  <c r="BE98" i="2"/>
  <c r="BD98" i="2" s="1"/>
  <c r="AZ98" i="2"/>
  <c r="AX98" i="2"/>
  <c r="AR98" i="2"/>
  <c r="AM98" i="2"/>
  <c r="AI98" i="2"/>
  <c r="AE98" i="2"/>
  <c r="AD98" i="2"/>
  <c r="Z98" i="2"/>
  <c r="Y98" i="2"/>
  <c r="R98" i="2"/>
  <c r="Q98" i="2" s="1"/>
  <c r="V98" i="2" s="1"/>
  <c r="P98" i="2"/>
  <c r="O98" i="2"/>
  <c r="N98" i="2"/>
  <c r="BS97" i="2"/>
  <c r="BN97" i="2"/>
  <c r="BM97" i="2"/>
  <c r="BI97" i="2"/>
  <c r="BW97" i="2" s="1"/>
  <c r="BE97" i="2"/>
  <c r="BD97" i="2" s="1"/>
  <c r="AZ97" i="2"/>
  <c r="AZ94" i="2" s="1"/>
  <c r="AX97" i="2"/>
  <c r="AM97" i="2"/>
  <c r="AR97" i="2" s="1"/>
  <c r="AI97" i="2"/>
  <c r="AE97" i="2"/>
  <c r="AD97" i="2"/>
  <c r="Z97" i="2"/>
  <c r="Y97" i="2"/>
  <c r="R97" i="2"/>
  <c r="Q97" i="2" s="1"/>
  <c r="V97" i="2" s="1"/>
  <c r="P97" i="2"/>
  <c r="O97" i="2"/>
  <c r="N97" i="2"/>
  <c r="BW96" i="2"/>
  <c r="BS96" i="2"/>
  <c r="BN96" i="2"/>
  <c r="BM96" i="2" s="1"/>
  <c r="BR96" i="2" s="1"/>
  <c r="BI96" i="2"/>
  <c r="BE96" i="2"/>
  <c r="BD96" i="2"/>
  <c r="AZ96" i="2"/>
  <c r="AM96" i="2"/>
  <c r="AR96" i="2" s="1"/>
  <c r="AI96" i="2"/>
  <c r="AX96" i="2" s="1"/>
  <c r="AE96" i="2"/>
  <c r="AD96" i="2"/>
  <c r="Z96" i="2"/>
  <c r="Z94" i="2" s="1"/>
  <c r="R96" i="2"/>
  <c r="Q96" i="2"/>
  <c r="P96" i="2"/>
  <c r="O96" i="2"/>
  <c r="N96" i="2"/>
  <c r="M96" i="2"/>
  <c r="L96" i="2"/>
  <c r="G96" i="2" s="1"/>
  <c r="BS95" i="2"/>
  <c r="BW95" i="2" s="1"/>
  <c r="BN95" i="2"/>
  <c r="BM95" i="2"/>
  <c r="BI95" i="2"/>
  <c r="BI94" i="2" s="1"/>
  <c r="BE95" i="2"/>
  <c r="BD95" i="2"/>
  <c r="AZ95" i="2"/>
  <c r="AX95" i="2"/>
  <c r="AR95" i="2"/>
  <c r="AM95" i="2"/>
  <c r="AI95" i="2"/>
  <c r="AI94" i="2" s="1"/>
  <c r="AR94" i="2" s="1"/>
  <c r="AE95" i="2"/>
  <c r="AE94" i="2" s="1"/>
  <c r="Z95" i="2"/>
  <c r="Y95" i="2"/>
  <c r="V95" i="2"/>
  <c r="R95" i="2"/>
  <c r="Q95" i="2"/>
  <c r="P95" i="2"/>
  <c r="O95" i="2"/>
  <c r="O94" i="2" s="1"/>
  <c r="N95" i="2"/>
  <c r="M95" i="2" s="1"/>
  <c r="BV94" i="2"/>
  <c r="BU94" i="2"/>
  <c r="BT94" i="2"/>
  <c r="BS94" i="2" s="1"/>
  <c r="BW94" i="2" s="1"/>
  <c r="BQ94" i="2"/>
  <c r="BP94" i="2"/>
  <c r="BO94" i="2"/>
  <c r="BN94" i="2" s="1"/>
  <c r="BM94" i="2" s="1"/>
  <c r="BL94" i="2"/>
  <c r="BK94" i="2"/>
  <c r="BJ94" i="2"/>
  <c r="BH94" i="2"/>
  <c r="BD94" i="2" s="1"/>
  <c r="BG94" i="2"/>
  <c r="BF94" i="2"/>
  <c r="BE94" i="2"/>
  <c r="AT94" i="2"/>
  <c r="AM94" i="2"/>
  <c r="AH94" i="2"/>
  <c r="AG94" i="2"/>
  <c r="AF94" i="2"/>
  <c r="AC94" i="2"/>
  <c r="AB94" i="2"/>
  <c r="AA94" i="2"/>
  <c r="X94" i="2"/>
  <c r="W94" i="2"/>
  <c r="U94" i="2"/>
  <c r="T94" i="2"/>
  <c r="S94" i="2"/>
  <c r="K94" i="2"/>
  <c r="J94" i="2"/>
  <c r="I94" i="2"/>
  <c r="H94" i="2"/>
  <c r="F94" i="2"/>
  <c r="BW93" i="2"/>
  <c r="BS93" i="2"/>
  <c r="BN93" i="2"/>
  <c r="BM93" i="2"/>
  <c r="BR93" i="2" s="1"/>
  <c r="BI93" i="2"/>
  <c r="BE93" i="2"/>
  <c r="BD93" i="2"/>
  <c r="AZ93" i="2"/>
  <c r="AM93" i="2"/>
  <c r="AR93" i="2" s="1"/>
  <c r="AI93" i="2"/>
  <c r="AX93" i="2" s="1"/>
  <c r="AE93" i="2"/>
  <c r="AD93" i="2" s="1"/>
  <c r="Z93" i="2"/>
  <c r="Y93" i="2"/>
  <c r="R93" i="2"/>
  <c r="Q93" i="2"/>
  <c r="V93" i="2" s="1"/>
  <c r="P93" i="2"/>
  <c r="L93" i="2" s="1"/>
  <c r="G93" i="2" s="1"/>
  <c r="O93" i="2"/>
  <c r="N93" i="2"/>
  <c r="M93" i="2"/>
  <c r="BS92" i="2"/>
  <c r="BW92" i="2" s="1"/>
  <c r="BN92" i="2"/>
  <c r="BM92" i="2" s="1"/>
  <c r="BR92" i="2" s="1"/>
  <c r="BI92" i="2"/>
  <c r="BE92" i="2"/>
  <c r="BD92" i="2" s="1"/>
  <c r="AZ92" i="2"/>
  <c r="AX92" i="2"/>
  <c r="AR92" i="2"/>
  <c r="AM92" i="2"/>
  <c r="AI92" i="2"/>
  <c r="AE92" i="2"/>
  <c r="AD92" i="2"/>
  <c r="Z92" i="2"/>
  <c r="Y92" i="2" s="1"/>
  <c r="R92" i="2"/>
  <c r="Q92" i="2" s="1"/>
  <c r="V92" i="2" s="1"/>
  <c r="P92" i="2"/>
  <c r="O92" i="2"/>
  <c r="N92" i="2"/>
  <c r="M92" i="2" s="1"/>
  <c r="BW91" i="2"/>
  <c r="BS91" i="2"/>
  <c r="BN91" i="2"/>
  <c r="BM91" i="2"/>
  <c r="BR91" i="2" s="1"/>
  <c r="BI91" i="2"/>
  <c r="BE91" i="2"/>
  <c r="BD91" i="2"/>
  <c r="AZ91" i="2"/>
  <c r="AM91" i="2"/>
  <c r="AR91" i="2" s="1"/>
  <c r="AI91" i="2"/>
  <c r="AX91" i="2" s="1"/>
  <c r="AE91" i="2"/>
  <c r="AD91" i="2" s="1"/>
  <c r="AD86" i="2" s="1"/>
  <c r="Z91" i="2"/>
  <c r="Y91" i="2"/>
  <c r="R91" i="2"/>
  <c r="Q91" i="2"/>
  <c r="V91" i="2" s="1"/>
  <c r="P91" i="2"/>
  <c r="L91" i="2" s="1"/>
  <c r="G91" i="2" s="1"/>
  <c r="O91" i="2"/>
  <c r="M91" i="2" s="1"/>
  <c r="N91" i="2"/>
  <c r="BS90" i="2"/>
  <c r="BW90" i="2" s="1"/>
  <c r="BR90" i="2"/>
  <c r="BN90" i="2"/>
  <c r="BM90" i="2"/>
  <c r="BI90" i="2"/>
  <c r="BE90" i="2"/>
  <c r="BD90" i="2" s="1"/>
  <c r="AZ90" i="2"/>
  <c r="AX90" i="2"/>
  <c r="AR90" i="2"/>
  <c r="AM90" i="2"/>
  <c r="AI90" i="2"/>
  <c r="AE90" i="2"/>
  <c r="AD90" i="2"/>
  <c r="Z90" i="2"/>
  <c r="Y90" i="2"/>
  <c r="R90" i="2"/>
  <c r="Q90" i="2" s="1"/>
  <c r="V90" i="2" s="1"/>
  <c r="P90" i="2"/>
  <c r="O90" i="2"/>
  <c r="N90" i="2"/>
  <c r="M90" i="2" s="1"/>
  <c r="BW89" i="2"/>
  <c r="BS89" i="2"/>
  <c r="BN89" i="2"/>
  <c r="BM89" i="2"/>
  <c r="BR89" i="2" s="1"/>
  <c r="BI89" i="2"/>
  <c r="BE89" i="2"/>
  <c r="BD89" i="2"/>
  <c r="AZ89" i="2"/>
  <c r="AM89" i="2"/>
  <c r="AI89" i="2"/>
  <c r="AX89" i="2" s="1"/>
  <c r="AE89" i="2"/>
  <c r="AD89" i="2"/>
  <c r="Z89" i="2"/>
  <c r="Y89" i="2"/>
  <c r="V89" i="2"/>
  <c r="R89" i="2"/>
  <c r="Q89" i="2"/>
  <c r="P89" i="2"/>
  <c r="O89" i="2"/>
  <c r="N89" i="2"/>
  <c r="M89" i="2"/>
  <c r="L89" i="2"/>
  <c r="G89" i="2" s="1"/>
  <c r="BS88" i="2"/>
  <c r="BW88" i="2" s="1"/>
  <c r="BN88" i="2"/>
  <c r="BM88" i="2" s="1"/>
  <c r="BR88" i="2" s="1"/>
  <c r="BI88" i="2"/>
  <c r="BE88" i="2"/>
  <c r="BD88" i="2" s="1"/>
  <c r="AZ88" i="2"/>
  <c r="AX88" i="2"/>
  <c r="AR88" i="2"/>
  <c r="AM88" i="2"/>
  <c r="AI88" i="2"/>
  <c r="AE88" i="2"/>
  <c r="AD88" i="2"/>
  <c r="Z88" i="2"/>
  <c r="Y88" i="2" s="1"/>
  <c r="R88" i="2"/>
  <c r="Q88" i="2" s="1"/>
  <c r="V88" i="2" s="1"/>
  <c r="P88" i="2"/>
  <c r="O88" i="2"/>
  <c r="O86" i="2" s="1"/>
  <c r="N88" i="2"/>
  <c r="BW87" i="2"/>
  <c r="BS87" i="2"/>
  <c r="BN87" i="2"/>
  <c r="BM87" i="2"/>
  <c r="BR87" i="2" s="1"/>
  <c r="BI87" i="2"/>
  <c r="BE87" i="2"/>
  <c r="BD87" i="2"/>
  <c r="AZ87" i="2"/>
  <c r="AZ86" i="2" s="1"/>
  <c r="AM87" i="2"/>
  <c r="AR87" i="2" s="1"/>
  <c r="AI87" i="2"/>
  <c r="AX87" i="2" s="1"/>
  <c r="AE87" i="2"/>
  <c r="AD87" i="2" s="1"/>
  <c r="Z87" i="2"/>
  <c r="Y87" i="2"/>
  <c r="R87" i="2"/>
  <c r="Q87" i="2"/>
  <c r="P87" i="2"/>
  <c r="O87" i="2"/>
  <c r="N87" i="2"/>
  <c r="M87" i="2"/>
  <c r="BV86" i="2"/>
  <c r="BU86" i="2"/>
  <c r="BT86" i="2"/>
  <c r="BS86" i="2" s="1"/>
  <c r="BW86" i="2" s="1"/>
  <c r="BQ86" i="2"/>
  <c r="BP86" i="2"/>
  <c r="BO86" i="2"/>
  <c r="BN86" i="2"/>
  <c r="BL86" i="2"/>
  <c r="BK86" i="2"/>
  <c r="BJ86" i="2"/>
  <c r="BI86" i="2"/>
  <c r="BH86" i="2"/>
  <c r="BG86" i="2"/>
  <c r="BF86" i="2"/>
  <c r="BF74" i="2" s="1"/>
  <c r="BE86" i="2"/>
  <c r="AT86" i="2"/>
  <c r="AM86" i="2"/>
  <c r="AH86" i="2"/>
  <c r="AG86" i="2"/>
  <c r="AF86" i="2"/>
  <c r="AE86" i="2"/>
  <c r="AC86" i="2"/>
  <c r="AB86" i="2"/>
  <c r="AA86" i="2"/>
  <c r="Z86" i="2"/>
  <c r="X86" i="2"/>
  <c r="W86" i="2"/>
  <c r="U86" i="2"/>
  <c r="T86" i="2"/>
  <c r="S86" i="2"/>
  <c r="S74" i="2" s="1"/>
  <c r="K86" i="2"/>
  <c r="J86" i="2"/>
  <c r="I86" i="2"/>
  <c r="H86" i="2"/>
  <c r="F86" i="2"/>
  <c r="F74" i="2" s="1"/>
  <c r="BS85" i="2"/>
  <c r="BW85" i="2" s="1"/>
  <c r="BN85" i="2"/>
  <c r="BM85" i="2" s="1"/>
  <c r="BR85" i="2" s="1"/>
  <c r="BI85" i="2"/>
  <c r="BE85" i="2"/>
  <c r="BD85" i="2"/>
  <c r="AZ85" i="2"/>
  <c r="AX85" i="2"/>
  <c r="AM85" i="2"/>
  <c r="AR85" i="2" s="1"/>
  <c r="AI85" i="2"/>
  <c r="AE85" i="2"/>
  <c r="AD85" i="2"/>
  <c r="Z85" i="2"/>
  <c r="Y85" i="2" s="1"/>
  <c r="R85" i="2"/>
  <c r="Q85" i="2"/>
  <c r="V85" i="2" s="1"/>
  <c r="P85" i="2"/>
  <c r="O85" i="2"/>
  <c r="N85" i="2"/>
  <c r="L85" i="2" s="1"/>
  <c r="G85" i="2" s="1"/>
  <c r="BS84" i="2"/>
  <c r="BW84" i="2" s="1"/>
  <c r="BN84" i="2"/>
  <c r="BM84" i="2"/>
  <c r="BI84" i="2"/>
  <c r="BR84" i="2" s="1"/>
  <c r="BE84" i="2"/>
  <c r="BD84" i="2" s="1"/>
  <c r="AZ84" i="2"/>
  <c r="AX84" i="2"/>
  <c r="AM84" i="2"/>
  <c r="AR84" i="2" s="1"/>
  <c r="AI84" i="2"/>
  <c r="AE84" i="2"/>
  <c r="AD84" i="2" s="1"/>
  <c r="Z84" i="2"/>
  <c r="Y84" i="2"/>
  <c r="R84" i="2"/>
  <c r="Q84" i="2" s="1"/>
  <c r="V84" i="2" s="1"/>
  <c r="P84" i="2"/>
  <c r="O84" i="2"/>
  <c r="N84" i="2"/>
  <c r="BW83" i="2"/>
  <c r="BS83" i="2"/>
  <c r="BN83" i="2"/>
  <c r="BM83" i="2" s="1"/>
  <c r="BR83" i="2" s="1"/>
  <c r="BI83" i="2"/>
  <c r="BE83" i="2"/>
  <c r="BD83" i="2"/>
  <c r="AZ83" i="2"/>
  <c r="AM83" i="2"/>
  <c r="AR83" i="2" s="1"/>
  <c r="AI83" i="2"/>
  <c r="AX83" i="2" s="1"/>
  <c r="AE83" i="2"/>
  <c r="AD83" i="2"/>
  <c r="Z83" i="2"/>
  <c r="Y83" i="2" s="1"/>
  <c r="R83" i="2"/>
  <c r="Q83" i="2"/>
  <c r="V83" i="2" s="1"/>
  <c r="P83" i="2"/>
  <c r="O83" i="2"/>
  <c r="N83" i="2"/>
  <c r="M83" i="2"/>
  <c r="L83" i="2"/>
  <c r="G83" i="2" s="1"/>
  <c r="BS82" i="2"/>
  <c r="BN82" i="2"/>
  <c r="BM82" i="2"/>
  <c r="BI82" i="2"/>
  <c r="BE82" i="2"/>
  <c r="BD82" i="2"/>
  <c r="AZ82" i="2"/>
  <c r="AX82" i="2"/>
  <c r="AR82" i="2"/>
  <c r="AM82" i="2"/>
  <c r="AI82" i="2"/>
  <c r="AE82" i="2"/>
  <c r="AD82" i="2" s="1"/>
  <c r="Z82" i="2"/>
  <c r="Y82" i="2"/>
  <c r="V82" i="2"/>
  <c r="R82" i="2"/>
  <c r="Q82" i="2"/>
  <c r="P82" i="2"/>
  <c r="O82" i="2"/>
  <c r="N82" i="2"/>
  <c r="M82" i="2" s="1"/>
  <c r="BW81" i="2"/>
  <c r="BS81" i="2"/>
  <c r="BN81" i="2"/>
  <c r="BM81" i="2" s="1"/>
  <c r="BR81" i="2" s="1"/>
  <c r="BI81" i="2"/>
  <c r="BE81" i="2"/>
  <c r="BD81" i="2"/>
  <c r="AZ81" i="2"/>
  <c r="AM81" i="2"/>
  <c r="AR81" i="2" s="1"/>
  <c r="AI81" i="2"/>
  <c r="AX81" i="2" s="1"/>
  <c r="AE81" i="2"/>
  <c r="AD81" i="2"/>
  <c r="Z81" i="2"/>
  <c r="Y81" i="2" s="1"/>
  <c r="R81" i="2"/>
  <c r="Q81" i="2"/>
  <c r="V81" i="2" s="1"/>
  <c r="P81" i="2"/>
  <c r="L81" i="2" s="1"/>
  <c r="G81" i="2" s="1"/>
  <c r="O81" i="2"/>
  <c r="N81" i="2"/>
  <c r="M81" i="2"/>
  <c r="BS80" i="2"/>
  <c r="BW80" i="2" s="1"/>
  <c r="BN80" i="2"/>
  <c r="BM80" i="2"/>
  <c r="BI80" i="2"/>
  <c r="BE80" i="2"/>
  <c r="BD80" i="2" s="1"/>
  <c r="AZ80" i="2"/>
  <c r="AM80" i="2"/>
  <c r="AI80" i="2"/>
  <c r="AR80" i="2" s="1"/>
  <c r="AE80" i="2"/>
  <c r="AD80" i="2" s="1"/>
  <c r="Z80" i="2"/>
  <c r="Y80" i="2"/>
  <c r="R80" i="2"/>
  <c r="Q80" i="2" s="1"/>
  <c r="V80" i="2" s="1"/>
  <c r="P80" i="2"/>
  <c r="O80" i="2"/>
  <c r="N80" i="2"/>
  <c r="L80" i="2"/>
  <c r="G80" i="2" s="1"/>
  <c r="BS79" i="2"/>
  <c r="BW79" i="2" s="1"/>
  <c r="BN79" i="2"/>
  <c r="BM79" i="2" s="1"/>
  <c r="BR79" i="2" s="1"/>
  <c r="BI79" i="2"/>
  <c r="BE79" i="2"/>
  <c r="BD79" i="2"/>
  <c r="AZ79" i="2"/>
  <c r="AX79" i="2"/>
  <c r="AM79" i="2"/>
  <c r="AR79" i="2" s="1"/>
  <c r="AI79" i="2"/>
  <c r="AE79" i="2"/>
  <c r="AD79" i="2"/>
  <c r="Z79" i="2"/>
  <c r="Y79" i="2" s="1"/>
  <c r="R79" i="2"/>
  <c r="Q79" i="2"/>
  <c r="V79" i="2" s="1"/>
  <c r="P79" i="2"/>
  <c r="O79" i="2"/>
  <c r="N79" i="2"/>
  <c r="L79" i="2" s="1"/>
  <c r="G79" i="2" s="1"/>
  <c r="M79" i="2"/>
  <c r="BS78" i="2"/>
  <c r="BN78" i="2"/>
  <c r="BM78" i="2"/>
  <c r="BI78" i="2"/>
  <c r="BR78" i="2" s="1"/>
  <c r="BE78" i="2"/>
  <c r="BD78" i="2" s="1"/>
  <c r="AZ78" i="2"/>
  <c r="AZ75" i="2" s="1"/>
  <c r="AX78" i="2"/>
  <c r="AM78" i="2"/>
  <c r="AR78" i="2" s="1"/>
  <c r="AI78" i="2"/>
  <c r="AE78" i="2"/>
  <c r="AD78" i="2" s="1"/>
  <c r="Z78" i="2"/>
  <c r="Y78" i="2"/>
  <c r="R78" i="2"/>
  <c r="Q78" i="2" s="1"/>
  <c r="V78" i="2" s="1"/>
  <c r="P78" i="2"/>
  <c r="P75" i="2" s="1"/>
  <c r="O78" i="2"/>
  <c r="N78" i="2"/>
  <c r="BW77" i="2"/>
  <c r="BS77" i="2"/>
  <c r="BN77" i="2"/>
  <c r="BM77" i="2" s="1"/>
  <c r="BR77" i="2" s="1"/>
  <c r="BI77" i="2"/>
  <c r="BE77" i="2"/>
  <c r="BD77" i="2"/>
  <c r="AZ77" i="2"/>
  <c r="AM77" i="2"/>
  <c r="AR77" i="2" s="1"/>
  <c r="AI77" i="2"/>
  <c r="AX77" i="2" s="1"/>
  <c r="AE77" i="2"/>
  <c r="AD77" i="2"/>
  <c r="Z77" i="2"/>
  <c r="R77" i="2"/>
  <c r="P77" i="2"/>
  <c r="O77" i="2"/>
  <c r="N77" i="2"/>
  <c r="M77" i="2"/>
  <c r="L77" i="2"/>
  <c r="G77" i="2" s="1"/>
  <c r="BS76" i="2"/>
  <c r="BN76" i="2"/>
  <c r="BM76" i="2"/>
  <c r="BI76" i="2"/>
  <c r="BE76" i="2"/>
  <c r="BD76" i="2"/>
  <c r="AZ76" i="2"/>
  <c r="AX76" i="2"/>
  <c r="AR76" i="2"/>
  <c r="AM76" i="2"/>
  <c r="AI76" i="2"/>
  <c r="AE76" i="2"/>
  <c r="Z76" i="2"/>
  <c r="Y76" i="2"/>
  <c r="V76" i="2"/>
  <c r="R76" i="2"/>
  <c r="Q76" i="2"/>
  <c r="P76" i="2"/>
  <c r="O76" i="2"/>
  <c r="N76" i="2"/>
  <c r="BV75" i="2"/>
  <c r="BU75" i="2"/>
  <c r="BU74" i="2" s="1"/>
  <c r="BT75" i="2"/>
  <c r="BQ75" i="2"/>
  <c r="BP75" i="2"/>
  <c r="BO75" i="2"/>
  <c r="BN75" i="2" s="1"/>
  <c r="BM75" i="2" s="1"/>
  <c r="BL75" i="2"/>
  <c r="BL74" i="2" s="1"/>
  <c r="BK75" i="2"/>
  <c r="BJ75" i="2"/>
  <c r="BH75" i="2"/>
  <c r="BH74" i="2" s="1"/>
  <c r="BG75" i="2"/>
  <c r="BF75" i="2"/>
  <c r="BE75" i="2"/>
  <c r="BD75" i="2"/>
  <c r="AT75" i="2"/>
  <c r="AT74" i="2" s="1"/>
  <c r="AM75" i="2"/>
  <c r="AH75" i="2"/>
  <c r="AH74" i="2" s="1"/>
  <c r="AG75" i="2"/>
  <c r="AF75" i="2"/>
  <c r="AC75" i="2"/>
  <c r="AB75" i="2"/>
  <c r="AA75" i="2"/>
  <c r="AA74" i="2" s="1"/>
  <c r="X75" i="2"/>
  <c r="W75" i="2"/>
  <c r="U75" i="2"/>
  <c r="U74" i="2" s="1"/>
  <c r="T75" i="2"/>
  <c r="S75" i="2"/>
  <c r="K75" i="2"/>
  <c r="J75" i="2"/>
  <c r="J74" i="2" s="1"/>
  <c r="I75" i="2"/>
  <c r="H75" i="2"/>
  <c r="F75" i="2"/>
  <c r="BV74" i="2"/>
  <c r="BP74" i="2"/>
  <c r="BO74" i="2"/>
  <c r="BK74" i="2"/>
  <c r="BJ74" i="2"/>
  <c r="BG74" i="2"/>
  <c r="AM74" i="2"/>
  <c r="AF74" i="2"/>
  <c r="AC74" i="2"/>
  <c r="AB74" i="2"/>
  <c r="X74" i="2"/>
  <c r="W74" i="2"/>
  <c r="T74" i="2"/>
  <c r="K74" i="2"/>
  <c r="H74" i="2"/>
  <c r="BS73" i="2"/>
  <c r="BN73" i="2"/>
  <c r="BM73" i="2"/>
  <c r="BI73" i="2"/>
  <c r="BI71" i="2" s="1"/>
  <c r="BE73" i="2"/>
  <c r="BD73" i="2" s="1"/>
  <c r="AZ73" i="2"/>
  <c r="AM73" i="2"/>
  <c r="AI73" i="2"/>
  <c r="AR73" i="2" s="1"/>
  <c r="AE73" i="2"/>
  <c r="AD73" i="2" s="1"/>
  <c r="AD71" i="2" s="1"/>
  <c r="Z73" i="2"/>
  <c r="Y73" i="2"/>
  <c r="R73" i="2"/>
  <c r="Q73" i="2" s="1"/>
  <c r="V73" i="2" s="1"/>
  <c r="P73" i="2"/>
  <c r="O73" i="2"/>
  <c r="N73" i="2"/>
  <c r="M73" i="2" s="1"/>
  <c r="BS72" i="2"/>
  <c r="BW72" i="2" s="1"/>
  <c r="BN72" i="2"/>
  <c r="BM72" i="2"/>
  <c r="BR72" i="2" s="1"/>
  <c r="BI72" i="2"/>
  <c r="BE72" i="2"/>
  <c r="BD72" i="2"/>
  <c r="AZ72" i="2"/>
  <c r="AX72" i="2"/>
  <c r="AM72" i="2"/>
  <c r="AR72" i="2" s="1"/>
  <c r="AI72" i="2"/>
  <c r="AE72" i="2"/>
  <c r="AD72" i="2"/>
  <c r="Z72" i="2"/>
  <c r="Z71" i="2" s="1"/>
  <c r="Y72" i="2"/>
  <c r="Y71" i="2" s="1"/>
  <c r="R72" i="2"/>
  <c r="Q72" i="2"/>
  <c r="P72" i="2"/>
  <c r="O72" i="2"/>
  <c r="N72" i="2"/>
  <c r="M72" i="2"/>
  <c r="BV71" i="2"/>
  <c r="BV61" i="2" s="1"/>
  <c r="BU71" i="2"/>
  <c r="BT71" i="2"/>
  <c r="BQ71" i="2"/>
  <c r="BP71" i="2"/>
  <c r="BO71" i="2"/>
  <c r="BN71" i="2"/>
  <c r="BM71" i="2" s="1"/>
  <c r="BL71" i="2"/>
  <c r="BK71" i="2"/>
  <c r="BJ71" i="2"/>
  <c r="BH71" i="2"/>
  <c r="BG71" i="2"/>
  <c r="BF71" i="2"/>
  <c r="BE71" i="2" s="1"/>
  <c r="BD71" i="2" s="1"/>
  <c r="AZ71" i="2"/>
  <c r="AT71" i="2"/>
  <c r="AM71" i="2"/>
  <c r="AI71" i="2"/>
  <c r="AX71" i="2" s="1"/>
  <c r="AH71" i="2"/>
  <c r="AG71" i="2"/>
  <c r="AF71" i="2"/>
  <c r="AE71" i="2"/>
  <c r="AC71" i="2"/>
  <c r="AB71" i="2"/>
  <c r="AA71" i="2"/>
  <c r="X71" i="2"/>
  <c r="W71" i="2"/>
  <c r="U71" i="2"/>
  <c r="T71" i="2"/>
  <c r="S71" i="2"/>
  <c r="R71" i="2"/>
  <c r="P71" i="2"/>
  <c r="K71" i="2"/>
  <c r="J71" i="2"/>
  <c r="I71" i="2"/>
  <c r="H71" i="2"/>
  <c r="F71" i="2"/>
  <c r="BS70" i="2"/>
  <c r="BW70" i="2" s="1"/>
  <c r="BR70" i="2"/>
  <c r="BN70" i="2"/>
  <c r="BM70" i="2" s="1"/>
  <c r="BI70" i="2"/>
  <c r="BE70" i="2"/>
  <c r="BD70" i="2" s="1"/>
  <c r="AZ70" i="2"/>
  <c r="AX70" i="2"/>
  <c r="AR70" i="2"/>
  <c r="AM70" i="2"/>
  <c r="AI70" i="2"/>
  <c r="AE70" i="2"/>
  <c r="AE68" i="2" s="1"/>
  <c r="AD70" i="2"/>
  <c r="AD68" i="2" s="1"/>
  <c r="Z70" i="2"/>
  <c r="Y70" i="2" s="1"/>
  <c r="R70" i="2"/>
  <c r="R68" i="2" s="1"/>
  <c r="Q70" i="2"/>
  <c r="V70" i="2" s="1"/>
  <c r="P70" i="2"/>
  <c r="O70" i="2"/>
  <c r="N70" i="2"/>
  <c r="L70" i="2" s="1"/>
  <c r="G70" i="2"/>
  <c r="BS69" i="2"/>
  <c r="BN69" i="2"/>
  <c r="BM69" i="2"/>
  <c r="BI69" i="2"/>
  <c r="BI68" i="2" s="1"/>
  <c r="BE69" i="2"/>
  <c r="BD69" i="2"/>
  <c r="AZ69" i="2"/>
  <c r="AZ68" i="2" s="1"/>
  <c r="AM69" i="2"/>
  <c r="AR69" i="2" s="1"/>
  <c r="AI69" i="2"/>
  <c r="AI68" i="2" s="1"/>
  <c r="AE69" i="2"/>
  <c r="AD69" i="2" s="1"/>
  <c r="Z69" i="2"/>
  <c r="Y69" i="2"/>
  <c r="R69" i="2"/>
  <c r="Q69" i="2"/>
  <c r="P69" i="2"/>
  <c r="P68" i="2" s="1"/>
  <c r="O69" i="2"/>
  <c r="N69" i="2"/>
  <c r="BV68" i="2"/>
  <c r="BU68" i="2"/>
  <c r="BT68" i="2"/>
  <c r="BQ68" i="2"/>
  <c r="BP68" i="2"/>
  <c r="BO68" i="2"/>
  <c r="BN68" i="2"/>
  <c r="BM68" i="2"/>
  <c r="BL68" i="2"/>
  <c r="BK68" i="2"/>
  <c r="BJ68" i="2"/>
  <c r="BH68" i="2"/>
  <c r="BG68" i="2"/>
  <c r="BF68" i="2"/>
  <c r="BE68" i="2"/>
  <c r="BD68" i="2"/>
  <c r="AX68" i="2"/>
  <c r="AT68" i="2"/>
  <c r="AM68" i="2"/>
  <c r="AR68" i="2" s="1"/>
  <c r="AH68" i="2"/>
  <c r="AG68" i="2"/>
  <c r="AF68" i="2"/>
  <c r="AC68" i="2"/>
  <c r="AB68" i="2"/>
  <c r="AA68" i="2"/>
  <c r="Z68" i="2"/>
  <c r="X68" i="2"/>
  <c r="W68" i="2"/>
  <c r="U68" i="2"/>
  <c r="T68" i="2"/>
  <c r="S68" i="2"/>
  <c r="N68" i="2"/>
  <c r="K68" i="2"/>
  <c r="J68" i="2"/>
  <c r="I68" i="2"/>
  <c r="H68" i="2"/>
  <c r="F68" i="2"/>
  <c r="F61" i="2" s="1"/>
  <c r="BS67" i="2"/>
  <c r="BW67" i="2" s="1"/>
  <c r="BN67" i="2"/>
  <c r="BM67" i="2" s="1"/>
  <c r="BR67" i="2" s="1"/>
  <c r="BI67" i="2"/>
  <c r="BE67" i="2"/>
  <c r="BD67" i="2"/>
  <c r="AZ67" i="2"/>
  <c r="AM67" i="2"/>
  <c r="AI67" i="2"/>
  <c r="AE67" i="2"/>
  <c r="AD67" i="2" s="1"/>
  <c r="Z67" i="2"/>
  <c r="Y67" i="2" s="1"/>
  <c r="R67" i="2"/>
  <c r="Q67" i="2"/>
  <c r="V67" i="2" s="1"/>
  <c r="P67" i="2"/>
  <c r="O67" i="2"/>
  <c r="N67" i="2"/>
  <c r="M67" i="2"/>
  <c r="L67" i="2"/>
  <c r="G67" i="2" s="1"/>
  <c r="BS66" i="2"/>
  <c r="BS62" i="2" s="1"/>
  <c r="BN66" i="2"/>
  <c r="BM66" i="2"/>
  <c r="BR66" i="2" s="1"/>
  <c r="BI66" i="2"/>
  <c r="BE66" i="2"/>
  <c r="BD66" i="2" s="1"/>
  <c r="AZ66" i="2"/>
  <c r="AM66" i="2"/>
  <c r="AR66" i="2" s="1"/>
  <c r="AI66" i="2"/>
  <c r="AX66" i="2" s="1"/>
  <c r="AE66" i="2"/>
  <c r="AD66" i="2" s="1"/>
  <c r="Z66" i="2"/>
  <c r="Y66" i="2"/>
  <c r="R66" i="2"/>
  <c r="Q66" i="2" s="1"/>
  <c r="V66" i="2" s="1"/>
  <c r="P66" i="2"/>
  <c r="O66" i="2"/>
  <c r="L66" i="2" s="1"/>
  <c r="G66" i="2" s="1"/>
  <c r="N66" i="2"/>
  <c r="M66" i="2" s="1"/>
  <c r="BS65" i="2"/>
  <c r="BW65" i="2" s="1"/>
  <c r="BN65" i="2"/>
  <c r="BM65" i="2"/>
  <c r="BR65" i="2" s="1"/>
  <c r="BI65" i="2"/>
  <c r="BE65" i="2"/>
  <c r="BD65" i="2"/>
  <c r="AZ65" i="2"/>
  <c r="AX65" i="2"/>
  <c r="AR65" i="2"/>
  <c r="AM65" i="2"/>
  <c r="AI65" i="2"/>
  <c r="AE65" i="2"/>
  <c r="AD65" i="2"/>
  <c r="Z65" i="2"/>
  <c r="Y65" i="2"/>
  <c r="R65" i="2"/>
  <c r="Q65" i="2" s="1"/>
  <c r="V65" i="2" s="1"/>
  <c r="P65" i="2"/>
  <c r="O65" i="2"/>
  <c r="N65" i="2"/>
  <c r="L65" i="2" s="1"/>
  <c r="G65" i="2" s="1"/>
  <c r="BS64" i="2"/>
  <c r="BN64" i="2"/>
  <c r="BM64" i="2"/>
  <c r="BR64" i="2" s="1"/>
  <c r="BI64" i="2"/>
  <c r="BE64" i="2"/>
  <c r="BD64" i="2" s="1"/>
  <c r="AZ64" i="2"/>
  <c r="AX64" i="2"/>
  <c r="AM64" i="2"/>
  <c r="AR64" i="2" s="1"/>
  <c r="AI64" i="2"/>
  <c r="AE64" i="2"/>
  <c r="AD64" i="2" s="1"/>
  <c r="Z64" i="2"/>
  <c r="Y64" i="2"/>
  <c r="R64" i="2"/>
  <c r="Q64" i="2"/>
  <c r="V64" i="2" s="1"/>
  <c r="P64" i="2"/>
  <c r="O64" i="2"/>
  <c r="N64" i="2"/>
  <c r="M64" i="2" s="1"/>
  <c r="BS63" i="2"/>
  <c r="BN63" i="2"/>
  <c r="BM63" i="2"/>
  <c r="BM62" i="2" s="1"/>
  <c r="BI63" i="2"/>
  <c r="BW63" i="2" s="1"/>
  <c r="BE63" i="2"/>
  <c r="BD63" i="2"/>
  <c r="AZ63" i="2"/>
  <c r="AM63" i="2"/>
  <c r="AI63" i="2"/>
  <c r="AX63" i="2" s="1"/>
  <c r="AE63" i="2"/>
  <c r="AD63" i="2"/>
  <c r="Z63" i="2"/>
  <c r="Y63" i="2"/>
  <c r="R63" i="2"/>
  <c r="Q63" i="2"/>
  <c r="P63" i="2"/>
  <c r="O63" i="2"/>
  <c r="N63" i="2"/>
  <c r="M63" i="2" s="1"/>
  <c r="L63" i="2"/>
  <c r="G63" i="2" s="1"/>
  <c r="BV62" i="2"/>
  <c r="BU62" i="2"/>
  <c r="BU61" i="2" s="1"/>
  <c r="BT62" i="2"/>
  <c r="BT61" i="2" s="1"/>
  <c r="BQ62" i="2"/>
  <c r="BP62" i="2"/>
  <c r="BO62" i="2"/>
  <c r="BN62" i="2"/>
  <c r="BL62" i="2"/>
  <c r="BK62" i="2"/>
  <c r="BK61" i="2" s="1"/>
  <c r="BJ62" i="2"/>
  <c r="BH62" i="2"/>
  <c r="BG62" i="2"/>
  <c r="BG61" i="2" s="1"/>
  <c r="BF62" i="2"/>
  <c r="BF61" i="2" s="1"/>
  <c r="BE61" i="2" s="1"/>
  <c r="BD61" i="2" s="1"/>
  <c r="AZ62" i="2"/>
  <c r="AT62" i="2"/>
  <c r="AM62" i="2"/>
  <c r="AH62" i="2"/>
  <c r="AH61" i="2" s="1"/>
  <c r="AG62" i="2"/>
  <c r="AG61" i="2" s="1"/>
  <c r="AF62" i="2"/>
  <c r="AF61" i="2" s="1"/>
  <c r="AC62" i="2"/>
  <c r="AB62" i="2"/>
  <c r="AB61" i="2" s="1"/>
  <c r="AA62" i="2"/>
  <c r="AA61" i="2" s="1"/>
  <c r="Z62" i="2"/>
  <c r="Z61" i="2" s="1"/>
  <c r="X62" i="2"/>
  <c r="X61" i="2" s="1"/>
  <c r="W62" i="2"/>
  <c r="U62" i="2"/>
  <c r="T62" i="2"/>
  <c r="T61" i="2" s="1"/>
  <c r="S62" i="2"/>
  <c r="O62" i="2"/>
  <c r="N62" i="2"/>
  <c r="K62" i="2"/>
  <c r="K61" i="2" s="1"/>
  <c r="J62" i="2"/>
  <c r="J61" i="2" s="1"/>
  <c r="I62" i="2"/>
  <c r="I61" i="2" s="1"/>
  <c r="H62" i="2"/>
  <c r="H61" i="2" s="1"/>
  <c r="F62" i="2"/>
  <c r="BQ61" i="2"/>
  <c r="BP61" i="2"/>
  <c r="BO61" i="2"/>
  <c r="BN61" i="2"/>
  <c r="BM61" i="2" s="1"/>
  <c r="BL61" i="2"/>
  <c r="BJ61" i="2"/>
  <c r="BH61" i="2"/>
  <c r="AT61" i="2"/>
  <c r="AM61" i="2"/>
  <c r="AC61" i="2"/>
  <c r="W61" i="2"/>
  <c r="U61" i="2"/>
  <c r="S61" i="2"/>
  <c r="BW60" i="2"/>
  <c r="BS60" i="2"/>
  <c r="BN60" i="2"/>
  <c r="BM60" i="2" s="1"/>
  <c r="BR60" i="2" s="1"/>
  <c r="BI60" i="2"/>
  <c r="BE60" i="2"/>
  <c r="BD60" i="2" s="1"/>
  <c r="AZ60" i="2"/>
  <c r="AM60" i="2"/>
  <c r="AR60" i="2" s="1"/>
  <c r="AI60" i="2"/>
  <c r="AX60" i="2" s="1"/>
  <c r="AE60" i="2"/>
  <c r="AE59" i="2" s="1"/>
  <c r="AD60" i="2"/>
  <c r="AD59" i="2" s="1"/>
  <c r="Z60" i="2"/>
  <c r="R60" i="2"/>
  <c r="Q60" i="2"/>
  <c r="P60" i="2"/>
  <c r="O60" i="2"/>
  <c r="N60" i="2"/>
  <c r="M60" i="2" s="1"/>
  <c r="M59" i="2" s="1"/>
  <c r="L60" i="2"/>
  <c r="L59" i="2" s="1"/>
  <c r="G60" i="2"/>
  <c r="BV59" i="2"/>
  <c r="BS59" i="2" s="1"/>
  <c r="BW59" i="2" s="1"/>
  <c r="BU59" i="2"/>
  <c r="BT59" i="2"/>
  <c r="BQ59" i="2"/>
  <c r="BP59" i="2"/>
  <c r="BO59" i="2"/>
  <c r="BN59" i="2" s="1"/>
  <c r="BM59" i="2" s="1"/>
  <c r="BR59" i="2" s="1"/>
  <c r="BL59" i="2"/>
  <c r="BK59" i="2"/>
  <c r="BJ59" i="2"/>
  <c r="BI59" i="2"/>
  <c r="BH59" i="2"/>
  <c r="BG59" i="2"/>
  <c r="BF59" i="2"/>
  <c r="BE59" i="2" s="1"/>
  <c r="BD59" i="2" s="1"/>
  <c r="AZ59" i="2"/>
  <c r="AT59" i="2"/>
  <c r="AM59" i="2"/>
  <c r="AR59" i="2" s="1"/>
  <c r="AI59" i="2"/>
  <c r="AX59" i="2" s="1"/>
  <c r="AH59" i="2"/>
  <c r="AG59" i="2"/>
  <c r="AF59" i="2"/>
  <c r="AC59" i="2"/>
  <c r="AB59" i="2"/>
  <c r="AA59" i="2"/>
  <c r="X59" i="2"/>
  <c r="W59" i="2"/>
  <c r="U59" i="2"/>
  <c r="T59" i="2"/>
  <c r="S59" i="2"/>
  <c r="R59" i="2"/>
  <c r="P59" i="2"/>
  <c r="O59" i="2"/>
  <c r="N59" i="2"/>
  <c r="K59" i="2"/>
  <c r="J59" i="2"/>
  <c r="I59" i="2"/>
  <c r="H59" i="2"/>
  <c r="G59" i="2"/>
  <c r="F59" i="2"/>
  <c r="F41" i="2" s="1"/>
  <c r="BS58" i="2"/>
  <c r="BN58" i="2"/>
  <c r="BM58" i="2"/>
  <c r="BR58" i="2" s="1"/>
  <c r="BI58" i="2"/>
  <c r="BE58" i="2"/>
  <c r="BD58" i="2" s="1"/>
  <c r="AZ58" i="2"/>
  <c r="AX58" i="2"/>
  <c r="AR58" i="2"/>
  <c r="AM58" i="2"/>
  <c r="AI58" i="2"/>
  <c r="AE58" i="2"/>
  <c r="AD58" i="2" s="1"/>
  <c r="Z58" i="2"/>
  <c r="Y58" i="2" s="1"/>
  <c r="V58" i="2"/>
  <c r="R58" i="2"/>
  <c r="Q58" i="2" s="1"/>
  <c r="P58" i="2"/>
  <c r="O58" i="2"/>
  <c r="N58" i="2"/>
  <c r="L58" i="2" s="1"/>
  <c r="M58" i="2"/>
  <c r="G58" i="2"/>
  <c r="BS57" i="2"/>
  <c r="BW57" i="2" s="1"/>
  <c r="BN57" i="2"/>
  <c r="BM57" i="2" s="1"/>
  <c r="BR57" i="2" s="1"/>
  <c r="BI57" i="2"/>
  <c r="BE57" i="2"/>
  <c r="BD57" i="2"/>
  <c r="AZ57" i="2"/>
  <c r="AM57" i="2"/>
  <c r="AR57" i="2" s="1"/>
  <c r="AI57" i="2"/>
  <c r="AX57" i="2" s="1"/>
  <c r="AE57" i="2"/>
  <c r="AD57" i="2" s="1"/>
  <c r="Z57" i="2"/>
  <c r="Y57" i="2"/>
  <c r="R57" i="2"/>
  <c r="Q57" i="2"/>
  <c r="V57" i="2" s="1"/>
  <c r="P57" i="2"/>
  <c r="O57" i="2"/>
  <c r="N57" i="2"/>
  <c r="M57" i="2"/>
  <c r="L57" i="2"/>
  <c r="G57" i="2" s="1"/>
  <c r="BS56" i="2"/>
  <c r="BW56" i="2" s="1"/>
  <c r="BN56" i="2"/>
  <c r="BM56" i="2" s="1"/>
  <c r="BR56" i="2" s="1"/>
  <c r="BI56" i="2"/>
  <c r="BE56" i="2"/>
  <c r="BD56" i="2" s="1"/>
  <c r="AZ56" i="2"/>
  <c r="AM56" i="2"/>
  <c r="AI56" i="2"/>
  <c r="AE56" i="2"/>
  <c r="AD56" i="2" s="1"/>
  <c r="Z56" i="2"/>
  <c r="Y56" i="2" s="1"/>
  <c r="R56" i="2"/>
  <c r="Q56" i="2" s="1"/>
  <c r="V56" i="2" s="1"/>
  <c r="P56" i="2"/>
  <c r="O56" i="2"/>
  <c r="N56" i="2"/>
  <c r="M56" i="2" s="1"/>
  <c r="L56" i="2"/>
  <c r="G56" i="2"/>
  <c r="BS55" i="2"/>
  <c r="BW55" i="2" s="1"/>
  <c r="BN55" i="2"/>
  <c r="BM55" i="2" s="1"/>
  <c r="BR55" i="2" s="1"/>
  <c r="BI55" i="2"/>
  <c r="BE55" i="2"/>
  <c r="BD55" i="2"/>
  <c r="AZ55" i="2"/>
  <c r="AX55" i="2"/>
  <c r="AR55" i="2"/>
  <c r="AM55" i="2"/>
  <c r="AI55" i="2"/>
  <c r="AE55" i="2"/>
  <c r="AD55" i="2" s="1"/>
  <c r="Z55" i="2"/>
  <c r="Y55" i="2" s="1"/>
  <c r="R55" i="2"/>
  <c r="Q55" i="2"/>
  <c r="V55" i="2" s="1"/>
  <c r="P55" i="2"/>
  <c r="O55" i="2"/>
  <c r="N55" i="2"/>
  <c r="L55" i="2" s="1"/>
  <c r="G55" i="2" s="1"/>
  <c r="M55" i="2"/>
  <c r="BS54" i="2"/>
  <c r="BW54" i="2" s="1"/>
  <c r="BN54" i="2"/>
  <c r="BM54" i="2"/>
  <c r="BR54" i="2" s="1"/>
  <c r="BI54" i="2"/>
  <c r="BE54" i="2"/>
  <c r="BD54" i="2" s="1"/>
  <c r="AZ54" i="2"/>
  <c r="AZ42" i="2" s="1"/>
  <c r="AZ41" i="2" s="1"/>
  <c r="AX54" i="2"/>
  <c r="AM54" i="2"/>
  <c r="AR54" i="2" s="1"/>
  <c r="AI54" i="2"/>
  <c r="AE54" i="2"/>
  <c r="AD54" i="2" s="1"/>
  <c r="Z54" i="2"/>
  <c r="Y54" i="2"/>
  <c r="R54" i="2"/>
  <c r="Q54" i="2" s="1"/>
  <c r="V54" i="2" s="1"/>
  <c r="P54" i="2"/>
  <c r="O54" i="2"/>
  <c r="N54" i="2"/>
  <c r="BS53" i="2"/>
  <c r="BN53" i="2"/>
  <c r="BM53" i="2"/>
  <c r="BR53" i="2" s="1"/>
  <c r="BI53" i="2"/>
  <c r="BW53" i="2" s="1"/>
  <c r="BE53" i="2"/>
  <c r="BD53" i="2"/>
  <c r="AZ53" i="2"/>
  <c r="AM53" i="2"/>
  <c r="AR53" i="2" s="1"/>
  <c r="AI53" i="2"/>
  <c r="AX53" i="2" s="1"/>
  <c r="AE53" i="2"/>
  <c r="AD53" i="2"/>
  <c r="Z53" i="2"/>
  <c r="Y53" i="2"/>
  <c r="R53" i="2"/>
  <c r="Q53" i="2" s="1"/>
  <c r="V53" i="2" s="1"/>
  <c r="P53" i="2"/>
  <c r="O53" i="2"/>
  <c r="N53" i="2"/>
  <c r="M53" i="2"/>
  <c r="L53" i="2"/>
  <c r="G53" i="2" s="1"/>
  <c r="BS52" i="2"/>
  <c r="BN52" i="2"/>
  <c r="BM52" i="2"/>
  <c r="BI52" i="2"/>
  <c r="BE52" i="2"/>
  <c r="BD52" i="2"/>
  <c r="AZ52" i="2"/>
  <c r="AX52" i="2"/>
  <c r="AM52" i="2"/>
  <c r="AI52" i="2"/>
  <c r="AR52" i="2" s="1"/>
  <c r="AE52" i="2"/>
  <c r="AD52" i="2"/>
  <c r="Z52" i="2"/>
  <c r="Y52" i="2"/>
  <c r="V52" i="2"/>
  <c r="R52" i="2"/>
  <c r="Q52" i="2"/>
  <c r="P52" i="2"/>
  <c r="O52" i="2"/>
  <c r="L52" i="2" s="1"/>
  <c r="G52" i="2" s="1"/>
  <c r="N52" i="2"/>
  <c r="M52" i="2" s="1"/>
  <c r="BS51" i="2"/>
  <c r="BW51" i="2" s="1"/>
  <c r="BN51" i="2"/>
  <c r="BM51" i="2" s="1"/>
  <c r="BR51" i="2" s="1"/>
  <c r="BI51" i="2"/>
  <c r="BE51" i="2"/>
  <c r="BD51" i="2"/>
  <c r="AZ51" i="2"/>
  <c r="AM51" i="2"/>
  <c r="AR51" i="2" s="1"/>
  <c r="AI51" i="2"/>
  <c r="AX51" i="2" s="1"/>
  <c r="AE51" i="2"/>
  <c r="AD51" i="2"/>
  <c r="Z51" i="2"/>
  <c r="Y51" i="2" s="1"/>
  <c r="R51" i="2"/>
  <c r="Q51" i="2"/>
  <c r="V51" i="2" s="1"/>
  <c r="P51" i="2"/>
  <c r="O51" i="2"/>
  <c r="N51" i="2"/>
  <c r="M51" i="2"/>
  <c r="L51" i="2"/>
  <c r="G51" i="2"/>
  <c r="BS50" i="2"/>
  <c r="BW50" i="2" s="1"/>
  <c r="BN50" i="2"/>
  <c r="BM50" i="2" s="1"/>
  <c r="BR50" i="2" s="1"/>
  <c r="BI50" i="2"/>
  <c r="BE50" i="2"/>
  <c r="BD50" i="2" s="1"/>
  <c r="AZ50" i="2"/>
  <c r="AM50" i="2"/>
  <c r="AI50" i="2"/>
  <c r="AX50" i="2" s="1"/>
  <c r="AE50" i="2"/>
  <c r="AD50" i="2" s="1"/>
  <c r="Z50" i="2"/>
  <c r="Y50" i="2" s="1"/>
  <c r="R50" i="2"/>
  <c r="Q50" i="2" s="1"/>
  <c r="V50" i="2" s="1"/>
  <c r="P50" i="2"/>
  <c r="O50" i="2"/>
  <c r="N50" i="2"/>
  <c r="M50" i="2"/>
  <c r="L50" i="2"/>
  <c r="G50" i="2" s="1"/>
  <c r="BS49" i="2"/>
  <c r="BW49" i="2" s="1"/>
  <c r="BN49" i="2"/>
  <c r="BM49" i="2" s="1"/>
  <c r="BR49" i="2" s="1"/>
  <c r="BI49" i="2"/>
  <c r="BE49" i="2"/>
  <c r="BD49" i="2"/>
  <c r="AZ49" i="2"/>
  <c r="AX49" i="2"/>
  <c r="AM49" i="2"/>
  <c r="AR49" i="2" s="1"/>
  <c r="AI49" i="2"/>
  <c r="AE49" i="2"/>
  <c r="AD49" i="2" s="1"/>
  <c r="Z49" i="2"/>
  <c r="Y49" i="2" s="1"/>
  <c r="R49" i="2"/>
  <c r="Q49" i="2"/>
  <c r="V49" i="2" s="1"/>
  <c r="P49" i="2"/>
  <c r="O49" i="2"/>
  <c r="N49" i="2"/>
  <c r="L49" i="2" s="1"/>
  <c r="G49" i="2" s="1"/>
  <c r="BS48" i="2"/>
  <c r="BW48" i="2" s="1"/>
  <c r="BN48" i="2"/>
  <c r="BM48" i="2"/>
  <c r="BR48" i="2" s="1"/>
  <c r="BI48" i="2"/>
  <c r="BE48" i="2"/>
  <c r="BD48" i="2"/>
  <c r="AZ48" i="2"/>
  <c r="AX48" i="2"/>
  <c r="AM48" i="2"/>
  <c r="AR48" i="2" s="1"/>
  <c r="AI48" i="2"/>
  <c r="AE48" i="2"/>
  <c r="AD48" i="2" s="1"/>
  <c r="Z48" i="2"/>
  <c r="Y48" i="2"/>
  <c r="R48" i="2"/>
  <c r="Q48" i="2"/>
  <c r="V48" i="2" s="1"/>
  <c r="P48" i="2"/>
  <c r="P42" i="2" s="1"/>
  <c r="P41" i="2" s="1"/>
  <c r="O48" i="2"/>
  <c r="N48" i="2"/>
  <c r="BS47" i="2"/>
  <c r="BN47" i="2"/>
  <c r="BM47" i="2"/>
  <c r="BR47" i="2" s="1"/>
  <c r="BI47" i="2"/>
  <c r="BW47" i="2" s="1"/>
  <c r="BE47" i="2"/>
  <c r="BD47" i="2" s="1"/>
  <c r="AZ47" i="2"/>
  <c r="AM47" i="2"/>
  <c r="AR47" i="2" s="1"/>
  <c r="AI47" i="2"/>
  <c r="AX47" i="2" s="1"/>
  <c r="AE47" i="2"/>
  <c r="AD47" i="2"/>
  <c r="Z47" i="2"/>
  <c r="Y47" i="2"/>
  <c r="R47" i="2"/>
  <c r="Q47" i="2"/>
  <c r="V47" i="2" s="1"/>
  <c r="P47" i="2"/>
  <c r="O47" i="2"/>
  <c r="N47" i="2"/>
  <c r="M47" i="2"/>
  <c r="L47" i="2"/>
  <c r="G47" i="2" s="1"/>
  <c r="BS46" i="2"/>
  <c r="BW46" i="2" s="1"/>
  <c r="BN46" i="2"/>
  <c r="BM46" i="2"/>
  <c r="BR46" i="2" s="1"/>
  <c r="BI46" i="2"/>
  <c r="BE46" i="2"/>
  <c r="BD46" i="2"/>
  <c r="AZ46" i="2"/>
  <c r="AX46" i="2"/>
  <c r="AM46" i="2"/>
  <c r="AI46" i="2"/>
  <c r="AR46" i="2" s="1"/>
  <c r="AE46" i="2"/>
  <c r="AD46" i="2"/>
  <c r="Z46" i="2"/>
  <c r="Y46" i="2"/>
  <c r="V46" i="2"/>
  <c r="R46" i="2"/>
  <c r="Q46" i="2"/>
  <c r="P46" i="2"/>
  <c r="O46" i="2"/>
  <c r="L46" i="2" s="1"/>
  <c r="G46" i="2" s="1"/>
  <c r="N46" i="2"/>
  <c r="M46" i="2" s="1"/>
  <c r="BS45" i="2"/>
  <c r="BW45" i="2" s="1"/>
  <c r="BN45" i="2"/>
  <c r="BM45" i="2" s="1"/>
  <c r="BR45" i="2" s="1"/>
  <c r="BI45" i="2"/>
  <c r="BE45" i="2"/>
  <c r="BD45" i="2"/>
  <c r="AZ45" i="2"/>
  <c r="AM45" i="2"/>
  <c r="AR45" i="2" s="1"/>
  <c r="AI45" i="2"/>
  <c r="AX45" i="2" s="1"/>
  <c r="AE45" i="2"/>
  <c r="AD45" i="2"/>
  <c r="Z45" i="2"/>
  <c r="Y45" i="2" s="1"/>
  <c r="R45" i="2"/>
  <c r="Q45" i="2"/>
  <c r="V45" i="2" s="1"/>
  <c r="P45" i="2"/>
  <c r="O45" i="2"/>
  <c r="N45" i="2"/>
  <c r="M45" i="2"/>
  <c r="L45" i="2"/>
  <c r="G45" i="2"/>
  <c r="BS44" i="2"/>
  <c r="BW44" i="2" s="1"/>
  <c r="BN44" i="2"/>
  <c r="BM44" i="2" s="1"/>
  <c r="BR44" i="2" s="1"/>
  <c r="BI44" i="2"/>
  <c r="BE44" i="2"/>
  <c r="BD44" i="2" s="1"/>
  <c r="AZ44" i="2"/>
  <c r="AM44" i="2"/>
  <c r="AR44" i="2" s="1"/>
  <c r="AI44" i="2"/>
  <c r="AE44" i="2"/>
  <c r="Z44" i="2"/>
  <c r="Y44" i="2" s="1"/>
  <c r="R44" i="2"/>
  <c r="Q44" i="2" s="1"/>
  <c r="P44" i="2"/>
  <c r="O44" i="2"/>
  <c r="N44" i="2"/>
  <c r="M44" i="2"/>
  <c r="L44" i="2"/>
  <c r="G44" i="2"/>
  <c r="BS43" i="2"/>
  <c r="BW43" i="2" s="1"/>
  <c r="BN43" i="2"/>
  <c r="BM43" i="2" s="1"/>
  <c r="BR43" i="2" s="1"/>
  <c r="BI43" i="2"/>
  <c r="BE43" i="2"/>
  <c r="BD43" i="2"/>
  <c r="AZ43" i="2"/>
  <c r="AX43" i="2"/>
  <c r="AM43" i="2"/>
  <c r="AR43" i="2" s="1"/>
  <c r="AI43" i="2"/>
  <c r="AE43" i="2"/>
  <c r="AD43" i="2" s="1"/>
  <c r="Z43" i="2"/>
  <c r="R43" i="2"/>
  <c r="Q43" i="2"/>
  <c r="V43" i="2" s="1"/>
  <c r="P43" i="2"/>
  <c r="O43" i="2"/>
  <c r="N43" i="2"/>
  <c r="M43" i="2"/>
  <c r="BV42" i="2"/>
  <c r="BS42" i="2" s="1"/>
  <c r="BU42" i="2"/>
  <c r="BT42" i="2"/>
  <c r="BT41" i="2" s="1"/>
  <c r="BQ42" i="2"/>
  <c r="BP42" i="2"/>
  <c r="BP41" i="2" s="1"/>
  <c r="BO42" i="2"/>
  <c r="BO41" i="2" s="1"/>
  <c r="BN41" i="2" s="1"/>
  <c r="BM41" i="2" s="1"/>
  <c r="BL42" i="2"/>
  <c r="BK42" i="2"/>
  <c r="BJ42" i="2"/>
  <c r="BH42" i="2"/>
  <c r="BH41" i="2" s="1"/>
  <c r="BG42" i="2"/>
  <c r="BG41" i="2" s="1"/>
  <c r="BF42" i="2"/>
  <c r="BF41" i="2" s="1"/>
  <c r="BE42" i="2"/>
  <c r="BD42" i="2"/>
  <c r="AT42" i="2"/>
  <c r="AM42" i="2"/>
  <c r="AH42" i="2"/>
  <c r="AG42" i="2"/>
  <c r="AG41" i="2" s="1"/>
  <c r="AF42" i="2"/>
  <c r="AF41" i="2" s="1"/>
  <c r="AC42" i="2"/>
  <c r="AC41" i="2" s="1"/>
  <c r="AB42" i="2"/>
  <c r="AB41" i="2" s="1"/>
  <c r="AA42" i="2"/>
  <c r="AA41" i="2" s="1"/>
  <c r="X42" i="2"/>
  <c r="W42" i="2"/>
  <c r="U42" i="2"/>
  <c r="U41" i="2" s="1"/>
  <c r="T42" i="2"/>
  <c r="T41" i="2" s="1"/>
  <c r="S42" i="2"/>
  <c r="S41" i="2" s="1"/>
  <c r="K42" i="2"/>
  <c r="J42" i="2"/>
  <c r="I42" i="2"/>
  <c r="I41" i="2" s="1"/>
  <c r="H42" i="2"/>
  <c r="H41" i="2" s="1"/>
  <c r="F42" i="2"/>
  <c r="BV41" i="2"/>
  <c r="BU41" i="2"/>
  <c r="BQ41" i="2"/>
  <c r="BL41" i="2"/>
  <c r="BK41" i="2"/>
  <c r="BJ41" i="2"/>
  <c r="AT41" i="2"/>
  <c r="AM41" i="2"/>
  <c r="AH41" i="2"/>
  <c r="X41" i="2"/>
  <c r="W41" i="2"/>
  <c r="K41" i="2"/>
  <c r="J41" i="2"/>
  <c r="BS40" i="2"/>
  <c r="BN40" i="2"/>
  <c r="BM40" i="2"/>
  <c r="BR40" i="2" s="1"/>
  <c r="BI40" i="2"/>
  <c r="BW40" i="2" s="1"/>
  <c r="BE40" i="2"/>
  <c r="BD40" i="2" s="1"/>
  <c r="AZ40" i="2"/>
  <c r="AM40" i="2"/>
  <c r="AR40" i="2" s="1"/>
  <c r="AI40" i="2"/>
  <c r="AX40" i="2" s="1"/>
  <c r="AE40" i="2"/>
  <c r="AD40" i="2"/>
  <c r="AD39" i="2" s="1"/>
  <c r="Z40" i="2"/>
  <c r="Z39" i="2" s="1"/>
  <c r="Y40" i="2"/>
  <c r="Y39" i="2" s="1"/>
  <c r="R40" i="2"/>
  <c r="R39" i="2" s="1"/>
  <c r="Q40" i="2"/>
  <c r="P40" i="2"/>
  <c r="O40" i="2"/>
  <c r="N40" i="2"/>
  <c r="M40" i="2"/>
  <c r="M39" i="2" s="1"/>
  <c r="L40" i="2"/>
  <c r="G40" i="2" s="1"/>
  <c r="BV39" i="2"/>
  <c r="BU39" i="2"/>
  <c r="BT39" i="2"/>
  <c r="BS39" i="2"/>
  <c r="BW39" i="2" s="1"/>
  <c r="BQ39" i="2"/>
  <c r="BP39" i="2"/>
  <c r="BO39" i="2"/>
  <c r="BN39" i="2"/>
  <c r="BM39" i="2" s="1"/>
  <c r="BR39" i="2" s="1"/>
  <c r="BL39" i="2"/>
  <c r="BK39" i="2"/>
  <c r="BJ39" i="2"/>
  <c r="BI39" i="2"/>
  <c r="BH39" i="2"/>
  <c r="BG39" i="2"/>
  <c r="BF39" i="2"/>
  <c r="AZ39" i="2"/>
  <c r="AX39" i="2"/>
  <c r="AT39" i="2"/>
  <c r="AM39" i="2"/>
  <c r="AR39" i="2" s="1"/>
  <c r="AI39" i="2"/>
  <c r="AH39" i="2"/>
  <c r="AG39" i="2"/>
  <c r="AF39" i="2"/>
  <c r="AE39" i="2"/>
  <c r="AC39" i="2"/>
  <c r="AB39" i="2"/>
  <c r="AA39" i="2"/>
  <c r="X39" i="2"/>
  <c r="W39" i="2"/>
  <c r="U39" i="2"/>
  <c r="T39" i="2"/>
  <c r="S39" i="2"/>
  <c r="P39" i="2"/>
  <c r="O39" i="2"/>
  <c r="N39" i="2"/>
  <c r="L39" i="2"/>
  <c r="K39" i="2"/>
  <c r="J39" i="2"/>
  <c r="I39" i="2"/>
  <c r="H39" i="2"/>
  <c r="G39" i="2"/>
  <c r="F39" i="2"/>
  <c r="BS38" i="2"/>
  <c r="BN38" i="2"/>
  <c r="BM38" i="2" s="1"/>
  <c r="BR38" i="2" s="1"/>
  <c r="BI38" i="2"/>
  <c r="BW38" i="2" s="1"/>
  <c r="BE38" i="2"/>
  <c r="BD38" i="2"/>
  <c r="AZ38" i="2"/>
  <c r="AX38" i="2"/>
  <c r="AR38" i="2"/>
  <c r="AM38" i="2"/>
  <c r="AI38" i="2"/>
  <c r="AE38" i="2"/>
  <c r="AD38" i="2"/>
  <c r="Z38" i="2"/>
  <c r="Y38" i="2" s="1"/>
  <c r="R38" i="2"/>
  <c r="Q38" i="2"/>
  <c r="V38" i="2" s="1"/>
  <c r="P38" i="2"/>
  <c r="O38" i="2"/>
  <c r="N38" i="2"/>
  <c r="BW37" i="2"/>
  <c r="BS37" i="2"/>
  <c r="BN37" i="2"/>
  <c r="BM37" i="2"/>
  <c r="BR37" i="2" s="1"/>
  <c r="BI37" i="2"/>
  <c r="BE37" i="2"/>
  <c r="BD37" i="2"/>
  <c r="AZ37" i="2"/>
  <c r="AM37" i="2"/>
  <c r="AI37" i="2"/>
  <c r="AX37" i="2" s="1"/>
  <c r="AE37" i="2"/>
  <c r="AD37" i="2" s="1"/>
  <c r="Z37" i="2"/>
  <c r="Y37" i="2"/>
  <c r="R37" i="2"/>
  <c r="Q37" i="2"/>
  <c r="V37" i="2" s="1"/>
  <c r="P37" i="2"/>
  <c r="L37" i="2" s="1"/>
  <c r="G37" i="2" s="1"/>
  <c r="O37" i="2"/>
  <c r="N37" i="2"/>
  <c r="M37" i="2" s="1"/>
  <c r="BS36" i="2"/>
  <c r="BN36" i="2"/>
  <c r="BM36" i="2"/>
  <c r="BI36" i="2"/>
  <c r="BI28" i="2" s="1"/>
  <c r="BE36" i="2"/>
  <c r="BD36" i="2" s="1"/>
  <c r="AZ36" i="2"/>
  <c r="AR36" i="2"/>
  <c r="AM36" i="2"/>
  <c r="AI36" i="2"/>
  <c r="AX36" i="2" s="1"/>
  <c r="AE36" i="2"/>
  <c r="AD36" i="2"/>
  <c r="Z36" i="2"/>
  <c r="Y36" i="2"/>
  <c r="V36" i="2"/>
  <c r="R36" i="2"/>
  <c r="Q36" i="2" s="1"/>
  <c r="P36" i="2"/>
  <c r="O36" i="2"/>
  <c r="N36" i="2"/>
  <c r="M36" i="2" s="1"/>
  <c r="BS35" i="2"/>
  <c r="BW35" i="2" s="1"/>
  <c r="BN35" i="2"/>
  <c r="BM35" i="2" s="1"/>
  <c r="BR35" i="2" s="1"/>
  <c r="BI35" i="2"/>
  <c r="BE35" i="2"/>
  <c r="BD35" i="2" s="1"/>
  <c r="AZ35" i="2"/>
  <c r="AM35" i="2"/>
  <c r="AR35" i="2" s="1"/>
  <c r="AI35" i="2"/>
  <c r="AX35" i="2" s="1"/>
  <c r="AE35" i="2"/>
  <c r="AD35" i="2"/>
  <c r="Z35" i="2"/>
  <c r="Y35" i="2"/>
  <c r="R35" i="2"/>
  <c r="Q35" i="2" s="1"/>
  <c r="V35" i="2" s="1"/>
  <c r="P35" i="2"/>
  <c r="L35" i="2" s="1"/>
  <c r="G35" i="2" s="1"/>
  <c r="O35" i="2"/>
  <c r="N35" i="2"/>
  <c r="M35" i="2"/>
  <c r="BS34" i="2"/>
  <c r="BW34" i="2" s="1"/>
  <c r="BR34" i="2"/>
  <c r="BN34" i="2"/>
  <c r="BM34" i="2"/>
  <c r="BI34" i="2"/>
  <c r="BE34" i="2"/>
  <c r="BD34" i="2" s="1"/>
  <c r="AZ34" i="2"/>
  <c r="AM34" i="2"/>
  <c r="AR34" i="2" s="1"/>
  <c r="AI34" i="2"/>
  <c r="AX34" i="2" s="1"/>
  <c r="AE34" i="2"/>
  <c r="AD34" i="2"/>
  <c r="Z34" i="2"/>
  <c r="Y34" i="2"/>
  <c r="R34" i="2"/>
  <c r="Q34" i="2" s="1"/>
  <c r="V34" i="2" s="1"/>
  <c r="P34" i="2"/>
  <c r="O34" i="2"/>
  <c r="N34" i="2"/>
  <c r="M34" i="2"/>
  <c r="L34" i="2"/>
  <c r="G34" i="2"/>
  <c r="BW33" i="2"/>
  <c r="BS33" i="2"/>
  <c r="BN33" i="2"/>
  <c r="BM33" i="2"/>
  <c r="BR33" i="2" s="1"/>
  <c r="BI33" i="2"/>
  <c r="BE33" i="2"/>
  <c r="BD33" i="2"/>
  <c r="AZ33" i="2"/>
  <c r="AM33" i="2"/>
  <c r="AR33" i="2" s="1"/>
  <c r="AI33" i="2"/>
  <c r="AX33" i="2" s="1"/>
  <c r="AE33" i="2"/>
  <c r="AD33" i="2"/>
  <c r="Z33" i="2"/>
  <c r="Y33" i="2"/>
  <c r="R33" i="2"/>
  <c r="Q33" i="2"/>
  <c r="V33" i="2" s="1"/>
  <c r="P33" i="2"/>
  <c r="O33" i="2"/>
  <c r="N33" i="2"/>
  <c r="M33" i="2"/>
  <c r="L33" i="2"/>
  <c r="G33" i="2" s="1"/>
  <c r="BS32" i="2"/>
  <c r="BN32" i="2"/>
  <c r="BM32" i="2" s="1"/>
  <c r="BR32" i="2" s="1"/>
  <c r="BI32" i="2"/>
  <c r="BW32" i="2" s="1"/>
  <c r="BE32" i="2"/>
  <c r="BD32" i="2"/>
  <c r="AZ32" i="2"/>
  <c r="AX32" i="2"/>
  <c r="AR32" i="2"/>
  <c r="AM32" i="2"/>
  <c r="AI32" i="2"/>
  <c r="AE32" i="2"/>
  <c r="AD32" i="2"/>
  <c r="Z32" i="2"/>
  <c r="Y32" i="2" s="1"/>
  <c r="R32" i="2"/>
  <c r="Q32" i="2"/>
  <c r="V32" i="2" s="1"/>
  <c r="P32" i="2"/>
  <c r="O32" i="2"/>
  <c r="O28" i="2" s="1"/>
  <c r="N32" i="2"/>
  <c r="BW31" i="2"/>
  <c r="BS31" i="2"/>
  <c r="BN31" i="2"/>
  <c r="BM31" i="2"/>
  <c r="BR31" i="2" s="1"/>
  <c r="BI31" i="2"/>
  <c r="BE31" i="2"/>
  <c r="BD31" i="2"/>
  <c r="AZ31" i="2"/>
  <c r="AM31" i="2"/>
  <c r="AI31" i="2"/>
  <c r="AE31" i="2"/>
  <c r="AD31" i="2" s="1"/>
  <c r="Z31" i="2"/>
  <c r="Y31" i="2"/>
  <c r="R31" i="2"/>
  <c r="Q31" i="2"/>
  <c r="V31" i="2" s="1"/>
  <c r="P31" i="2"/>
  <c r="L31" i="2" s="1"/>
  <c r="G31" i="2" s="1"/>
  <c r="O31" i="2"/>
  <c r="N31" i="2"/>
  <c r="M31" i="2" s="1"/>
  <c r="BS30" i="2"/>
  <c r="BN30" i="2"/>
  <c r="BM30" i="2"/>
  <c r="BR30" i="2" s="1"/>
  <c r="BI30" i="2"/>
  <c r="BE30" i="2"/>
  <c r="BD30" i="2" s="1"/>
  <c r="AZ30" i="2"/>
  <c r="AR30" i="2"/>
  <c r="AM30" i="2"/>
  <c r="AI30" i="2"/>
  <c r="AX30" i="2" s="1"/>
  <c r="AE30" i="2"/>
  <c r="AD30" i="2"/>
  <c r="Z30" i="2"/>
  <c r="Y30" i="2"/>
  <c r="R30" i="2"/>
  <c r="Q30" i="2" s="1"/>
  <c r="V30" i="2" s="1"/>
  <c r="P30" i="2"/>
  <c r="O30" i="2"/>
  <c r="N30" i="2"/>
  <c r="BS29" i="2"/>
  <c r="BW29" i="2" s="1"/>
  <c r="BN29" i="2"/>
  <c r="BM29" i="2"/>
  <c r="BR29" i="2" s="1"/>
  <c r="BI29" i="2"/>
  <c r="BE29" i="2"/>
  <c r="BD29" i="2" s="1"/>
  <c r="AZ29" i="2"/>
  <c r="AM29" i="2"/>
  <c r="AR29" i="2" s="1"/>
  <c r="AI29" i="2"/>
  <c r="AX29" i="2" s="1"/>
  <c r="AE29" i="2"/>
  <c r="AE28" i="2" s="1"/>
  <c r="AD29" i="2"/>
  <c r="Z29" i="2"/>
  <c r="Z28" i="2" s="1"/>
  <c r="R29" i="2"/>
  <c r="Q29" i="2" s="1"/>
  <c r="P29" i="2"/>
  <c r="O29" i="2"/>
  <c r="N29" i="2"/>
  <c r="M29" i="2"/>
  <c r="BV28" i="2"/>
  <c r="BU28" i="2"/>
  <c r="BS28" i="2" s="1"/>
  <c r="BT28" i="2"/>
  <c r="BQ28" i="2"/>
  <c r="BM28" i="2" s="1"/>
  <c r="BP28" i="2"/>
  <c r="BO28" i="2"/>
  <c r="BN28" i="2"/>
  <c r="BL28" i="2"/>
  <c r="BK28" i="2"/>
  <c r="BJ28" i="2"/>
  <c r="BJ8" i="2" s="1"/>
  <c r="BJ7" i="2" s="1"/>
  <c r="BH28" i="2"/>
  <c r="BG28" i="2"/>
  <c r="BF28" i="2"/>
  <c r="BE28" i="2"/>
  <c r="BD28" i="2" s="1"/>
  <c r="AT28" i="2"/>
  <c r="AM28" i="2"/>
  <c r="AI28" i="2"/>
  <c r="AH28" i="2"/>
  <c r="AG28" i="2"/>
  <c r="AF28" i="2"/>
  <c r="AD28" i="2"/>
  <c r="AC28" i="2"/>
  <c r="AB28" i="2"/>
  <c r="AA28" i="2"/>
  <c r="X28" i="2"/>
  <c r="W28" i="2"/>
  <c r="U28" i="2"/>
  <c r="T28" i="2"/>
  <c r="S28" i="2"/>
  <c r="K28" i="2"/>
  <c r="J28" i="2"/>
  <c r="I28" i="2"/>
  <c r="H28" i="2"/>
  <c r="F28" i="2"/>
  <c r="BS27" i="2"/>
  <c r="BN27" i="2"/>
  <c r="BM27" i="2"/>
  <c r="BI27" i="2"/>
  <c r="BW27" i="2" s="1"/>
  <c r="BE27" i="2"/>
  <c r="BD27" i="2"/>
  <c r="AZ27" i="2"/>
  <c r="AM27" i="2"/>
  <c r="AR27" i="2" s="1"/>
  <c r="AI27" i="2"/>
  <c r="AX27" i="2" s="1"/>
  <c r="AE27" i="2"/>
  <c r="AD27" i="2"/>
  <c r="Z27" i="2"/>
  <c r="Y27" i="2"/>
  <c r="R27" i="2"/>
  <c r="Q27" i="2"/>
  <c r="V27" i="2" s="1"/>
  <c r="P27" i="2"/>
  <c r="O27" i="2"/>
  <c r="N27" i="2"/>
  <c r="M27" i="2"/>
  <c r="L27" i="2"/>
  <c r="G27" i="2" s="1"/>
  <c r="BS26" i="2"/>
  <c r="BW26" i="2" s="1"/>
  <c r="BN26" i="2"/>
  <c r="BM26" i="2"/>
  <c r="BI26" i="2"/>
  <c r="BE26" i="2"/>
  <c r="BD26" i="2"/>
  <c r="AZ26" i="2"/>
  <c r="AX26" i="2"/>
  <c r="AM26" i="2"/>
  <c r="AI26" i="2"/>
  <c r="AR26" i="2" s="1"/>
  <c r="AE26" i="2"/>
  <c r="AD26" i="2"/>
  <c r="Z26" i="2"/>
  <c r="Y26" i="2" s="1"/>
  <c r="V26" i="2"/>
  <c r="R26" i="2"/>
  <c r="Q26" i="2"/>
  <c r="P26" i="2"/>
  <c r="O26" i="2"/>
  <c r="L26" i="2" s="1"/>
  <c r="G26" i="2" s="1"/>
  <c r="N26" i="2"/>
  <c r="BW25" i="2"/>
  <c r="BS25" i="2"/>
  <c r="BR25" i="2"/>
  <c r="BN25" i="2"/>
  <c r="BM25" i="2" s="1"/>
  <c r="BI25" i="2"/>
  <c r="BE25" i="2"/>
  <c r="BD25" i="2"/>
  <c r="AZ25" i="2"/>
  <c r="AM25" i="2"/>
  <c r="AR25" i="2" s="1"/>
  <c r="AI25" i="2"/>
  <c r="AX25" i="2" s="1"/>
  <c r="AE25" i="2"/>
  <c r="AD25" i="2" s="1"/>
  <c r="Z25" i="2"/>
  <c r="Y25" i="2" s="1"/>
  <c r="R25" i="2"/>
  <c r="Q25" i="2"/>
  <c r="V25" i="2" s="1"/>
  <c r="P25" i="2"/>
  <c r="O25" i="2"/>
  <c r="N25" i="2"/>
  <c r="M25" i="2"/>
  <c r="L25" i="2"/>
  <c r="G25" i="2"/>
  <c r="BS24" i="2"/>
  <c r="BW24" i="2" s="1"/>
  <c r="BN24" i="2"/>
  <c r="BM24" i="2" s="1"/>
  <c r="BI24" i="2"/>
  <c r="BE24" i="2"/>
  <c r="BD24" i="2" s="1"/>
  <c r="AZ24" i="2"/>
  <c r="AM24" i="2"/>
  <c r="AR24" i="2" s="1"/>
  <c r="AI24" i="2"/>
  <c r="AE24" i="2"/>
  <c r="AD24" i="2" s="1"/>
  <c r="Z24" i="2"/>
  <c r="Y24" i="2" s="1"/>
  <c r="V24" i="2"/>
  <c r="R24" i="2"/>
  <c r="Q24" i="2" s="1"/>
  <c r="P24" i="2"/>
  <c r="O24" i="2"/>
  <c r="N24" i="2"/>
  <c r="M24" i="2" s="1"/>
  <c r="L24" i="2"/>
  <c r="G24" i="2" s="1"/>
  <c r="BS23" i="2"/>
  <c r="BW23" i="2" s="1"/>
  <c r="BN23" i="2"/>
  <c r="BM23" i="2" s="1"/>
  <c r="BR23" i="2" s="1"/>
  <c r="BI23" i="2"/>
  <c r="BE23" i="2"/>
  <c r="BD23" i="2"/>
  <c r="AZ23" i="2"/>
  <c r="AX23" i="2"/>
  <c r="AM23" i="2"/>
  <c r="AR23" i="2" s="1"/>
  <c r="AI23" i="2"/>
  <c r="AE23" i="2"/>
  <c r="AD23" i="2" s="1"/>
  <c r="Z23" i="2"/>
  <c r="Y23" i="2" s="1"/>
  <c r="Y21" i="2" s="1"/>
  <c r="R23" i="2"/>
  <c r="Q23" i="2"/>
  <c r="V23" i="2" s="1"/>
  <c r="P23" i="2"/>
  <c r="O23" i="2"/>
  <c r="N23" i="2"/>
  <c r="M23" i="2" s="1"/>
  <c r="BS22" i="2"/>
  <c r="BW22" i="2" s="1"/>
  <c r="BN22" i="2"/>
  <c r="BM22" i="2"/>
  <c r="BR22" i="2" s="1"/>
  <c r="BI22" i="2"/>
  <c r="BE22" i="2"/>
  <c r="BD22" i="2" s="1"/>
  <c r="AZ22" i="2"/>
  <c r="AX22" i="2"/>
  <c r="AM22" i="2"/>
  <c r="AR22" i="2" s="1"/>
  <c r="AI22" i="2"/>
  <c r="AE22" i="2"/>
  <c r="AD22" i="2" s="1"/>
  <c r="AD21" i="2" s="1"/>
  <c r="Z22" i="2"/>
  <c r="Y22" i="2"/>
  <c r="R22" i="2"/>
  <c r="Q22" i="2" s="1"/>
  <c r="P22" i="2"/>
  <c r="P21" i="2" s="1"/>
  <c r="O22" i="2"/>
  <c r="N22" i="2"/>
  <c r="L22" i="2" s="1"/>
  <c r="BV21" i="2"/>
  <c r="BU21" i="2"/>
  <c r="BT21" i="2"/>
  <c r="BS21" i="2" s="1"/>
  <c r="BQ21" i="2"/>
  <c r="BP21" i="2"/>
  <c r="BN21" i="2" s="1"/>
  <c r="BM21" i="2" s="1"/>
  <c r="BO21" i="2"/>
  <c r="BL21" i="2"/>
  <c r="BL8" i="2" s="1"/>
  <c r="BL7" i="2" s="1"/>
  <c r="BK21" i="2"/>
  <c r="BJ21" i="2"/>
  <c r="BH21" i="2"/>
  <c r="BG21" i="2"/>
  <c r="BF21" i="2"/>
  <c r="BE21" i="2"/>
  <c r="BD21" i="2" s="1"/>
  <c r="AT21" i="2"/>
  <c r="AM21" i="2"/>
  <c r="AH21" i="2"/>
  <c r="AG21" i="2"/>
  <c r="AG8" i="2" s="1"/>
  <c r="AF21" i="2"/>
  <c r="AE21" i="2"/>
  <c r="AC21" i="2"/>
  <c r="AB21" i="2"/>
  <c r="AA21" i="2"/>
  <c r="X21" i="2"/>
  <c r="W21" i="2"/>
  <c r="U21" i="2"/>
  <c r="T21" i="2"/>
  <c r="S21" i="2"/>
  <c r="S8" i="2" s="1"/>
  <c r="S7" i="2" s="1"/>
  <c r="R21" i="2"/>
  <c r="K21" i="2"/>
  <c r="J21" i="2"/>
  <c r="I21" i="2"/>
  <c r="H21" i="2"/>
  <c r="F21" i="2"/>
  <c r="BW20" i="2"/>
  <c r="BS20" i="2"/>
  <c r="BN20" i="2"/>
  <c r="BM20" i="2"/>
  <c r="BR20" i="2" s="1"/>
  <c r="BI20" i="2"/>
  <c r="BE20" i="2"/>
  <c r="BD20" i="2"/>
  <c r="AZ20" i="2"/>
  <c r="AM20" i="2"/>
  <c r="AR20" i="2" s="1"/>
  <c r="AI20" i="2"/>
  <c r="AX20" i="2" s="1"/>
  <c r="AE20" i="2"/>
  <c r="AD20" i="2"/>
  <c r="Z20" i="2"/>
  <c r="Y20" i="2"/>
  <c r="R20" i="2"/>
  <c r="Q20" i="2"/>
  <c r="V20" i="2" s="1"/>
  <c r="P20" i="2"/>
  <c r="O20" i="2"/>
  <c r="N20" i="2"/>
  <c r="M20" i="2" s="1"/>
  <c r="L20" i="2"/>
  <c r="G20" i="2" s="1"/>
  <c r="BS19" i="2"/>
  <c r="BR19" i="2"/>
  <c r="BN19" i="2"/>
  <c r="BM19" i="2" s="1"/>
  <c r="BI19" i="2"/>
  <c r="BW19" i="2" s="1"/>
  <c r="BE19" i="2"/>
  <c r="BD19" i="2"/>
  <c r="AZ19" i="2"/>
  <c r="AX19" i="2"/>
  <c r="AR19" i="2"/>
  <c r="AM19" i="2"/>
  <c r="AI19" i="2"/>
  <c r="AE19" i="2"/>
  <c r="AD19" i="2"/>
  <c r="Z19" i="2"/>
  <c r="Y19" i="2" s="1"/>
  <c r="R19" i="2"/>
  <c r="Q19" i="2"/>
  <c r="V19" i="2" s="1"/>
  <c r="P19" i="2"/>
  <c r="O19" i="2"/>
  <c r="N19" i="2"/>
  <c r="BS18" i="2"/>
  <c r="BN18" i="2"/>
  <c r="BM18" i="2" s="1"/>
  <c r="BR18" i="2" s="1"/>
  <c r="BI18" i="2"/>
  <c r="BW18" i="2" s="1"/>
  <c r="BE18" i="2"/>
  <c r="BD18" i="2"/>
  <c r="AZ18" i="2"/>
  <c r="AM18" i="2"/>
  <c r="AI18" i="2"/>
  <c r="AE18" i="2"/>
  <c r="AD18" i="2" s="1"/>
  <c r="Z18" i="2"/>
  <c r="Y18" i="2"/>
  <c r="R18" i="2"/>
  <c r="Q18" i="2" s="1"/>
  <c r="V18" i="2" s="1"/>
  <c r="P18" i="2"/>
  <c r="L18" i="2" s="1"/>
  <c r="G18" i="2" s="1"/>
  <c r="O18" i="2"/>
  <c r="N18" i="2"/>
  <c r="M18" i="2" s="1"/>
  <c r="BS17" i="2"/>
  <c r="BW17" i="2" s="1"/>
  <c r="BN17" i="2"/>
  <c r="BM17" i="2" s="1"/>
  <c r="BR17" i="2" s="1"/>
  <c r="BI17" i="2"/>
  <c r="BE17" i="2"/>
  <c r="BD17" i="2" s="1"/>
  <c r="AZ17" i="2"/>
  <c r="AR17" i="2"/>
  <c r="AM17" i="2"/>
  <c r="AI17" i="2"/>
  <c r="AX17" i="2" s="1"/>
  <c r="AE17" i="2"/>
  <c r="AD17" i="2" s="1"/>
  <c r="Z17" i="2"/>
  <c r="Y17" i="2" s="1"/>
  <c r="V17" i="2"/>
  <c r="R17" i="2"/>
  <c r="Q17" i="2" s="1"/>
  <c r="P17" i="2"/>
  <c r="O17" i="2"/>
  <c r="N17" i="2"/>
  <c r="BW16" i="2"/>
  <c r="BS16" i="2"/>
  <c r="BN16" i="2"/>
  <c r="BM16" i="2"/>
  <c r="BR16" i="2" s="1"/>
  <c r="BI16" i="2"/>
  <c r="BE16" i="2"/>
  <c r="BD16" i="2" s="1"/>
  <c r="AZ16" i="2"/>
  <c r="AM16" i="2"/>
  <c r="AI16" i="2"/>
  <c r="AX16" i="2" s="1"/>
  <c r="AE16" i="2"/>
  <c r="AD16" i="2" s="1"/>
  <c r="Z16" i="2"/>
  <c r="Y16" i="2" s="1"/>
  <c r="R16" i="2"/>
  <c r="Q16" i="2" s="1"/>
  <c r="V16" i="2" s="1"/>
  <c r="P16" i="2"/>
  <c r="L16" i="2" s="1"/>
  <c r="G16" i="2" s="1"/>
  <c r="O16" i="2"/>
  <c r="N16" i="2"/>
  <c r="M16" i="2"/>
  <c r="BS15" i="2"/>
  <c r="BW15" i="2" s="1"/>
  <c r="BR15" i="2"/>
  <c r="BN15" i="2"/>
  <c r="BM15" i="2"/>
  <c r="BI15" i="2"/>
  <c r="BE15" i="2"/>
  <c r="BD15" i="2"/>
  <c r="AZ15" i="2"/>
  <c r="AX15" i="2"/>
  <c r="AM15" i="2"/>
  <c r="AR15" i="2" s="1"/>
  <c r="AI15" i="2"/>
  <c r="AE15" i="2"/>
  <c r="AD15" i="2" s="1"/>
  <c r="Z15" i="2"/>
  <c r="Y15" i="2"/>
  <c r="R15" i="2"/>
  <c r="Q15" i="2" s="1"/>
  <c r="V15" i="2" s="1"/>
  <c r="P15" i="2"/>
  <c r="O15" i="2"/>
  <c r="N15" i="2"/>
  <c r="M15" i="2" s="1"/>
  <c r="BS14" i="2"/>
  <c r="BN14" i="2"/>
  <c r="BM14" i="2"/>
  <c r="BI14" i="2"/>
  <c r="BW14" i="2" s="1"/>
  <c r="BE14" i="2"/>
  <c r="BD14" i="2"/>
  <c r="AZ14" i="2"/>
  <c r="AX14" i="2"/>
  <c r="AM14" i="2"/>
  <c r="AR14" i="2" s="1"/>
  <c r="AI14" i="2"/>
  <c r="AE14" i="2"/>
  <c r="AD14" i="2"/>
  <c r="Z14" i="2"/>
  <c r="Y14" i="2"/>
  <c r="R14" i="2"/>
  <c r="Q14" i="2"/>
  <c r="V14" i="2" s="1"/>
  <c r="P14" i="2"/>
  <c r="O14" i="2"/>
  <c r="M14" i="2" s="1"/>
  <c r="N14" i="2"/>
  <c r="BS13" i="2"/>
  <c r="BN13" i="2"/>
  <c r="BM13" i="2" s="1"/>
  <c r="BR13" i="2" s="1"/>
  <c r="BI13" i="2"/>
  <c r="BW13" i="2" s="1"/>
  <c r="BE13" i="2"/>
  <c r="BD13" i="2" s="1"/>
  <c r="AZ13" i="2"/>
  <c r="AX13" i="2"/>
  <c r="AR13" i="2"/>
  <c r="AM13" i="2"/>
  <c r="AI13" i="2"/>
  <c r="AE13" i="2"/>
  <c r="AD13" i="2"/>
  <c r="Z13" i="2"/>
  <c r="Y13" i="2" s="1"/>
  <c r="V13" i="2"/>
  <c r="R13" i="2"/>
  <c r="Q13" i="2"/>
  <c r="P13" i="2"/>
  <c r="O13" i="2"/>
  <c r="N13" i="2"/>
  <c r="BW12" i="2"/>
  <c r="BS12" i="2"/>
  <c r="BN12" i="2"/>
  <c r="BM12" i="2"/>
  <c r="BI12" i="2"/>
  <c r="BI9" i="2" s="1"/>
  <c r="BE12" i="2"/>
  <c r="BD12" i="2"/>
  <c r="AZ12" i="2"/>
  <c r="AZ9" i="2" s="1"/>
  <c r="AM12" i="2"/>
  <c r="AI12" i="2"/>
  <c r="AE12" i="2"/>
  <c r="AD12" i="2" s="1"/>
  <c r="Z12" i="2"/>
  <c r="Z9" i="2" s="1"/>
  <c r="Y12" i="2"/>
  <c r="R12" i="2"/>
  <c r="Q12" i="2"/>
  <c r="V12" i="2" s="1"/>
  <c r="P12" i="2"/>
  <c r="O12" i="2"/>
  <c r="N12" i="2"/>
  <c r="M12" i="2" s="1"/>
  <c r="L12" i="2"/>
  <c r="G12" i="2"/>
  <c r="BS11" i="2"/>
  <c r="BW11" i="2" s="1"/>
  <c r="BN11" i="2"/>
  <c r="BM11" i="2"/>
  <c r="BR11" i="2" s="1"/>
  <c r="BI11" i="2"/>
  <c r="BE11" i="2"/>
  <c r="BD11" i="2" s="1"/>
  <c r="AZ11" i="2"/>
  <c r="AR11" i="2"/>
  <c r="AM11" i="2"/>
  <c r="AI11" i="2"/>
  <c r="AX11" i="2" s="1"/>
  <c r="AE11" i="2"/>
  <c r="AD11" i="2"/>
  <c r="Z11" i="2"/>
  <c r="Y11" i="2"/>
  <c r="R11" i="2"/>
  <c r="Q11" i="2" s="1"/>
  <c r="V11" i="2" s="1"/>
  <c r="P11" i="2"/>
  <c r="O11" i="2"/>
  <c r="N11" i="2"/>
  <c r="L11" i="2" s="1"/>
  <c r="G11" i="2" s="1"/>
  <c r="M11" i="2"/>
  <c r="BW10" i="2"/>
  <c r="BS10" i="2"/>
  <c r="BN10" i="2"/>
  <c r="BM10" i="2"/>
  <c r="BR10" i="2" s="1"/>
  <c r="BI10" i="2"/>
  <c r="BE10" i="2"/>
  <c r="BD10" i="2" s="1"/>
  <c r="AZ10" i="2"/>
  <c r="AM10" i="2"/>
  <c r="AI10" i="2"/>
  <c r="AX10" i="2" s="1"/>
  <c r="AE10" i="2"/>
  <c r="AD10" i="2"/>
  <c r="Z10" i="2"/>
  <c r="Y10" i="2"/>
  <c r="Y9" i="2" s="1"/>
  <c r="R10" i="2"/>
  <c r="Q10" i="2" s="1"/>
  <c r="V10" i="2" s="1"/>
  <c r="P10" i="2"/>
  <c r="P9" i="2" s="1"/>
  <c r="O10" i="2"/>
  <c r="M10" i="2" s="1"/>
  <c r="N10" i="2"/>
  <c r="BV9" i="2"/>
  <c r="BU9" i="2"/>
  <c r="BU8" i="2" s="1"/>
  <c r="BT9" i="2"/>
  <c r="BQ9" i="2"/>
  <c r="BP9" i="2"/>
  <c r="BO9" i="2"/>
  <c r="BN9" i="2"/>
  <c r="BM9" i="2" s="1"/>
  <c r="BR9" i="2" s="1"/>
  <c r="BL9" i="2"/>
  <c r="BK9" i="2"/>
  <c r="BK8" i="2" s="1"/>
  <c r="BJ9" i="2"/>
  <c r="BH9" i="2"/>
  <c r="BG9" i="2"/>
  <c r="BF9" i="2"/>
  <c r="BE9" i="2"/>
  <c r="BD9" i="2"/>
  <c r="BC9" i="2"/>
  <c r="BC8" i="2" s="1"/>
  <c r="BC7" i="2" s="1"/>
  <c r="BB9" i="2"/>
  <c r="BB8" i="2" s="1"/>
  <c r="BB7" i="2" s="1"/>
  <c r="BA9" i="2"/>
  <c r="AW9" i="2"/>
  <c r="AV9" i="2"/>
  <c r="AU9" i="2"/>
  <c r="AT9" i="2"/>
  <c r="AX9" i="2" s="1"/>
  <c r="AM9" i="2"/>
  <c r="AL9" i="2"/>
  <c r="AL8" i="2" s="1"/>
  <c r="AL7" i="2" s="1"/>
  <c r="AK9" i="2"/>
  <c r="AK8" i="2" s="1"/>
  <c r="AK7" i="2" s="1"/>
  <c r="AJ9" i="2"/>
  <c r="AJ8" i="2" s="1"/>
  <c r="AJ7" i="2" s="1"/>
  <c r="AI9" i="2"/>
  <c r="AH9" i="2"/>
  <c r="AG9" i="2"/>
  <c r="AF9" i="2"/>
  <c r="AC9" i="2"/>
  <c r="AC8" i="2" s="1"/>
  <c r="AC7" i="2" s="1"/>
  <c r="AB9" i="2"/>
  <c r="AB8" i="2" s="1"/>
  <c r="AB7" i="2" s="1"/>
  <c r="AA9" i="2"/>
  <c r="AA8" i="2" s="1"/>
  <c r="AA7" i="2" s="1"/>
  <c r="X9" i="2"/>
  <c r="X8" i="2" s="1"/>
  <c r="W9" i="2"/>
  <c r="W8" i="2" s="1"/>
  <c r="W7" i="2" s="1"/>
  <c r="U9" i="2"/>
  <c r="T9" i="2"/>
  <c r="S9" i="2"/>
  <c r="K9" i="2"/>
  <c r="K8" i="2" s="1"/>
  <c r="K7" i="2" s="1"/>
  <c r="J9" i="2"/>
  <c r="J8" i="2" s="1"/>
  <c r="J7" i="2" s="1"/>
  <c r="I9" i="2"/>
  <c r="H9" i="2"/>
  <c r="F9" i="2"/>
  <c r="BV8" i="2"/>
  <c r="BT8" i="2"/>
  <c r="BQ8" i="2"/>
  <c r="BP8" i="2"/>
  <c r="BN8" i="2" s="1"/>
  <c r="BM8" i="2" s="1"/>
  <c r="BO8" i="2"/>
  <c r="BH8" i="2"/>
  <c r="BG8" i="2"/>
  <c r="BG7" i="2" s="1"/>
  <c r="BF8" i="2"/>
  <c r="BA8" i="2"/>
  <c r="AW8" i="2"/>
  <c r="AW7" i="2" s="1"/>
  <c r="AV8" i="2"/>
  <c r="AV7" i="2" s="1"/>
  <c r="AU8" i="2"/>
  <c r="AU7" i="2" s="1"/>
  <c r="AT8" i="2"/>
  <c r="AQ8" i="2"/>
  <c r="AQ7" i="2" s="1"/>
  <c r="AP8" i="2"/>
  <c r="AN8" i="2" s="1"/>
  <c r="AM8" i="2" s="1"/>
  <c r="AO8" i="2"/>
  <c r="AH8" i="2"/>
  <c r="AH7" i="2" s="1"/>
  <c r="AF8" i="2"/>
  <c r="AF7" i="2" s="1"/>
  <c r="U8" i="2"/>
  <c r="U7" i="2" s="1"/>
  <c r="T8" i="2"/>
  <c r="T7" i="2" s="1"/>
  <c r="I8" i="2"/>
  <c r="H8" i="2"/>
  <c r="H7" i="2" s="1"/>
  <c r="F8" i="2"/>
  <c r="F7" i="2" s="1"/>
  <c r="BA7" i="2"/>
  <c r="AO7" i="2"/>
  <c r="I42" i="1"/>
  <c r="D42" i="1"/>
  <c r="I41" i="1"/>
  <c r="D41" i="1"/>
  <c r="I40" i="1"/>
  <c r="D40" i="1"/>
  <c r="I39" i="1"/>
  <c r="D39" i="1"/>
  <c r="I38" i="1"/>
  <c r="D38" i="1"/>
  <c r="I37" i="1"/>
  <c r="D37" i="1"/>
  <c r="I36" i="1"/>
  <c r="D36" i="1"/>
  <c r="I35" i="1"/>
  <c r="D35" i="1"/>
  <c r="I34" i="1"/>
  <c r="D34" i="1"/>
  <c r="I33" i="1"/>
  <c r="D33" i="1"/>
  <c r="I32" i="1"/>
  <c r="D32" i="1"/>
  <c r="I31" i="1"/>
  <c r="D31" i="1"/>
  <c r="I30" i="1"/>
  <c r="D30" i="1"/>
  <c r="I29" i="1"/>
  <c r="D29" i="1"/>
  <c r="I28" i="1"/>
  <c r="D28" i="1"/>
  <c r="I27" i="1"/>
  <c r="D27" i="1"/>
  <c r="I26" i="1"/>
  <c r="D26" i="1"/>
  <c r="I25" i="1"/>
  <c r="D25" i="1"/>
  <c r="I24" i="1"/>
  <c r="D24" i="1"/>
  <c r="I23" i="1"/>
  <c r="D23" i="1"/>
  <c r="I22" i="1"/>
  <c r="D22" i="1"/>
  <c r="I21" i="1"/>
  <c r="D21" i="1"/>
  <c r="I20" i="1"/>
  <c r="D20" i="1"/>
  <c r="I19" i="1"/>
  <c r="D19" i="1"/>
  <c r="I18" i="1"/>
  <c r="D18" i="1"/>
  <c r="I17" i="1"/>
  <c r="D17" i="1"/>
  <c r="I16" i="1"/>
  <c r="D16" i="1"/>
  <c r="I15" i="1"/>
  <c r="D15" i="1"/>
  <c r="I14" i="1"/>
  <c r="D14" i="1"/>
  <c r="I13" i="1"/>
  <c r="D13" i="1"/>
  <c r="I12" i="1"/>
  <c r="D12" i="1"/>
  <c r="I11" i="1"/>
  <c r="D11" i="1"/>
  <c r="I10" i="1"/>
  <c r="D10" i="1"/>
  <c r="I9" i="1"/>
  <c r="D9" i="1"/>
  <c r="I8" i="1"/>
  <c r="D8" i="1"/>
  <c r="H7" i="1"/>
  <c r="H6" i="1" s="1"/>
  <c r="F7" i="1"/>
  <c r="F6" i="1" s="1"/>
  <c r="G6" i="1" s="1"/>
  <c r="E7" i="1"/>
  <c r="E6" i="1" s="1"/>
  <c r="D7" i="1"/>
  <c r="D6" i="1"/>
  <c r="C6" i="1"/>
  <c r="I6" i="1" l="1"/>
  <c r="BW21" i="2"/>
  <c r="P8" i="2"/>
  <c r="BI8" i="2"/>
  <c r="BR8" i="2"/>
  <c r="V22" i="2"/>
  <c r="Q21" i="2"/>
  <c r="V21" i="2" s="1"/>
  <c r="M48" i="2"/>
  <c r="M42" i="2" s="1"/>
  <c r="M41" i="2" s="1"/>
  <c r="L48" i="2"/>
  <c r="G48" i="2" s="1"/>
  <c r="Q62" i="2"/>
  <c r="V63" i="2"/>
  <c r="AX136" i="2"/>
  <c r="AR136" i="2"/>
  <c r="BE8" i="2"/>
  <c r="M13" i="2"/>
  <c r="M9" i="2" s="1"/>
  <c r="L13" i="2"/>
  <c r="G13" i="2" s="1"/>
  <c r="AX18" i="2"/>
  <c r="AR18" i="2"/>
  <c r="M22" i="2"/>
  <c r="O21" i="2"/>
  <c r="BR36" i="2"/>
  <c r="L43" i="2"/>
  <c r="N42" i="2"/>
  <c r="N41" i="2" s="1"/>
  <c r="N61" i="2"/>
  <c r="BS8" i="2"/>
  <c r="AX12" i="2"/>
  <c r="AR12" i="2"/>
  <c r="BI21" i="2"/>
  <c r="BR21" i="2" s="1"/>
  <c r="P28" i="2"/>
  <c r="L29" i="2"/>
  <c r="BW36" i="2"/>
  <c r="AI42" i="2"/>
  <c r="AX44" i="2"/>
  <c r="L73" i="2"/>
  <c r="G73" i="2" s="1"/>
  <c r="O71" i="2"/>
  <c r="BM103" i="2"/>
  <c r="BR103" i="2" s="1"/>
  <c r="BR104" i="2"/>
  <c r="BR109" i="2"/>
  <c r="AD44" i="2"/>
  <c r="AE42" i="2"/>
  <c r="AE41" i="2" s="1"/>
  <c r="AP7" i="2"/>
  <c r="AN7" i="2" s="1"/>
  <c r="AM7" i="2" s="1"/>
  <c r="BP7" i="2"/>
  <c r="N9" i="2"/>
  <c r="AR9" i="2"/>
  <c r="BS9" i="2"/>
  <c r="BW9" i="2" s="1"/>
  <c r="R28" i="2"/>
  <c r="V29" i="2"/>
  <c r="Q28" i="2"/>
  <c r="V28" i="2" s="1"/>
  <c r="Q39" i="2"/>
  <c r="V39" i="2" s="1"/>
  <c r="V40" i="2"/>
  <c r="O42" i="2"/>
  <c r="O41" i="2" s="1"/>
  <c r="BW73" i="2"/>
  <c r="AR89" i="2"/>
  <c r="L98" i="2"/>
  <c r="G98" i="2" s="1"/>
  <c r="M98" i="2"/>
  <c r="O9" i="2"/>
  <c r="O8" i="2" s="1"/>
  <c r="BR14" i="2"/>
  <c r="BR24" i="2"/>
  <c r="M26" i="2"/>
  <c r="Y29" i="2"/>
  <c r="Y28" i="2" s="1"/>
  <c r="Y8" i="2" s="1"/>
  <c r="M30" i="2"/>
  <c r="L30" i="2"/>
  <c r="G30" i="2" s="1"/>
  <c r="N28" i="2"/>
  <c r="BN42" i="2"/>
  <c r="BM42" i="2" s="1"/>
  <c r="BR42" i="2" s="1"/>
  <c r="M49" i="2"/>
  <c r="BR52" i="2"/>
  <c r="M54" i="2"/>
  <c r="L54" i="2"/>
  <c r="G54" i="2" s="1"/>
  <c r="BS61" i="2"/>
  <c r="BW61" i="2" s="1"/>
  <c r="L64" i="2"/>
  <c r="P62" i="2"/>
  <c r="P61" i="2" s="1"/>
  <c r="AX67" i="2"/>
  <c r="AR67" i="2"/>
  <c r="M69" i="2"/>
  <c r="L69" i="2"/>
  <c r="O68" i="2"/>
  <c r="M71" i="2"/>
  <c r="BN74" i="2"/>
  <c r="AD9" i="2"/>
  <c r="AD8" i="2" s="1"/>
  <c r="M32" i="2"/>
  <c r="L32" i="2"/>
  <c r="G32" i="2" s="1"/>
  <c r="BR41" i="2"/>
  <c r="Z42" i="2"/>
  <c r="Z41" i="2" s="1"/>
  <c r="Y60" i="2"/>
  <c r="Y59" i="2" s="1"/>
  <c r="Z59" i="2"/>
  <c r="AZ61" i="2"/>
  <c r="R75" i="2"/>
  <c r="Q77" i="2"/>
  <c r="AZ74" i="2"/>
  <c r="Q9" i="2"/>
  <c r="Z21" i="2"/>
  <c r="Z8" i="2" s="1"/>
  <c r="BR27" i="2"/>
  <c r="AR28" i="2"/>
  <c r="BE39" i="2"/>
  <c r="BD39" i="2" s="1"/>
  <c r="AD42" i="2"/>
  <c r="AD41" i="2" s="1"/>
  <c r="BI42" i="2"/>
  <c r="BI41" i="2" s="1"/>
  <c r="BW52" i="2"/>
  <c r="BW66" i="2"/>
  <c r="Q68" i="2"/>
  <c r="V68" i="2" s="1"/>
  <c r="Z75" i="2"/>
  <c r="Z74" i="2" s="1"/>
  <c r="Y77" i="2"/>
  <c r="R9" i="2"/>
  <c r="R8" i="2" s="1"/>
  <c r="AE9" i="2"/>
  <c r="AE8" i="2" s="1"/>
  <c r="M17" i="2"/>
  <c r="L17" i="2"/>
  <c r="G17" i="2" s="1"/>
  <c r="L23" i="2"/>
  <c r="G23" i="2" s="1"/>
  <c r="N21" i="2"/>
  <c r="AX28" i="2"/>
  <c r="BR28" i="2"/>
  <c r="AX31" i="2"/>
  <c r="AR31" i="2"/>
  <c r="BR68" i="2"/>
  <c r="M84" i="2"/>
  <c r="L84" i="2"/>
  <c r="G84" i="2" s="1"/>
  <c r="L21" i="2"/>
  <c r="G7" i="1"/>
  <c r="I7" i="1" s="1"/>
  <c r="AR10" i="2"/>
  <c r="BR12" i="2"/>
  <c r="L14" i="2"/>
  <c r="G14" i="2" s="1"/>
  <c r="BS41" i="2"/>
  <c r="R42" i="2"/>
  <c r="R41" i="2" s="1"/>
  <c r="AR50" i="2"/>
  <c r="BD62" i="2"/>
  <c r="BI75" i="2"/>
  <c r="BI74" i="2" s="1"/>
  <c r="BR82" i="2"/>
  <c r="L10" i="2"/>
  <c r="L15" i="2"/>
  <c r="G15" i="2" s="1"/>
  <c r="AR16" i="2"/>
  <c r="BR26" i="2"/>
  <c r="BW28" i="2"/>
  <c r="BW30" i="2"/>
  <c r="M38" i="2"/>
  <c r="L38" i="2"/>
  <c r="G38" i="2" s="1"/>
  <c r="AX56" i="2"/>
  <c r="AR56" i="2"/>
  <c r="BE62" i="2"/>
  <c r="BR71" i="2"/>
  <c r="V44" i="2"/>
  <c r="Q42" i="2"/>
  <c r="M19" i="2"/>
  <c r="L19" i="2"/>
  <c r="G19" i="2" s="1"/>
  <c r="G22" i="2"/>
  <c r="AI21" i="2"/>
  <c r="AX24" i="2"/>
  <c r="AZ28" i="2"/>
  <c r="AZ8" i="2" s="1"/>
  <c r="AZ7" i="2" s="1"/>
  <c r="BE41" i="2"/>
  <c r="BD41" i="2" s="1"/>
  <c r="BW42" i="2"/>
  <c r="BW62" i="2"/>
  <c r="AG74" i="2"/>
  <c r="AG7" i="2" s="1"/>
  <c r="Y75" i="2"/>
  <c r="R62" i="2"/>
  <c r="R61" i="2" s="1"/>
  <c r="L72" i="2"/>
  <c r="N71" i="2"/>
  <c r="BR73" i="2"/>
  <c r="M100" i="2"/>
  <c r="L100" i="2"/>
  <c r="G100" i="2" s="1"/>
  <c r="V104" i="2"/>
  <c r="Q103" i="2"/>
  <c r="V103" i="2" s="1"/>
  <c r="BR75" i="2"/>
  <c r="BR76" i="2"/>
  <c r="M78" i="2"/>
  <c r="L78" i="2"/>
  <c r="G78" i="2" s="1"/>
  <c r="BW82" i="2"/>
  <c r="AX94" i="2"/>
  <c r="Y62" i="2"/>
  <c r="BR69" i="2"/>
  <c r="AX80" i="2"/>
  <c r="M85" i="2"/>
  <c r="P86" i="2"/>
  <c r="P74" i="2" s="1"/>
  <c r="L87" i="2"/>
  <c r="AE62" i="2"/>
  <c r="AE61" i="2" s="1"/>
  <c r="BI62" i="2"/>
  <c r="BI61" i="2" s="1"/>
  <c r="BR61" i="2" s="1"/>
  <c r="BR63" i="2"/>
  <c r="BR62" i="2" s="1"/>
  <c r="V69" i="2"/>
  <c r="AR71" i="2"/>
  <c r="V72" i="2"/>
  <c r="Q71" i="2"/>
  <c r="V71" i="2" s="1"/>
  <c r="BW76" i="2"/>
  <c r="R86" i="2"/>
  <c r="Q86" i="2"/>
  <c r="V86" i="2" s="1"/>
  <c r="AD125" i="2"/>
  <c r="AD124" i="2" s="1"/>
  <c r="AE124" i="2"/>
  <c r="AT131" i="2"/>
  <c r="L36" i="2"/>
  <c r="G36" i="2" s="1"/>
  <c r="AD62" i="2"/>
  <c r="AD61" i="2" s="1"/>
  <c r="BW64" i="2"/>
  <c r="Y68" i="2"/>
  <c r="BS75" i="2"/>
  <c r="BT74" i="2"/>
  <c r="BT7" i="2" s="1"/>
  <c r="AE75" i="2"/>
  <c r="AE74" i="2" s="1"/>
  <c r="AD76" i="2"/>
  <c r="AD75" i="2" s="1"/>
  <c r="AD74" i="2" s="1"/>
  <c r="M80" i="2"/>
  <c r="Q94" i="2"/>
  <c r="V94" i="2" s="1"/>
  <c r="V96" i="2"/>
  <c r="Y43" i="2"/>
  <c r="Y42" i="2" s="1"/>
  <c r="M65" i="2"/>
  <c r="M62" i="2" s="1"/>
  <c r="BS68" i="2"/>
  <c r="BW68" i="2" s="1"/>
  <c r="BW69" i="2"/>
  <c r="I74" i="2"/>
  <c r="I7" i="2" s="1"/>
  <c r="AI75" i="2"/>
  <c r="Y86" i="2"/>
  <c r="R94" i="2"/>
  <c r="O131" i="2"/>
  <c r="O141" i="2"/>
  <c r="BW78" i="2"/>
  <c r="BR80" i="2"/>
  <c r="M88" i="2"/>
  <c r="M86" i="2" s="1"/>
  <c r="L88" i="2"/>
  <c r="G88" i="2" s="1"/>
  <c r="N86" i="2"/>
  <c r="G103" i="2"/>
  <c r="AI62" i="2"/>
  <c r="M70" i="2"/>
  <c r="BM86" i="2"/>
  <c r="BR86" i="2" s="1"/>
  <c r="BQ74" i="2"/>
  <c r="BQ7" i="2" s="1"/>
  <c r="M97" i="2"/>
  <c r="L97" i="2"/>
  <c r="G97" i="2" s="1"/>
  <c r="AR37" i="2"/>
  <c r="V60" i="2"/>
  <c r="Q59" i="2"/>
  <c r="V59" i="2" s="1"/>
  <c r="AR63" i="2"/>
  <c r="AX73" i="2"/>
  <c r="M76" i="2"/>
  <c r="L76" i="2"/>
  <c r="N75" i="2"/>
  <c r="BD86" i="2"/>
  <c r="BR95" i="2"/>
  <c r="P94" i="2"/>
  <c r="BW58" i="2"/>
  <c r="AX69" i="2"/>
  <c r="BS71" i="2"/>
  <c r="BW71" i="2" s="1"/>
  <c r="O75" i="2"/>
  <c r="O74" i="2" s="1"/>
  <c r="BR94" i="2"/>
  <c r="AD109" i="2"/>
  <c r="AI108" i="2"/>
  <c r="AR108" i="2" s="1"/>
  <c r="V120" i="2"/>
  <c r="Q119" i="2"/>
  <c r="V119" i="2" s="1"/>
  <c r="Y109" i="2"/>
  <c r="BR132" i="2"/>
  <c r="BM131" i="2"/>
  <c r="BR131" i="2" s="1"/>
  <c r="Q132" i="2"/>
  <c r="V133" i="2"/>
  <c r="BR155" i="2"/>
  <c r="P155" i="2"/>
  <c r="L90" i="2"/>
  <c r="G90" i="2" s="1"/>
  <c r="BE103" i="2"/>
  <c r="BD103" i="2" s="1"/>
  <c r="O109" i="2"/>
  <c r="O108" i="2" s="1"/>
  <c r="BM119" i="2"/>
  <c r="BR119" i="2" s="1"/>
  <c r="L121" i="2"/>
  <c r="G121" i="2" s="1"/>
  <c r="R132" i="2"/>
  <c r="R131" i="2" s="1"/>
  <c r="Y132" i="2"/>
  <c r="L139" i="2"/>
  <c r="G139" i="2" s="1"/>
  <c r="BR142" i="2"/>
  <c r="BW150" i="2"/>
  <c r="V87" i="2"/>
  <c r="AD95" i="2"/>
  <c r="AD94" i="2" s="1"/>
  <c r="Y96" i="2"/>
  <c r="Y94" i="2" s="1"/>
  <c r="R103" i="2"/>
  <c r="Q109" i="2"/>
  <c r="M111" i="2"/>
  <c r="AR112" i="2"/>
  <c r="AD120" i="2"/>
  <c r="AD119" i="2" s="1"/>
  <c r="AE119" i="2"/>
  <c r="AE108" i="2" s="1"/>
  <c r="Q126" i="2"/>
  <c r="V126" i="2" s="1"/>
  <c r="R124" i="2"/>
  <c r="AR132" i="2"/>
  <c r="Z132" i="2"/>
  <c r="M134" i="2"/>
  <c r="L134" i="2"/>
  <c r="G134" i="2" s="1"/>
  <c r="BW142" i="2"/>
  <c r="V189" i="2"/>
  <c r="Q188" i="2"/>
  <c r="AT187" i="2"/>
  <c r="AT7" i="2" s="1"/>
  <c r="BR199" i="2"/>
  <c r="BS108" i="2"/>
  <c r="AX112" i="2"/>
  <c r="M115" i="2"/>
  <c r="M109" i="2" s="1"/>
  <c r="M108" i="2" s="1"/>
  <c r="L115" i="2"/>
  <c r="G115" i="2" s="1"/>
  <c r="Y126" i="2"/>
  <c r="Y124" i="2" s="1"/>
  <c r="Z124" i="2"/>
  <c r="BR129" i="2"/>
  <c r="AI132" i="2"/>
  <c r="AX135" i="2"/>
  <c r="BM187" i="2"/>
  <c r="BR187" i="2" s="1"/>
  <c r="BR188" i="2"/>
  <c r="L82" i="2"/>
  <c r="G82" i="2" s="1"/>
  <c r="AI86" i="2"/>
  <c r="AR86" i="2" s="1"/>
  <c r="N94" i="2"/>
  <c r="L95" i="2"/>
  <c r="BW102" i="2"/>
  <c r="BU108" i="2"/>
  <c r="BU7" i="2" s="1"/>
  <c r="L110" i="2"/>
  <c r="AR110" i="2"/>
  <c r="BR116" i="2"/>
  <c r="BW117" i="2"/>
  <c r="L127" i="2"/>
  <c r="G127" i="2" s="1"/>
  <c r="P124" i="2"/>
  <c r="P108" i="2" s="1"/>
  <c r="BR127" i="2"/>
  <c r="AX128" i="2"/>
  <c r="BS131" i="2"/>
  <c r="BW132" i="2"/>
  <c r="Z141" i="2"/>
  <c r="M143" i="2"/>
  <c r="M141" i="2" s="1"/>
  <c r="L143" i="2"/>
  <c r="G143" i="2" s="1"/>
  <c r="AI148" i="2"/>
  <c r="AX148" i="2" s="1"/>
  <c r="AX149" i="2"/>
  <c r="AX75" i="2"/>
  <c r="L92" i="2"/>
  <c r="G92" i="2" s="1"/>
  <c r="BW107" i="2"/>
  <c r="BW127" i="2"/>
  <c r="BD128" i="2"/>
  <c r="AD128" i="2"/>
  <c r="BW129" i="2"/>
  <c r="BE132" i="2"/>
  <c r="BT131" i="2"/>
  <c r="AR135" i="2"/>
  <c r="AD141" i="2"/>
  <c r="BR97" i="2"/>
  <c r="AZ109" i="2"/>
  <c r="AZ108" i="2" s="1"/>
  <c r="M118" i="2"/>
  <c r="Z119" i="2"/>
  <c r="Y121" i="2"/>
  <c r="Y119" i="2" s="1"/>
  <c r="M140" i="2"/>
  <c r="L140" i="2"/>
  <c r="G140" i="2" s="1"/>
  <c r="M102" i="2"/>
  <c r="M94" i="2" s="1"/>
  <c r="L102" i="2"/>
  <c r="G102" i="2" s="1"/>
  <c r="AR109" i="2"/>
  <c r="AI128" i="2"/>
  <c r="AR128" i="2" s="1"/>
  <c r="AX129" i="2"/>
  <c r="AR129" i="2"/>
  <c r="AZ132" i="2"/>
  <c r="AZ131" i="2" s="1"/>
  <c r="AX141" i="2"/>
  <c r="BR156" i="2"/>
  <c r="BW98" i="2"/>
  <c r="AR101" i="2"/>
  <c r="BR115" i="2"/>
  <c r="M120" i="2"/>
  <c r="M119" i="2" s="1"/>
  <c r="L120" i="2"/>
  <c r="N119" i="2"/>
  <c r="BH131" i="2"/>
  <c r="BH7" i="2" s="1"/>
  <c r="AD134" i="2"/>
  <c r="AD132" i="2" s="1"/>
  <c r="AD131" i="2" s="1"/>
  <c r="AE132" i="2"/>
  <c r="M138" i="2"/>
  <c r="M132" i="2" s="1"/>
  <c r="M131" i="2" s="1"/>
  <c r="L138" i="2"/>
  <c r="G138" i="2" s="1"/>
  <c r="G171" i="2"/>
  <c r="Q172" i="2"/>
  <c r="V172" i="2" s="1"/>
  <c r="R170" i="2"/>
  <c r="Z109" i="2"/>
  <c r="BI109" i="2"/>
  <c r="BI108" i="2" s="1"/>
  <c r="BR108" i="2" s="1"/>
  <c r="M128" i="2"/>
  <c r="V130" i="2"/>
  <c r="Q128" i="2"/>
  <c r="V128" i="2" s="1"/>
  <c r="I131" i="2"/>
  <c r="L133" i="2"/>
  <c r="BW136" i="2"/>
  <c r="BE141" i="2"/>
  <c r="BD141" i="2" s="1"/>
  <c r="BF131" i="2"/>
  <c r="BF7" i="2" s="1"/>
  <c r="BR147" i="2"/>
  <c r="AX150" i="2"/>
  <c r="AR150" i="2"/>
  <c r="BR110" i="2"/>
  <c r="AR113" i="2"/>
  <c r="BW115" i="2"/>
  <c r="AR116" i="2"/>
  <c r="R119" i="2"/>
  <c r="R108" i="2" s="1"/>
  <c r="BK131" i="2"/>
  <c r="BK7" i="2" s="1"/>
  <c r="L144" i="2"/>
  <c r="G144" i="2" s="1"/>
  <c r="BW147" i="2"/>
  <c r="AR148" i="2"/>
  <c r="Q150" i="2"/>
  <c r="V154" i="2"/>
  <c r="V150" i="2" s="1"/>
  <c r="V182" i="2"/>
  <c r="V179" i="2" s="1"/>
  <c r="Q179" i="2"/>
  <c r="N124" i="2"/>
  <c r="L149" i="2"/>
  <c r="BR152" i="2"/>
  <c r="M158" i="2"/>
  <c r="L158" i="2"/>
  <c r="G158" i="2" s="1"/>
  <c r="G156" i="2" s="1"/>
  <c r="BR168" i="2"/>
  <c r="AD194" i="2"/>
  <c r="AD187" i="2" s="1"/>
  <c r="BR207" i="2"/>
  <c r="AX208" i="2"/>
  <c r="L126" i="2"/>
  <c r="G126" i="2" s="1"/>
  <c r="G124" i="2" s="1"/>
  <c r="BO131" i="2"/>
  <c r="Y142" i="2"/>
  <c r="Y141" i="2" s="1"/>
  <c r="O155" i="2"/>
  <c r="M164" i="2"/>
  <c r="L164" i="2"/>
  <c r="G164" i="2" s="1"/>
  <c r="L173" i="2"/>
  <c r="G173" i="2" s="1"/>
  <c r="P170" i="2"/>
  <c r="AX195" i="2"/>
  <c r="AR195" i="2"/>
  <c r="AI194" i="2"/>
  <c r="AI187" i="2" s="1"/>
  <c r="AR187" i="2" s="1"/>
  <c r="BR201" i="2"/>
  <c r="L123" i="2"/>
  <c r="G123" i="2" s="1"/>
  <c r="Q124" i="2"/>
  <c r="V124" i="2" s="1"/>
  <c r="L130" i="2"/>
  <c r="BR170" i="2"/>
  <c r="M174" i="2"/>
  <c r="L174" i="2"/>
  <c r="G174" i="2" s="1"/>
  <c r="Z179" i="2"/>
  <c r="Y180" i="2"/>
  <c r="Y179" i="2" s="1"/>
  <c r="AX199" i="2"/>
  <c r="Q148" i="2"/>
  <c r="V148" i="2" s="1"/>
  <c r="Q156" i="2"/>
  <c r="M161" i="2"/>
  <c r="L161" i="2"/>
  <c r="G161" i="2" s="1"/>
  <c r="BR179" i="2"/>
  <c r="AD179" i="2"/>
  <c r="BW188" i="2"/>
  <c r="AX188" i="2"/>
  <c r="M190" i="2"/>
  <c r="M188" i="2" s="1"/>
  <c r="L190" i="2"/>
  <c r="G190" i="2" s="1"/>
  <c r="O188" i="2"/>
  <c r="O187" i="2" s="1"/>
  <c r="G195" i="2"/>
  <c r="G194" i="2" s="1"/>
  <c r="L194" i="2"/>
  <c r="BS199" i="2"/>
  <c r="BW199" i="2" s="1"/>
  <c r="BV187" i="2"/>
  <c r="BV7" i="2" s="1"/>
  <c r="AR137" i="2"/>
  <c r="BI156" i="2"/>
  <c r="BI155" i="2" s="1"/>
  <c r="AR170" i="2"/>
  <c r="BF187" i="2"/>
  <c r="BE188" i="2"/>
  <c r="M194" i="2"/>
  <c r="N141" i="2"/>
  <c r="L142" i="2"/>
  <c r="V157" i="2"/>
  <c r="AD170" i="2"/>
  <c r="BN187" i="2"/>
  <c r="N132" i="2"/>
  <c r="O150" i="2"/>
  <c r="BR153" i="2"/>
  <c r="BS156" i="2"/>
  <c r="BW156" i="2" s="1"/>
  <c r="BT155" i="2"/>
  <c r="BS155" i="2" s="1"/>
  <c r="BW155" i="2" s="1"/>
  <c r="AI156" i="2"/>
  <c r="AX162" i="2"/>
  <c r="BS179" i="2"/>
  <c r="BW179" i="2" s="1"/>
  <c r="BR181" i="2"/>
  <c r="M183" i="2"/>
  <c r="M179" i="2" s="1"/>
  <c r="L183" i="2"/>
  <c r="G183" i="2" s="1"/>
  <c r="X187" i="2"/>
  <c r="X7" i="2" s="1"/>
  <c r="BI199" i="2"/>
  <c r="Y155" i="2"/>
  <c r="BW170" i="2"/>
  <c r="G189" i="2"/>
  <c r="V202" i="2"/>
  <c r="Q199" i="2"/>
  <c r="V199" i="2" s="1"/>
  <c r="AE150" i="2"/>
  <c r="Z150" i="2"/>
  <c r="BF155" i="2"/>
  <c r="BE155" i="2" s="1"/>
  <c r="BD155" i="2" s="1"/>
  <c r="AD156" i="2"/>
  <c r="BW157" i="2"/>
  <c r="Q159" i="2"/>
  <c r="V159" i="2" s="1"/>
  <c r="R156" i="2"/>
  <c r="R155" i="2" s="1"/>
  <c r="AX175" i="2"/>
  <c r="AR175" i="2"/>
  <c r="Z188" i="2"/>
  <c r="Z187" i="2" s="1"/>
  <c r="R194" i="2"/>
  <c r="M154" i="2"/>
  <c r="M150" i="2" s="1"/>
  <c r="L154" i="2"/>
  <c r="G154" i="2" s="1"/>
  <c r="G150" i="2" s="1"/>
  <c r="N150" i="2"/>
  <c r="L160" i="2"/>
  <c r="G160" i="2" s="1"/>
  <c r="M170" i="2"/>
  <c r="BI187" i="2"/>
  <c r="Y194" i="2"/>
  <c r="Z199" i="2"/>
  <c r="Y200" i="2"/>
  <c r="Y199" i="2" s="1"/>
  <c r="Y187" i="2" s="1"/>
  <c r="M203" i="2"/>
  <c r="M199" i="2" s="1"/>
  <c r="L203" i="2"/>
  <c r="G203" i="2" s="1"/>
  <c r="BR208" i="2"/>
  <c r="Y208" i="2"/>
  <c r="N156" i="2"/>
  <c r="N155" i="2" s="1"/>
  <c r="Q170" i="2"/>
  <c r="V170" i="2" s="1"/>
  <c r="BT187" i="2"/>
  <c r="N188" i="2"/>
  <c r="V195" i="2"/>
  <c r="R199" i="2"/>
  <c r="AR172" i="2"/>
  <c r="AR178" i="2"/>
  <c r="AE179" i="2"/>
  <c r="AR198" i="2"/>
  <c r="AE199" i="2"/>
  <c r="AE187" i="2" s="1"/>
  <c r="AE170" i="2"/>
  <c r="AE155" i="2" s="1"/>
  <c r="AX172" i="2"/>
  <c r="R188" i="2"/>
  <c r="AI208" i="2"/>
  <c r="AR208" i="2" s="1"/>
  <c r="O194" i="2"/>
  <c r="L176" i="2"/>
  <c r="G176" i="2" s="1"/>
  <c r="L196" i="2"/>
  <c r="G196" i="2" s="1"/>
  <c r="L209" i="2"/>
  <c r="L167" i="2"/>
  <c r="G167" i="2" s="1"/>
  <c r="N179" i="2"/>
  <c r="L180" i="2"/>
  <c r="L186" i="2"/>
  <c r="G186" i="2" s="1"/>
  <c r="L193" i="2"/>
  <c r="G193" i="2" s="1"/>
  <c r="N199" i="2"/>
  <c r="L200" i="2"/>
  <c r="L206" i="2"/>
  <c r="G206" i="2" s="1"/>
  <c r="N170" i="2"/>
  <c r="Z170" i="2"/>
  <c r="Z155" i="2" s="1"/>
  <c r="G149" i="2" l="1"/>
  <c r="G148" i="2" s="1"/>
  <c r="L148" i="2"/>
  <c r="AE131" i="2"/>
  <c r="AD108" i="2"/>
  <c r="N74" i="2"/>
  <c r="Y74" i="2"/>
  <c r="Z131" i="2"/>
  <c r="L75" i="2"/>
  <c r="G76" i="2"/>
  <c r="G75" i="2" s="1"/>
  <c r="AX86" i="2"/>
  <c r="G87" i="2"/>
  <c r="G86" i="2" s="1"/>
  <c r="L86" i="2"/>
  <c r="BM74" i="2"/>
  <c r="BR74" i="2" s="1"/>
  <c r="G64" i="2"/>
  <c r="G62" i="2" s="1"/>
  <c r="L62" i="2"/>
  <c r="L61" i="2" s="1"/>
  <c r="G61" i="2" s="1"/>
  <c r="BW8" i="2"/>
  <c r="G142" i="2"/>
  <c r="G141" i="2" s="1"/>
  <c r="L141" i="2"/>
  <c r="V156" i="2"/>
  <c r="Q155" i="2"/>
  <c r="V155" i="2" s="1"/>
  <c r="BN131" i="2"/>
  <c r="BO7" i="2"/>
  <c r="BN7" i="2" s="1"/>
  <c r="BM7" i="2" s="1"/>
  <c r="BR7" i="2" s="1"/>
  <c r="BW108" i="2"/>
  <c r="M75" i="2"/>
  <c r="M74" i="2" s="1"/>
  <c r="AI74" i="2"/>
  <c r="AR75" i="2"/>
  <c r="BW75" i="2"/>
  <c r="BW74" i="2" s="1"/>
  <c r="BS74" i="2"/>
  <c r="BS7" i="2" s="1"/>
  <c r="BW7" i="2" s="1"/>
  <c r="G10" i="2"/>
  <c r="G9" i="2" s="1"/>
  <c r="L9" i="2"/>
  <c r="L8" i="2" s="1"/>
  <c r="BD8" i="2"/>
  <c r="G130" i="2"/>
  <c r="G128" i="2" s="1"/>
  <c r="L128" i="2"/>
  <c r="V42" i="2"/>
  <c r="Q41" i="2"/>
  <c r="V41" i="2" s="1"/>
  <c r="L156" i="2"/>
  <c r="L124" i="2"/>
  <c r="AI61" i="2"/>
  <c r="AX62" i="2"/>
  <c r="AX108" i="2"/>
  <c r="AE7" i="2"/>
  <c r="BI7" i="2"/>
  <c r="G133" i="2"/>
  <c r="G132" i="2" s="1"/>
  <c r="L132" i="2"/>
  <c r="V132" i="2"/>
  <c r="Q131" i="2"/>
  <c r="V131" i="2" s="1"/>
  <c r="Q8" i="2"/>
  <c r="V9" i="2"/>
  <c r="AD7" i="2"/>
  <c r="P7" i="2"/>
  <c r="G209" i="2"/>
  <c r="G208" i="2" s="1"/>
  <c r="L208" i="2"/>
  <c r="Z108" i="2"/>
  <c r="Z7" i="2" s="1"/>
  <c r="N108" i="2"/>
  <c r="AX194" i="2"/>
  <c r="AR62" i="2"/>
  <c r="AR42" i="2"/>
  <c r="AX42" i="2"/>
  <c r="AI41" i="2"/>
  <c r="AX187" i="2"/>
  <c r="L188" i="2"/>
  <c r="L187" i="2" s="1"/>
  <c r="G187" i="2" s="1"/>
  <c r="M187" i="2"/>
  <c r="BE187" i="2"/>
  <c r="BD188" i="2"/>
  <c r="BD187" i="2" s="1"/>
  <c r="L119" i="2"/>
  <c r="G120" i="2"/>
  <c r="G119" i="2" s="1"/>
  <c r="BD132" i="2"/>
  <c r="BD131" i="2" s="1"/>
  <c r="BE131" i="2"/>
  <c r="AI131" i="2"/>
  <c r="AR131" i="2" s="1"/>
  <c r="AX132" i="2"/>
  <c r="V188" i="2"/>
  <c r="Q187" i="2"/>
  <c r="V187" i="2" s="1"/>
  <c r="Y131" i="2"/>
  <c r="N8" i="2"/>
  <c r="N7" i="2" s="1"/>
  <c r="G43" i="2"/>
  <c r="G42" i="2" s="1"/>
  <c r="L42" i="2"/>
  <c r="L41" i="2" s="1"/>
  <c r="G41" i="2" s="1"/>
  <c r="V62" i="2"/>
  <c r="V61" i="2" s="1"/>
  <c r="Q61" i="2"/>
  <c r="BD74" i="2"/>
  <c r="G110" i="2"/>
  <c r="G109" i="2" s="1"/>
  <c r="L109" i="2"/>
  <c r="Y108" i="2"/>
  <c r="Y41" i="2"/>
  <c r="Y7" i="2" s="1"/>
  <c r="Y61" i="2"/>
  <c r="AX21" i="2"/>
  <c r="AR21" i="2"/>
  <c r="V77" i="2"/>
  <c r="Q75" i="2"/>
  <c r="O61" i="2"/>
  <c r="O7" i="2" s="1"/>
  <c r="AI155" i="2"/>
  <c r="AX156" i="2"/>
  <c r="AR156" i="2"/>
  <c r="G188" i="2"/>
  <c r="AR194" i="2"/>
  <c r="N187" i="2"/>
  <c r="BS187" i="2"/>
  <c r="L170" i="2"/>
  <c r="BW109" i="2"/>
  <c r="AX131" i="2"/>
  <c r="G21" i="2"/>
  <c r="R74" i="2"/>
  <c r="G69" i="2"/>
  <c r="G68" i="2" s="1"/>
  <c r="L68" i="2"/>
  <c r="G29" i="2"/>
  <c r="G28" i="2" s="1"/>
  <c r="L28" i="2"/>
  <c r="N131" i="2"/>
  <c r="BW187" i="2"/>
  <c r="G170" i="2"/>
  <c r="BW131" i="2"/>
  <c r="BW41" i="2"/>
  <c r="M68" i="2"/>
  <c r="M61" i="2" s="1"/>
  <c r="M21" i="2"/>
  <c r="M8" i="2" s="1"/>
  <c r="M7" i="2" s="1"/>
  <c r="G180" i="2"/>
  <c r="G179" i="2" s="1"/>
  <c r="L179" i="2"/>
  <c r="G200" i="2"/>
  <c r="G199" i="2" s="1"/>
  <c r="L199" i="2"/>
  <c r="R187" i="2"/>
  <c r="R7" i="2" s="1"/>
  <c r="AD155" i="2"/>
  <c r="L150" i="2"/>
  <c r="M156" i="2"/>
  <c r="M155" i="2" s="1"/>
  <c r="G95" i="2"/>
  <c r="G94" i="2" s="1"/>
  <c r="L94" i="2"/>
  <c r="V109" i="2"/>
  <c r="Q108" i="2"/>
  <c r="V108" i="2" s="1"/>
  <c r="BE74" i="2"/>
  <c r="BE7" i="2" s="1"/>
  <c r="BD7" i="2" s="1"/>
  <c r="G72" i="2"/>
  <c r="G71" i="2" s="1"/>
  <c r="L71" i="2"/>
  <c r="M28" i="2"/>
  <c r="AI8" i="2"/>
  <c r="AX61" i="2" l="1"/>
  <c r="AR61" i="2"/>
  <c r="L155" i="2"/>
  <c r="G155" i="2" s="1"/>
  <c r="AX74" i="2"/>
  <c r="AR74" i="2"/>
  <c r="L108" i="2"/>
  <c r="G108" i="2" s="1"/>
  <c r="G8" i="2"/>
  <c r="V8" i="2"/>
  <c r="Q7" i="2"/>
  <c r="V7" i="2" s="1"/>
  <c r="AI7" i="2"/>
  <c r="AX8" i="2"/>
  <c r="AR8" i="2"/>
  <c r="AR155" i="2"/>
  <c r="AX155" i="2"/>
  <c r="AX41" i="2"/>
  <c r="AR41" i="2"/>
  <c r="L131" i="2"/>
  <c r="G131" i="2" s="1"/>
  <c r="Q74" i="2"/>
  <c r="V74" i="2" s="1"/>
  <c r="V75" i="2"/>
  <c r="L74" i="2"/>
  <c r="G74" i="2" s="1"/>
  <c r="L7" i="2" l="1"/>
  <c r="G7" i="2" s="1"/>
  <c r="AR7" i="2"/>
  <c r="AX7" i="2"/>
</calcChain>
</file>

<file path=xl/sharedStrings.xml><?xml version="1.0" encoding="utf-8"?>
<sst xmlns="http://schemas.openxmlformats.org/spreadsheetml/2006/main" count="1128" uniqueCount="245">
  <si>
    <t>2026학년도 2년제학위과정 수시2차 (최종)접수 현황</t>
  </si>
  <si>
    <t>2025. 11. 25.(화) 24시_19일차</t>
  </si>
  <si>
    <t>대 학</t>
  </si>
  <si>
    <t>캠퍼스</t>
  </si>
  <si>
    <t>정 원</t>
  </si>
  <si>
    <t>수시2차</t>
  </si>
  <si>
    <t>수시1차</t>
  </si>
  <si>
    <t>25학년도         수시2차          (최종)경쟁률</t>
  </si>
  <si>
    <t>모집인원</t>
  </si>
  <si>
    <t>지원인원(정원내+
정원외)</t>
  </si>
  <si>
    <t>경쟁률</t>
  </si>
  <si>
    <t>모집     정원</t>
  </si>
  <si>
    <t>등록인원(정원내+정원외)</t>
  </si>
  <si>
    <t>등록률</t>
  </si>
  <si>
    <t>모집     인원</t>
  </si>
  <si>
    <t>등록률       (정원내+정원외)</t>
  </si>
  <si>
    <t>수시1차
미달인원
(정원내)</t>
  </si>
  <si>
    <t>모집   정원</t>
  </si>
  <si>
    <t>계</t>
  </si>
  <si>
    <t>총 계</t>
  </si>
  <si>
    <t>Ⅰ   대학</t>
  </si>
  <si>
    <t>소계</t>
  </si>
  <si>
    <t>서울정수</t>
  </si>
  <si>
    <t>서울강서</t>
  </si>
  <si>
    <t>성남</t>
  </si>
  <si>
    <t>제주</t>
  </si>
  <si>
    <t>Ⅱ   대학</t>
  </si>
  <si>
    <t>인천</t>
  </si>
  <si>
    <t>남인천</t>
  </si>
  <si>
    <t>Ⅲ   대학</t>
  </si>
  <si>
    <t>춘천</t>
  </si>
  <si>
    <t>원주</t>
  </si>
  <si>
    <t>강릉</t>
  </si>
  <si>
    <t>Ⅳ대학</t>
  </si>
  <si>
    <t>대전</t>
  </si>
  <si>
    <t>청주</t>
  </si>
  <si>
    <t>아산</t>
  </si>
  <si>
    <t>충남</t>
  </si>
  <si>
    <t>Ⅴ   대학</t>
  </si>
  <si>
    <t>광주</t>
  </si>
  <si>
    <t>전북</t>
  </si>
  <si>
    <t>전남</t>
  </si>
  <si>
    <t>익산</t>
  </si>
  <si>
    <t>Ⅵ    대학</t>
  </si>
  <si>
    <t>대구</t>
  </si>
  <si>
    <t>구미</t>
  </si>
  <si>
    <t>영주</t>
  </si>
  <si>
    <t>영남융합기술</t>
  </si>
  <si>
    <t>Ⅶ    대학</t>
  </si>
  <si>
    <t>창원</t>
  </si>
  <si>
    <t>부산</t>
  </si>
  <si>
    <t>울산</t>
  </si>
  <si>
    <t>특성화   대학</t>
  </si>
  <si>
    <t>바이오</t>
  </si>
  <si>
    <t>항공</t>
  </si>
  <si>
    <t>반도체융합</t>
  </si>
  <si>
    <t>로봇</t>
  </si>
  <si>
    <t xml:space="preserve">2026학년도 한국폴리텍대학 2년제학위과정 수시2차 (최종)접수 현황 </t>
  </si>
  <si>
    <t xml:space="preserve">* 모집 5,630명 = 주간 5,380명 + 야간 250명  </t>
  </si>
  <si>
    <t>계열</t>
  </si>
  <si>
    <t>학 과</t>
  </si>
  <si>
    <t>구 분</t>
  </si>
  <si>
    <t>정원</t>
  </si>
  <si>
    <t>등록률     (정원내+   정원외)</t>
  </si>
  <si>
    <t>(전체)모집인원</t>
  </si>
  <si>
    <t>(전체)등록현황</t>
  </si>
  <si>
    <t>(전체)접수현황</t>
  </si>
  <si>
    <t>(수시+정시+자율)        접수</t>
  </si>
  <si>
    <t>(수시1차+2차)등록</t>
  </si>
  <si>
    <t>(정시+자율)등록</t>
  </si>
  <si>
    <t xml:space="preserve">수시1차(접수) </t>
  </si>
  <si>
    <t>25학년도    수시1차     (최종)경쟁률</t>
  </si>
  <si>
    <t xml:space="preserve">수시1차(등록) </t>
  </si>
  <si>
    <t>25학년도    수시1차     (충원)등록률</t>
  </si>
  <si>
    <t>모집인원(A)</t>
  </si>
  <si>
    <t>지원현황</t>
  </si>
  <si>
    <t>등록인원</t>
  </si>
  <si>
    <t>수시 등록현황(B)</t>
  </si>
  <si>
    <t>수시1차    등록률</t>
  </si>
  <si>
    <t>모집정원(C)(시행계획 기준)</t>
  </si>
  <si>
    <t>수시1차 결원(D=A-B) "11/6 14시 기준"</t>
  </si>
  <si>
    <t>실모집인원(AA)</t>
  </si>
  <si>
    <t>등록현황(BB)</t>
  </si>
  <si>
    <t>정원내</t>
  </si>
  <si>
    <t>정원외</t>
  </si>
  <si>
    <t>합계</t>
  </si>
  <si>
    <t>합계(c=a+b)</t>
  </si>
  <si>
    <t>정원외         (b)</t>
  </si>
  <si>
    <t>(수시)    접수</t>
  </si>
  <si>
    <t>(정시+   자율)접수</t>
  </si>
  <si>
    <t>합계
(C=A+B)</t>
  </si>
  <si>
    <t>정원외(B)</t>
  </si>
  <si>
    <t>합계
(c=a+b)</t>
  </si>
  <si>
    <t>정원외
(b)</t>
  </si>
  <si>
    <t>수시2차   등록률</t>
  </si>
  <si>
    <t>일반</t>
  </si>
  <si>
    <t>특별</t>
  </si>
  <si>
    <t>소계(a)</t>
  </si>
  <si>
    <t>소계(A)</t>
  </si>
  <si>
    <t>Ⅰ대학 계</t>
  </si>
  <si>
    <t>Ⅰ대학</t>
  </si>
  <si>
    <t>기계</t>
  </si>
  <si>
    <t>기계설계과</t>
  </si>
  <si>
    <t>주간</t>
  </si>
  <si>
    <t>자동화</t>
  </si>
  <si>
    <t>메카트로닉스과</t>
  </si>
  <si>
    <t>미디어</t>
  </si>
  <si>
    <t>메타버스콘텐츠과</t>
  </si>
  <si>
    <t>자동차</t>
  </si>
  <si>
    <t>미래형자동차과</t>
  </si>
  <si>
    <t>정보통신IT</t>
  </si>
  <si>
    <t>스마트정보통신과</t>
  </si>
  <si>
    <t>디자인</t>
  </si>
  <si>
    <t>시각디자인과</t>
  </si>
  <si>
    <t>인공지능소프트웨어과</t>
  </si>
  <si>
    <t>전기</t>
  </si>
  <si>
    <t>전기과</t>
  </si>
  <si>
    <t>산업설비</t>
  </si>
  <si>
    <t>지능형에너지설비과</t>
  </si>
  <si>
    <t>친환경산업디자인과</t>
  </si>
  <si>
    <t>클라우드컴퓨팅과</t>
  </si>
  <si>
    <t>디지털콘텐츠과</t>
  </si>
  <si>
    <t>개별특성화</t>
  </si>
  <si>
    <t>보건의료정보과</t>
  </si>
  <si>
    <t>빅데이터소프트웨어과</t>
  </si>
  <si>
    <t>사이버보안과</t>
  </si>
  <si>
    <t>주얼리디자인과</t>
  </si>
  <si>
    <t>섬유패션</t>
  </si>
  <si>
    <t>패션디자인과</t>
  </si>
  <si>
    <t>AI의약바이오과</t>
  </si>
  <si>
    <t>AI자동화과</t>
  </si>
  <si>
    <t>기계정비과</t>
  </si>
  <si>
    <t>반도체</t>
  </si>
  <si>
    <t>반도체공정과</t>
  </si>
  <si>
    <t>반도체설계과</t>
  </si>
  <si>
    <t>반도체시스템과</t>
  </si>
  <si>
    <t>반도체융합기계과</t>
  </si>
  <si>
    <t>야간</t>
  </si>
  <si>
    <t>AI콘텐츠과</t>
  </si>
  <si>
    <t>Ⅱ대학 계</t>
  </si>
  <si>
    <t>Ⅱ대학</t>
  </si>
  <si>
    <t>AI융합소프트웨어과</t>
  </si>
  <si>
    <t>건축설계과</t>
  </si>
  <si>
    <t>기계공학과</t>
  </si>
  <si>
    <t>디지털디자인과</t>
  </si>
  <si>
    <t>메카트로닉스공학과</t>
  </si>
  <si>
    <t>반도체전자과</t>
  </si>
  <si>
    <t>방송미디어과</t>
  </si>
  <si>
    <t>산업설비자동화과</t>
  </si>
  <si>
    <t>자동차공학과</t>
  </si>
  <si>
    <t>전기공학과</t>
  </si>
  <si>
    <t>컴퓨터공학과</t>
  </si>
  <si>
    <t>스마트표면처리과</t>
  </si>
  <si>
    <t>Ⅲ대학 계</t>
  </si>
  <si>
    <t>Ⅲ대학</t>
  </si>
  <si>
    <t>AI융합과</t>
  </si>
  <si>
    <t>미디어콘텐츠과</t>
  </si>
  <si>
    <t>바이오의약공정과</t>
  </si>
  <si>
    <t>에너지설비과</t>
  </si>
  <si>
    <t>기계시스템과</t>
  </si>
  <si>
    <t>의료공학과</t>
  </si>
  <si>
    <t>발전설비과</t>
  </si>
  <si>
    <t>산업잠수과</t>
  </si>
  <si>
    <t>Ⅳ대학 계</t>
  </si>
  <si>
    <t>반도체장비제어과</t>
  </si>
  <si>
    <t>산업설비과</t>
  </si>
  <si>
    <t>스마트소프트웨어과</t>
  </si>
  <si>
    <t>영상크리에이터과</t>
  </si>
  <si>
    <t>인공지능과</t>
  </si>
  <si>
    <t>전기전자제어과</t>
  </si>
  <si>
    <t>클라우드보안과</t>
  </si>
  <si>
    <t>디지털기계시스템과</t>
  </si>
  <si>
    <t>스마트팩토리과</t>
  </si>
  <si>
    <t>전기에너지과</t>
  </si>
  <si>
    <t>AI소프트웨어과</t>
  </si>
  <si>
    <t>반도체기계과</t>
  </si>
  <si>
    <t>반도체디스플레이과</t>
  </si>
  <si>
    <t>반도체응용설계과</t>
  </si>
  <si>
    <t>반도체장비과</t>
  </si>
  <si>
    <t>전기자동차과</t>
  </si>
  <si>
    <t>Ⅴ대학 계</t>
  </si>
  <si>
    <t>Ⅴ대학</t>
  </si>
  <si>
    <t>그린건축과</t>
  </si>
  <si>
    <t>기계설계</t>
  </si>
  <si>
    <t>반도체시스템제어과</t>
  </si>
  <si>
    <t>스마트전기자동차과</t>
  </si>
  <si>
    <t>신소재</t>
  </si>
  <si>
    <t>에너지재료과</t>
  </si>
  <si>
    <t>기계제강시스템과</t>
  </si>
  <si>
    <t>스마트전기과</t>
  </si>
  <si>
    <t>미래전기자동차과</t>
  </si>
  <si>
    <t>에너지설비자동화과</t>
  </si>
  <si>
    <t>기계품질측정과</t>
  </si>
  <si>
    <t>자동차융합기계과</t>
  </si>
  <si>
    <t>Ⅵ대학 계</t>
  </si>
  <si>
    <t>Ⅵ대학</t>
  </si>
  <si>
    <t>그린반도체시스템과</t>
  </si>
  <si>
    <t>기계과</t>
  </si>
  <si>
    <t>전자</t>
  </si>
  <si>
    <t>디지털헬스케어과</t>
  </si>
  <si>
    <t>바이오의약품소재과</t>
  </si>
  <si>
    <t>이차전지시스템과</t>
  </si>
  <si>
    <t>재료공학과</t>
  </si>
  <si>
    <t>반도체설비과</t>
  </si>
  <si>
    <t>자동화시스템과</t>
  </si>
  <si>
    <t>AI설비안전과</t>
  </si>
  <si>
    <t>영남융합</t>
  </si>
  <si>
    <t>모빌리티메카과</t>
  </si>
  <si>
    <t>바이오메디컬소재과</t>
  </si>
  <si>
    <t>스마트패션소재과</t>
  </si>
  <si>
    <t>Ⅶ대학 계</t>
  </si>
  <si>
    <t>Ⅶ대학</t>
  </si>
  <si>
    <t>AI융합전자과</t>
  </si>
  <si>
    <t>금형</t>
  </si>
  <si>
    <t>금형가공시스템과</t>
  </si>
  <si>
    <t>물류자동화시스템과</t>
  </si>
  <si>
    <t>산업안전환경과</t>
  </si>
  <si>
    <t>스마트제조기계설계과</t>
  </si>
  <si>
    <t>이차전지융합신소재과</t>
  </si>
  <si>
    <t>반도체금형과</t>
  </si>
  <si>
    <t>소프트웨어융합과</t>
  </si>
  <si>
    <t>자동제어시스템과</t>
  </si>
  <si>
    <t>AI산업안전시스템과</t>
  </si>
  <si>
    <t>에너지산업설비과</t>
  </si>
  <si>
    <t>재료화학과</t>
  </si>
  <si>
    <t>특성화대학 계</t>
  </si>
  <si>
    <t>특성화대학</t>
  </si>
  <si>
    <t>바이오나노소재학과</t>
  </si>
  <si>
    <t>바이오배양공정학과</t>
  </si>
  <si>
    <t>바이오생명정보학과</t>
  </si>
  <si>
    <t>바이오의약분석학과</t>
  </si>
  <si>
    <t>바이오품질관리학과</t>
  </si>
  <si>
    <t>항공모빌리티과</t>
  </si>
  <si>
    <t>항공모빌리티정비과</t>
  </si>
  <si>
    <t>항공전기전자정비과</t>
  </si>
  <si>
    <t>항공정비과</t>
  </si>
  <si>
    <t>반도체공정장비과</t>
  </si>
  <si>
    <t>반도체장비개발과</t>
  </si>
  <si>
    <t>반도체장비소프트웨어과</t>
  </si>
  <si>
    <t>반도체전기과</t>
  </si>
  <si>
    <t>반도체측정과</t>
  </si>
  <si>
    <t>반도체테스트과</t>
  </si>
  <si>
    <t>영상그래픽과</t>
  </si>
  <si>
    <t xml:space="preserve">[로봇자동화설비 계열]      로봇기계과+로봇자동화과 </t>
  </si>
  <si>
    <t>[로봇시스템융합 계열]         로봇전자과+로봇IT과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</si>
</sst>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-* #,##0_-;\-* #,##0_-;_-* &quot;-&quot;_-;_-@_-"/>
    <numFmt numFmtId="176" formatCode="0_);[Red]\(0\)"/>
    <numFmt numFmtId="177" formatCode="0.0%"/>
    <numFmt numFmtId="178" formatCode="#,##0_);[Red]\(#,##0\)"/>
    <numFmt numFmtId="179" formatCode="0_ "/>
    <numFmt numFmtId="180" formatCode="#,##0_ "/>
  </numFmts>
  <fonts count="4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0"/>
      <color theme="1"/>
      <name val="HY견고딕"/>
      <family val="1"/>
      <charset val="129"/>
    </font>
    <font>
      <sz val="12"/>
      <color theme="1"/>
      <name val="HY견고딕"/>
      <family val="1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2"/>
      <color rgb="FFC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</font>
    <font>
      <b/>
      <sz val="12"/>
      <color rgb="FFFF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</font>
    <font>
      <sz val="11"/>
      <color theme="1"/>
      <name val="HY견고딕"/>
      <family val="1"/>
      <charset val="129"/>
    </font>
    <font>
      <b/>
      <sz val="9"/>
      <color rgb="FF000000"/>
      <name val="맑은 고딕"/>
      <family val="3"/>
      <charset val="129"/>
    </font>
    <font>
      <sz val="11"/>
      <color rgb="FF00B050"/>
      <name val="맑은 고딕"/>
      <family val="2"/>
      <charset val="129"/>
      <scheme val="minor"/>
    </font>
    <font>
      <b/>
      <sz val="14"/>
      <color rgb="FFFF0000"/>
      <name val="맑은 고딕"/>
      <family val="3"/>
      <charset val="129"/>
    </font>
    <font>
      <b/>
      <sz val="12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</font>
    <font>
      <b/>
      <sz val="12"/>
      <color rgb="FF0070C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b/>
      <sz val="9"/>
      <name val="맑은 고딕"/>
      <family val="3"/>
      <charset val="129"/>
    </font>
    <font>
      <b/>
      <sz val="9"/>
      <name val="맑은 고딕"/>
      <family val="3"/>
      <charset val="129"/>
      <scheme val="minor"/>
    </font>
    <font>
      <b/>
      <sz val="8.5"/>
      <color rgb="FF000000"/>
      <name val="맑은 고딕"/>
      <family val="3"/>
      <charset val="129"/>
    </font>
    <font>
      <b/>
      <sz val="12"/>
      <color rgb="FF0070C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18"/>
      <color theme="1"/>
      <name val="맑은 고딕"/>
      <family val="3"/>
      <charset val="129"/>
    </font>
  </fonts>
  <fills count="22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rgb="FF9CC3E6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4B5E7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rgb="FFFBF99F"/>
        <bgColor indexed="64"/>
      </patternFill>
    </fill>
  </fills>
  <borders count="27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theme="1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theme="1"/>
      </right>
      <top style="thin">
        <color theme="1"/>
      </top>
      <bottom style="medium">
        <color theme="1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theme="1"/>
      </right>
      <top/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theme="1"/>
      </right>
      <top style="thin">
        <color indexed="64"/>
      </top>
      <bottom style="medium">
        <color indexed="64"/>
      </bottom>
      <diagonal/>
    </border>
    <border>
      <left/>
      <right style="thin">
        <color theme="1"/>
      </right>
      <top/>
      <bottom style="medium">
        <color indexed="64"/>
      </bottom>
      <diagonal/>
    </border>
    <border>
      <left/>
      <right style="hair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indexed="64"/>
      </right>
      <top/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theme="1"/>
      </left>
      <right style="hair">
        <color theme="1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indexed="64"/>
      </right>
      <top style="thin">
        <color theme="1"/>
      </top>
      <bottom style="medium">
        <color theme="1"/>
      </bottom>
      <diagonal/>
    </border>
    <border>
      <left/>
      <right style="medium">
        <color indexed="64"/>
      </right>
      <top/>
      <bottom/>
      <diagonal/>
    </border>
    <border>
      <left style="thick">
        <color rgb="FFFF000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rgb="FFFF0000"/>
      </left>
      <right style="thin">
        <color indexed="64"/>
      </right>
      <top/>
      <bottom style="thin">
        <color indexed="64"/>
      </bottom>
      <diagonal/>
    </border>
    <border>
      <left style="thick">
        <color rgb="FFFF0000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ck">
        <color rgb="FFFF0000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ck">
        <color rgb="FFFF0000"/>
      </right>
      <top/>
      <bottom/>
      <diagonal/>
    </border>
    <border>
      <left/>
      <right style="thick">
        <color rgb="FFFF0000"/>
      </right>
      <top/>
      <bottom style="medium">
        <color rgb="FF002060"/>
      </bottom>
      <diagonal/>
    </border>
    <border>
      <left/>
      <right style="thick">
        <color rgb="FFFF0000"/>
      </right>
      <top/>
      <bottom style="hair">
        <color indexed="64"/>
      </bottom>
      <diagonal/>
    </border>
    <border>
      <left/>
      <right style="thick">
        <color rgb="FFFF0000"/>
      </right>
      <top/>
      <bottom style="medium">
        <color indexed="64"/>
      </bottom>
      <diagonal/>
    </border>
    <border>
      <left style="hair">
        <color indexed="64"/>
      </left>
      <right style="medium">
        <color rgb="FFFF0000"/>
      </right>
      <top/>
      <bottom/>
      <diagonal/>
    </border>
    <border>
      <left style="hair">
        <color indexed="64"/>
      </left>
      <right style="medium">
        <color rgb="FFFF0000"/>
      </right>
      <top/>
      <bottom style="medium">
        <color indexed="64"/>
      </bottom>
      <diagonal/>
    </border>
    <border>
      <left style="hair">
        <color indexed="64"/>
      </left>
      <right style="medium">
        <color rgb="FFFF0000"/>
      </right>
      <top/>
      <bottom style="hair">
        <color indexed="64"/>
      </bottom>
      <diagonal/>
    </border>
    <border>
      <left style="hair">
        <color indexed="64"/>
      </left>
      <right style="medium">
        <color rgb="FFFF0000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rgb="FFFF0000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double">
        <color indexed="64"/>
      </right>
      <top/>
      <bottom style="double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rgb="FFFF0000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thick">
        <color rgb="FFFF0000"/>
      </left>
      <right/>
      <top/>
      <bottom style="hair">
        <color indexed="64"/>
      </bottom>
      <diagonal/>
    </border>
    <border>
      <left style="hair">
        <color theme="1"/>
      </left>
      <right style="hair">
        <color theme="1"/>
      </right>
      <top/>
      <bottom style="hair">
        <color indexed="64"/>
      </bottom>
      <diagonal/>
    </border>
    <border>
      <left/>
      <right style="hair">
        <color theme="1"/>
      </right>
      <top/>
      <bottom style="hair">
        <color indexed="64"/>
      </bottom>
      <diagonal/>
    </border>
    <border>
      <left/>
      <right/>
      <top/>
      <bottom style="double">
        <color indexed="64"/>
      </bottom>
      <diagonal/>
    </border>
    <border>
      <left style="hair">
        <color indexed="64"/>
      </left>
      <right style="medium">
        <color rgb="FFFF0000"/>
      </right>
      <top/>
      <bottom style="double">
        <color indexed="64"/>
      </bottom>
      <diagonal/>
    </border>
    <border>
      <left/>
      <right style="thick">
        <color rgb="FFFF0000"/>
      </right>
      <top/>
      <bottom style="double">
        <color indexed="64"/>
      </bottom>
      <diagonal/>
    </border>
    <border>
      <left style="thick">
        <color rgb="FFFF0000"/>
      </left>
      <right/>
      <top style="medium">
        <color indexed="64"/>
      </top>
      <bottom style="double">
        <color indexed="64"/>
      </bottom>
      <diagonal/>
    </border>
    <border>
      <left style="hair">
        <color theme="1"/>
      </left>
      <right style="hair">
        <color theme="1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hair">
        <color theme="1"/>
      </right>
      <top style="medium">
        <color indexed="64"/>
      </top>
      <bottom style="double">
        <color indexed="64"/>
      </bottom>
      <diagonal/>
    </border>
    <border>
      <left style="hair">
        <color theme="1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hair">
        <color theme="1"/>
      </left>
      <right/>
      <top style="medium">
        <color indexed="64"/>
      </top>
      <bottom style="double">
        <color indexed="64"/>
      </bottom>
      <diagonal/>
    </border>
    <border>
      <left style="hair">
        <color theme="1"/>
      </left>
      <right style="hair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hair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theme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hair">
        <color rgb="FF000000"/>
      </right>
      <top style="hair">
        <color rgb="FF000000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double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hair">
        <color indexed="64"/>
      </right>
      <top/>
      <bottom style="hair">
        <color indexed="64"/>
      </bottom>
      <diagonal/>
    </border>
    <border>
      <left/>
      <right style="thick">
        <color rgb="FFFF0000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ck">
        <color rgb="FFFF0000"/>
      </right>
      <top style="hair">
        <color indexed="64"/>
      </top>
      <bottom style="hair">
        <color indexed="64"/>
      </bottom>
      <diagonal/>
    </border>
    <border>
      <left style="thick">
        <color rgb="FFFF0000"/>
      </left>
      <right style="hair">
        <color indexed="64"/>
      </right>
      <top style="hair">
        <color indexed="64"/>
      </top>
      <bottom style="thick">
        <color rgb="FFFF000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ck">
        <color rgb="FFFF0000"/>
      </bottom>
      <diagonal/>
    </border>
    <border>
      <left/>
      <right style="thick">
        <color rgb="FFFF0000"/>
      </right>
      <top style="hair">
        <color indexed="64"/>
      </top>
      <bottom style="thick">
        <color rgb="FFFF0000"/>
      </bottom>
      <diagonal/>
    </border>
    <border>
      <left/>
      <right/>
      <top/>
      <bottom style="thin">
        <color theme="1"/>
      </bottom>
      <diagonal/>
    </border>
    <border>
      <left/>
      <right style="medium">
        <color indexed="64"/>
      </right>
      <top/>
      <bottom style="thin">
        <color theme="1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hair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thin">
        <color indexed="64"/>
      </top>
      <bottom style="double">
        <color indexed="64"/>
      </bottom>
      <diagonal/>
    </border>
    <border>
      <left style="thick">
        <color rgb="FFFF0000"/>
      </left>
      <right style="thick">
        <color rgb="FFFF0000"/>
      </right>
      <top/>
      <bottom style="hair">
        <color indexed="64"/>
      </bottom>
      <diagonal/>
    </border>
    <border>
      <left style="thick">
        <color rgb="FFFF0000"/>
      </left>
      <right style="thick">
        <color rgb="FFFF0000"/>
      </right>
      <top style="hair">
        <color indexed="64"/>
      </top>
      <bottom style="hair">
        <color indexed="64"/>
      </bottom>
      <diagonal/>
    </border>
    <border>
      <left style="thick">
        <color rgb="FFFF0000"/>
      </left>
      <right style="thick">
        <color rgb="FFFF0000"/>
      </right>
      <top style="hair">
        <color indexed="64"/>
      </top>
      <bottom style="thin">
        <color indexed="64"/>
      </bottom>
      <diagonal/>
    </border>
    <border>
      <left/>
      <right style="hair">
        <color theme="1"/>
      </right>
      <top style="double">
        <color indexed="64"/>
      </top>
      <bottom style="hair">
        <color indexed="64"/>
      </bottom>
      <diagonal/>
    </border>
    <border>
      <left/>
      <right style="hair">
        <color theme="1"/>
      </right>
      <top style="hair">
        <color indexed="64"/>
      </top>
      <bottom style="hair">
        <color indexed="64"/>
      </bottom>
      <diagonal/>
    </border>
    <border>
      <left/>
      <right style="hair">
        <color theme="1"/>
      </right>
      <top style="hair">
        <color indexed="64"/>
      </top>
      <bottom style="thin">
        <color indexed="64"/>
      </bottom>
      <diagonal/>
    </border>
    <border>
      <left/>
      <right style="hair">
        <color theme="1"/>
      </right>
      <top/>
      <bottom/>
      <diagonal/>
    </border>
    <border>
      <left/>
      <right style="hair">
        <color theme="1"/>
      </right>
      <top style="thin">
        <color indexed="64"/>
      </top>
      <bottom style="hair">
        <color indexed="64"/>
      </bottom>
      <diagonal/>
    </border>
    <border>
      <left/>
      <right style="hair">
        <color theme="1"/>
      </right>
      <top style="hair">
        <color indexed="64"/>
      </top>
      <bottom/>
      <diagonal/>
    </border>
    <border>
      <left/>
      <right style="hair">
        <color theme="1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/>
      <top style="medium">
        <color indexed="64"/>
      </top>
      <bottom style="double">
        <color indexed="64"/>
      </bottom>
      <diagonal/>
    </border>
    <border>
      <left style="thick">
        <color rgb="FFFF0000"/>
      </left>
      <right style="hair">
        <color indexed="64"/>
      </right>
      <top style="medium">
        <color indexed="64"/>
      </top>
      <bottom style="double">
        <color indexed="64"/>
      </bottom>
      <diagonal/>
    </border>
    <border>
      <left/>
      <right style="thick">
        <color rgb="FFFF0000"/>
      </right>
      <top style="medium">
        <color indexed="64"/>
      </top>
      <bottom style="double">
        <color indexed="64"/>
      </bottom>
      <diagonal/>
    </border>
    <border>
      <left style="thick">
        <color rgb="FFFF0000"/>
      </left>
      <right style="thin">
        <color indexed="64"/>
      </right>
      <top/>
      <bottom style="medium">
        <color indexed="64"/>
      </bottom>
      <diagonal/>
    </border>
    <border>
      <left style="thick">
        <color rgb="FFFF0000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ck">
        <color rgb="FFFF0000"/>
      </left>
      <right style="thin">
        <color indexed="64"/>
      </right>
      <top/>
      <bottom style="hair">
        <color indexed="64"/>
      </bottom>
      <diagonal/>
    </border>
    <border>
      <left style="thick">
        <color rgb="FFFF0000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ck">
        <color rgb="FFFF0000"/>
      </left>
      <right style="thin">
        <color indexed="64"/>
      </right>
      <top/>
      <bottom/>
      <diagonal/>
    </border>
    <border>
      <left style="thick">
        <color rgb="FFFF0000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rgb="FFFF0000"/>
      </right>
      <top style="medium">
        <color indexed="64"/>
      </top>
      <bottom style="medium">
        <color indexed="64"/>
      </bottom>
      <diagonal/>
    </border>
    <border>
      <left/>
      <right style="thick">
        <color rgb="FFFF0000"/>
      </right>
      <top style="medium">
        <color indexed="64"/>
      </top>
      <bottom style="medium">
        <color rgb="FF002060"/>
      </bottom>
      <diagonal/>
    </border>
    <border>
      <left style="thick">
        <color rgb="FFFF0000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 style="hair">
        <color indexed="64"/>
      </right>
      <top/>
      <bottom style="double">
        <color indexed="64"/>
      </bottom>
      <diagonal/>
    </border>
    <border>
      <left/>
      <right style="thick">
        <color rgb="FFFF0000"/>
      </right>
      <top/>
      <bottom style="thin">
        <color indexed="64"/>
      </bottom>
      <diagonal/>
    </border>
    <border>
      <left style="medium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theme="1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rgb="FFFF0000"/>
      </left>
      <right style="thin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41" fontId="1" fillId="0" borderId="0">
      <alignment vertical="center"/>
    </xf>
    <xf numFmtId="41" fontId="10" fillId="0" borderId="0">
      <alignment vertical="center"/>
    </xf>
    <xf numFmtId="9" fontId="10" fillId="0" borderId="0">
      <alignment vertical="center"/>
    </xf>
    <xf numFmtId="0" fontId="10" fillId="0" borderId="0">
      <alignment vertical="center"/>
    </xf>
  </cellStyleXfs>
  <cellXfs count="813"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3" borderId="12" xfId="0" applyFont="1" applyFill="1" applyBorder="1" applyAlignment="1">
      <alignment horizontal="center" vertical="center" wrapText="1"/>
    </xf>
    <xf numFmtId="0" fontId="11" fillId="3" borderId="45" xfId="0" applyFont="1" applyFill="1" applyBorder="1" applyAlignment="1">
      <alignment horizontal="center" vertical="center" wrapText="1"/>
    </xf>
    <xf numFmtId="0" fontId="6" fillId="9" borderId="58" xfId="0" applyFont="1" applyFill="1" applyBorder="1" applyAlignment="1">
      <alignment horizontal="center" vertical="center"/>
    </xf>
    <xf numFmtId="0" fontId="6" fillId="9" borderId="59" xfId="0" applyFont="1" applyFill="1" applyBorder="1" applyAlignment="1">
      <alignment horizontal="center" vertical="center" shrinkToFit="1"/>
    </xf>
    <xf numFmtId="0" fontId="6" fillId="9" borderId="59" xfId="0" applyFont="1" applyFill="1" applyBorder="1" applyAlignment="1">
      <alignment horizontal="center" vertical="center"/>
    </xf>
    <xf numFmtId="0" fontId="6" fillId="9" borderId="60" xfId="0" applyFont="1" applyFill="1" applyBorder="1" applyAlignment="1">
      <alignment horizontal="center" vertical="center"/>
    </xf>
    <xf numFmtId="0" fontId="17" fillId="5" borderId="58" xfId="0" applyFont="1" applyFill="1" applyBorder="1" applyAlignment="1">
      <alignment horizontal="center" vertical="center"/>
    </xf>
    <xf numFmtId="0" fontId="17" fillId="5" borderId="59" xfId="0" applyFont="1" applyFill="1" applyBorder="1" applyAlignment="1">
      <alignment horizontal="center" vertical="center" shrinkToFit="1"/>
    </xf>
    <xf numFmtId="0" fontId="17" fillId="5" borderId="59" xfId="0" applyFont="1" applyFill="1" applyBorder="1" applyAlignment="1">
      <alignment horizontal="center" vertical="center"/>
    </xf>
    <xf numFmtId="0" fontId="19" fillId="11" borderId="68" xfId="0" applyFont="1" applyFill="1" applyBorder="1" applyAlignment="1">
      <alignment horizontal="right" vertical="center" wrapText="1"/>
    </xf>
    <xf numFmtId="0" fontId="19" fillId="0" borderId="59" xfId="0" applyFont="1" applyBorder="1" applyAlignment="1">
      <alignment horizontal="right" vertical="center" wrapText="1"/>
    </xf>
    <xf numFmtId="0" fontId="6" fillId="9" borderId="67" xfId="0" applyFont="1" applyFill="1" applyBorder="1" applyAlignment="1">
      <alignment horizontal="center" vertical="center" shrinkToFit="1"/>
    </xf>
    <xf numFmtId="0" fontId="17" fillId="5" borderId="65" xfId="0" applyFont="1" applyFill="1" applyBorder="1" applyAlignment="1">
      <alignment horizontal="center" vertical="center" shrinkToFit="1"/>
    </xf>
    <xf numFmtId="0" fontId="17" fillId="5" borderId="61" xfId="0" applyFont="1" applyFill="1" applyBorder="1" applyAlignment="1">
      <alignment horizontal="center" vertical="center"/>
    </xf>
    <xf numFmtId="0" fontId="19" fillId="11" borderId="69" xfId="0" applyFont="1" applyFill="1" applyBorder="1" applyAlignment="1">
      <alignment horizontal="right" vertical="center" wrapText="1"/>
    </xf>
    <xf numFmtId="0" fontId="6" fillId="9" borderId="9" xfId="0" applyFont="1" applyFill="1" applyBorder="1" applyAlignment="1">
      <alignment horizontal="center" vertical="center" shrinkToFit="1"/>
    </xf>
    <xf numFmtId="0" fontId="6" fillId="9" borderId="53" xfId="0" applyFont="1" applyFill="1" applyBorder="1" applyAlignment="1">
      <alignment horizontal="center" vertical="center" shrinkToFit="1"/>
    </xf>
    <xf numFmtId="0" fontId="6" fillId="9" borderId="65" xfId="0" applyFont="1" applyFill="1" applyBorder="1" applyAlignment="1">
      <alignment horizontal="center" vertical="center" shrinkToFit="1"/>
    </xf>
    <xf numFmtId="0" fontId="6" fillId="9" borderId="61" xfId="0" applyFont="1" applyFill="1" applyBorder="1" applyAlignment="1">
      <alignment horizontal="center" vertical="center"/>
    </xf>
    <xf numFmtId="0" fontId="17" fillId="0" borderId="58" xfId="0" applyFont="1" applyBorder="1" applyAlignment="1">
      <alignment horizontal="center" vertical="center"/>
    </xf>
    <xf numFmtId="0" fontId="17" fillId="0" borderId="59" xfId="0" applyFont="1" applyBorder="1" applyAlignment="1">
      <alignment horizontal="center" vertical="center" shrinkToFit="1"/>
    </xf>
    <xf numFmtId="0" fontId="17" fillId="0" borderId="65" xfId="0" applyFont="1" applyBorder="1" applyAlignment="1">
      <alignment horizontal="center" vertical="center" shrinkToFit="1"/>
    </xf>
    <xf numFmtId="0" fontId="17" fillId="0" borderId="61" xfId="0" applyFont="1" applyBorder="1" applyAlignment="1">
      <alignment horizontal="center" vertical="center"/>
    </xf>
    <xf numFmtId="0" fontId="18" fillId="5" borderId="59" xfId="0" applyFont="1" applyFill="1" applyBorder="1" applyAlignment="1">
      <alignment horizontal="center" vertical="center" shrinkToFit="1"/>
    </xf>
    <xf numFmtId="0" fontId="18" fillId="5" borderId="65" xfId="0" applyFont="1" applyFill="1" applyBorder="1" applyAlignment="1">
      <alignment horizontal="center" vertical="center" shrinkToFit="1"/>
    </xf>
    <xf numFmtId="0" fontId="6" fillId="9" borderId="69" xfId="0" applyFont="1" applyFill="1" applyBorder="1" applyAlignment="1">
      <alignment horizontal="center" vertical="center" shrinkToFit="1"/>
    </xf>
    <xf numFmtId="0" fontId="17" fillId="5" borderId="72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17" fillId="5" borderId="75" xfId="0" applyFont="1" applyFill="1" applyBorder="1" applyAlignment="1">
      <alignment horizontal="center" vertical="center"/>
    </xf>
    <xf numFmtId="0" fontId="17" fillId="5" borderId="76" xfId="0" applyFont="1" applyFill="1" applyBorder="1" applyAlignment="1">
      <alignment horizontal="center" vertical="center" shrinkToFit="1"/>
    </xf>
    <xf numFmtId="0" fontId="17" fillId="5" borderId="76" xfId="0" applyFont="1" applyFill="1" applyBorder="1" applyAlignment="1">
      <alignment horizontal="center" vertical="center"/>
    </xf>
    <xf numFmtId="0" fontId="19" fillId="0" borderId="76" xfId="0" applyFont="1" applyBorder="1" applyAlignment="1">
      <alignment horizontal="right" vertical="center" wrapText="1"/>
    </xf>
    <xf numFmtId="49" fontId="18" fillId="5" borderId="59" xfId="1" applyNumberFormat="1" applyFont="1" applyFill="1" applyBorder="1" applyAlignment="1" applyProtection="1">
      <alignment horizontal="center" vertical="center" shrinkToFit="1"/>
      <protection locked="0"/>
    </xf>
    <xf numFmtId="49" fontId="18" fillId="5" borderId="59" xfId="1" applyNumberFormat="1" applyFont="1" applyFill="1" applyBorder="1" applyAlignment="1">
      <alignment horizontal="center" vertical="center" shrinkToFit="1"/>
    </xf>
    <xf numFmtId="49" fontId="18" fillId="5" borderId="59" xfId="0" applyNumberFormat="1" applyFont="1" applyFill="1" applyBorder="1" applyAlignment="1">
      <alignment horizontal="center" vertical="center" shrinkToFit="1"/>
    </xf>
    <xf numFmtId="0" fontId="18" fillId="0" borderId="59" xfId="0" applyFont="1" applyBorder="1" applyAlignment="1">
      <alignment horizontal="center" vertical="center" wrapText="1"/>
    </xf>
    <xf numFmtId="0" fontId="18" fillId="0" borderId="69" xfId="0" applyFont="1" applyBorder="1" applyAlignment="1">
      <alignment horizontal="center" vertical="center" wrapText="1"/>
    </xf>
    <xf numFmtId="0" fontId="18" fillId="5" borderId="61" xfId="0" applyFont="1" applyFill="1" applyBorder="1" applyAlignment="1">
      <alignment horizontal="center" vertical="center"/>
    </xf>
    <xf numFmtId="0" fontId="18" fillId="5" borderId="53" xfId="0" applyFont="1" applyFill="1" applyBorder="1" applyAlignment="1">
      <alignment horizontal="center" vertical="center" shrinkToFit="1"/>
    </xf>
    <xf numFmtId="49" fontId="18" fillId="0" borderId="69" xfId="0" applyNumberFormat="1" applyFont="1" applyBorder="1" applyAlignment="1">
      <alignment horizontal="center" vertical="center" wrapText="1"/>
    </xf>
    <xf numFmtId="0" fontId="18" fillId="5" borderId="69" xfId="0" applyFont="1" applyFill="1" applyBorder="1" applyAlignment="1">
      <alignment horizontal="center" vertical="center" shrinkToFit="1"/>
    </xf>
    <xf numFmtId="0" fontId="18" fillId="0" borderId="71" xfId="0" applyFont="1" applyBorder="1" applyAlignment="1">
      <alignment horizontal="center" vertical="center" wrapText="1"/>
    </xf>
    <xf numFmtId="0" fontId="18" fillId="5" borderId="59" xfId="0" applyFont="1" applyFill="1" applyBorder="1" applyAlignment="1">
      <alignment horizontal="center" vertical="center" wrapText="1" shrinkToFit="1"/>
    </xf>
    <xf numFmtId="0" fontId="18" fillId="5" borderId="76" xfId="0" applyFont="1" applyFill="1" applyBorder="1" applyAlignment="1">
      <alignment horizontal="center" vertical="center" wrapText="1" shrinkToFit="1"/>
    </xf>
    <xf numFmtId="0" fontId="19" fillId="11" borderId="61" xfId="1" applyNumberFormat="1" applyFont="1" applyFill="1" applyBorder="1" applyAlignment="1">
      <alignment vertical="center"/>
    </xf>
    <xf numFmtId="0" fontId="19" fillId="11" borderId="68" xfId="1" applyNumberFormat="1" applyFont="1" applyFill="1" applyBorder="1" applyAlignment="1">
      <alignment vertical="center"/>
    </xf>
    <xf numFmtId="0" fontId="19" fillId="11" borderId="70" xfId="1" applyNumberFormat="1" applyFont="1" applyFill="1" applyBorder="1" applyAlignment="1">
      <alignment vertical="center"/>
    </xf>
    <xf numFmtId="0" fontId="19" fillId="11" borderId="78" xfId="1" applyNumberFormat="1" applyFont="1" applyFill="1" applyBorder="1" applyAlignment="1">
      <alignment vertical="center"/>
    </xf>
    <xf numFmtId="0" fontId="19" fillId="11" borderId="60" xfId="1" applyNumberFormat="1" applyFont="1" applyFill="1" applyBorder="1" applyAlignment="1">
      <alignment vertical="center"/>
    </xf>
    <xf numFmtId="0" fontId="19" fillId="11" borderId="0" xfId="1" applyNumberFormat="1" applyFont="1" applyFill="1" applyAlignment="1">
      <alignment vertical="center"/>
    </xf>
    <xf numFmtId="0" fontId="19" fillId="11" borderId="81" xfId="1" applyNumberFormat="1" applyFont="1" applyFill="1" applyBorder="1" applyAlignment="1">
      <alignment vertical="center"/>
    </xf>
    <xf numFmtId="0" fontId="22" fillId="0" borderId="0" xfId="0" applyFont="1" applyAlignment="1">
      <alignment horizontal="right" vertical="center"/>
    </xf>
    <xf numFmtId="0" fontId="22" fillId="0" borderId="1" xfId="0" applyFont="1" applyBorder="1" applyAlignment="1">
      <alignment vertical="center"/>
    </xf>
    <xf numFmtId="0" fontId="5" fillId="2" borderId="109" xfId="0" applyFont="1" applyFill="1" applyBorder="1" applyAlignment="1">
      <alignment horizontal="center" vertical="center"/>
    </xf>
    <xf numFmtId="0" fontId="6" fillId="9" borderId="109" xfId="0" applyFont="1" applyFill="1" applyBorder="1" applyAlignment="1">
      <alignment horizontal="center" vertical="center"/>
    </xf>
    <xf numFmtId="0" fontId="17" fillId="5" borderId="109" xfId="0" applyFont="1" applyFill="1" applyBorder="1" applyAlignment="1">
      <alignment horizontal="center" vertical="center"/>
    </xf>
    <xf numFmtId="0" fontId="17" fillId="0" borderId="109" xfId="0" applyFont="1" applyBorder="1" applyAlignment="1">
      <alignment horizontal="center" vertical="center"/>
    </xf>
    <xf numFmtId="0" fontId="17" fillId="5" borderId="110" xfId="0" applyFont="1" applyFill="1" applyBorder="1" applyAlignment="1">
      <alignment horizontal="center" vertical="center"/>
    </xf>
    <xf numFmtId="0" fontId="11" fillId="0" borderId="0" xfId="4" applyFont="1" applyAlignment="1">
      <alignment vertical="center"/>
    </xf>
    <xf numFmtId="0" fontId="10" fillId="0" borderId="0" xfId="4" applyAlignment="1">
      <alignment vertical="center" shrinkToFit="1"/>
    </xf>
    <xf numFmtId="0" fontId="10" fillId="0" borderId="0" xfId="4" applyAlignment="1">
      <alignment vertical="center"/>
    </xf>
    <xf numFmtId="0" fontId="5" fillId="9" borderId="60" xfId="0" applyFont="1" applyFill="1" applyBorder="1" applyAlignment="1">
      <alignment horizontal="center" vertical="center"/>
    </xf>
    <xf numFmtId="0" fontId="5" fillId="9" borderId="61" xfId="0" applyFont="1" applyFill="1" applyBorder="1" applyAlignment="1">
      <alignment horizontal="center" vertical="center"/>
    </xf>
    <xf numFmtId="0" fontId="5" fillId="9" borderId="59" xfId="0" applyFont="1" applyFill="1" applyBorder="1" applyAlignment="1">
      <alignment horizontal="center" vertical="center"/>
    </xf>
    <xf numFmtId="0" fontId="20" fillId="0" borderId="69" xfId="0" applyFont="1" applyBorder="1" applyAlignment="1">
      <alignment horizontal="center" vertical="center" wrapText="1"/>
    </xf>
    <xf numFmtId="0" fontId="6" fillId="9" borderId="62" xfId="0" applyFont="1" applyFill="1" applyBorder="1" applyAlignment="1">
      <alignment horizontal="center" vertical="center"/>
    </xf>
    <xf numFmtId="0" fontId="5" fillId="9" borderId="62" xfId="0" applyFont="1" applyFill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5" fillId="2" borderId="108" xfId="0" applyFont="1" applyFill="1" applyBorder="1" applyAlignment="1">
      <alignment horizontal="center" vertical="center"/>
    </xf>
    <xf numFmtId="10" fontId="0" fillId="0" borderId="0" xfId="0" applyNumberFormat="1" applyAlignment="1">
      <alignment vertical="center"/>
    </xf>
    <xf numFmtId="0" fontId="19" fillId="0" borderId="84" xfId="1" applyNumberFormat="1" applyFont="1" applyBorder="1" applyAlignment="1">
      <alignment vertical="center"/>
    </xf>
    <xf numFmtId="0" fontId="19" fillId="0" borderId="158" xfId="1" applyNumberFormat="1" applyFont="1" applyBorder="1" applyAlignment="1">
      <alignment vertical="center"/>
    </xf>
    <xf numFmtId="0" fontId="19" fillId="11" borderId="164" xfId="1" applyNumberFormat="1" applyFont="1" applyFill="1" applyBorder="1" applyAlignment="1">
      <alignment vertical="center"/>
    </xf>
    <xf numFmtId="0" fontId="16" fillId="0" borderId="84" xfId="1" applyNumberFormat="1" applyFont="1" applyBorder="1" applyAlignment="1">
      <alignment vertical="center"/>
    </xf>
    <xf numFmtId="0" fontId="16" fillId="0" borderId="158" xfId="1" applyNumberFormat="1" applyFont="1" applyBorder="1" applyAlignment="1">
      <alignment vertical="center"/>
    </xf>
    <xf numFmtId="0" fontId="16" fillId="0" borderId="163" xfId="1" applyNumberFormat="1" applyFont="1" applyBorder="1" applyAlignment="1">
      <alignment vertical="center"/>
    </xf>
    <xf numFmtId="0" fontId="16" fillId="0" borderId="96" xfId="1" applyNumberFormat="1" applyFont="1" applyBorder="1" applyAlignment="1">
      <alignment vertical="center"/>
    </xf>
    <xf numFmtId="0" fontId="16" fillId="0" borderId="85" xfId="1" applyNumberFormat="1" applyFont="1" applyBorder="1" applyAlignment="1">
      <alignment vertical="center"/>
    </xf>
    <xf numFmtId="0" fontId="6" fillId="9" borderId="36" xfId="0" applyFont="1" applyFill="1" applyBorder="1" applyAlignment="1">
      <alignment horizontal="center" vertical="center"/>
    </xf>
    <xf numFmtId="0" fontId="11" fillId="9" borderId="11" xfId="0" applyFont="1" applyFill="1" applyBorder="1" applyAlignment="1">
      <alignment horizontal="center" vertical="center" wrapText="1"/>
    </xf>
    <xf numFmtId="0" fontId="11" fillId="9" borderId="12" xfId="0" applyFont="1" applyFill="1" applyBorder="1" applyAlignment="1">
      <alignment horizontal="center" vertical="center" wrapText="1"/>
    </xf>
    <xf numFmtId="0" fontId="19" fillId="11" borderId="59" xfId="1" applyNumberFormat="1" applyFont="1" applyFill="1" applyBorder="1" applyAlignment="1">
      <alignment vertical="center"/>
    </xf>
    <xf numFmtId="0" fontId="19" fillId="11" borderId="62" xfId="1" applyNumberFormat="1" applyFont="1" applyFill="1" applyBorder="1" applyAlignment="1">
      <alignment vertical="center"/>
    </xf>
    <xf numFmtId="0" fontId="19" fillId="11" borderId="9" xfId="1" applyNumberFormat="1" applyFont="1" applyFill="1" applyBorder="1" applyAlignment="1">
      <alignment vertical="center"/>
    </xf>
    <xf numFmtId="0" fontId="19" fillId="11" borderId="87" xfId="1" applyNumberFormat="1" applyFont="1" applyFill="1" applyBorder="1" applyAlignment="1">
      <alignment vertical="center"/>
    </xf>
    <xf numFmtId="0" fontId="11" fillId="3" borderId="89" xfId="0" applyFont="1" applyFill="1" applyBorder="1" applyAlignment="1">
      <alignment horizontal="center" vertical="center" wrapText="1"/>
    </xf>
    <xf numFmtId="0" fontId="11" fillId="20" borderId="116" xfId="4" applyFont="1" applyFill="1" applyBorder="1" applyAlignment="1">
      <alignment horizontal="center" vertical="center" shrinkToFit="1"/>
    </xf>
    <xf numFmtId="0" fontId="10" fillId="0" borderId="51" xfId="4" applyBorder="1" applyAlignment="1">
      <alignment horizontal="center" vertical="center" shrinkToFit="1"/>
    </xf>
    <xf numFmtId="0" fontId="10" fillId="0" borderId="65" xfId="4" applyBorder="1" applyAlignment="1">
      <alignment horizontal="center" vertical="center" shrinkToFit="1"/>
    </xf>
    <xf numFmtId="0" fontId="10" fillId="0" borderId="119" xfId="4" applyBorder="1" applyAlignment="1">
      <alignment horizontal="center" vertical="center" shrinkToFit="1"/>
    </xf>
    <xf numFmtId="0" fontId="11" fillId="20" borderId="10" xfId="4" applyFont="1" applyFill="1" applyBorder="1" applyAlignment="1">
      <alignment horizontal="center" vertical="center" shrinkToFit="1"/>
    </xf>
    <xf numFmtId="0" fontId="10" fillId="0" borderId="10" xfId="4" applyBorder="1" applyAlignment="1">
      <alignment horizontal="center" vertical="center" shrinkToFit="1"/>
    </xf>
    <xf numFmtId="0" fontId="11" fillId="20" borderId="185" xfId="4" applyFont="1" applyFill="1" applyBorder="1" applyAlignment="1">
      <alignment horizontal="center" vertical="center" shrinkToFit="1"/>
    </xf>
    <xf numFmtId="0" fontId="10" fillId="0" borderId="123" xfId="4" applyBorder="1" applyAlignment="1">
      <alignment horizontal="center" vertical="center" shrinkToFit="1"/>
    </xf>
    <xf numFmtId="0" fontId="10" fillId="0" borderId="82" xfId="4" applyBorder="1" applyAlignment="1">
      <alignment horizontal="center" vertical="center" shrinkToFit="1"/>
    </xf>
    <xf numFmtId="0" fontId="12" fillId="0" borderId="1" xfId="4" quotePrefix="1" applyFont="1" applyBorder="1" applyAlignment="1">
      <alignment vertical="center"/>
    </xf>
    <xf numFmtId="0" fontId="5" fillId="9" borderId="59" xfId="0" applyFont="1" applyFill="1" applyBorder="1" applyAlignment="1">
      <alignment horizontal="center" vertical="center" shrinkToFit="1"/>
    </xf>
    <xf numFmtId="0" fontId="0" fillId="0" borderId="0" xfId="0" applyAlignment="1"/>
    <xf numFmtId="41" fontId="12" fillId="10" borderId="94" xfId="2" applyFont="1" applyFill="1" applyBorder="1" applyAlignment="1">
      <alignment horizontal="center" vertical="center" wrapText="1"/>
    </xf>
    <xf numFmtId="41" fontId="37" fillId="10" borderId="202" xfId="2" applyFont="1" applyFill="1" applyBorder="1" applyAlignment="1">
      <alignment horizontal="center" vertical="center" wrapText="1"/>
    </xf>
    <xf numFmtId="41" fontId="41" fillId="10" borderId="17" xfId="2" applyFont="1" applyFill="1" applyBorder="1" applyAlignment="1">
      <alignment horizontal="center" vertical="center" wrapText="1"/>
    </xf>
    <xf numFmtId="41" fontId="12" fillId="10" borderId="18" xfId="2" applyFont="1" applyFill="1" applyBorder="1" applyAlignment="1">
      <alignment horizontal="center" vertical="center" wrapText="1"/>
    </xf>
    <xf numFmtId="41" fontId="36" fillId="14" borderId="201" xfId="2" applyFont="1" applyFill="1" applyBorder="1" applyAlignment="1">
      <alignment horizontal="center" vertical="center"/>
    </xf>
    <xf numFmtId="177" fontId="33" fillId="14" borderId="203" xfId="2" applyNumberFormat="1" applyFont="1" applyFill="1" applyBorder="1" applyAlignment="1">
      <alignment horizontal="center" vertical="center"/>
    </xf>
    <xf numFmtId="41" fontId="32" fillId="14" borderId="191" xfId="2" applyFont="1" applyFill="1" applyBorder="1" applyAlignment="1">
      <alignment horizontal="center" vertical="center"/>
    </xf>
    <xf numFmtId="41" fontId="32" fillId="14" borderId="192" xfId="2" applyFont="1" applyFill="1" applyBorder="1" applyAlignment="1">
      <alignment horizontal="center" vertical="center"/>
    </xf>
    <xf numFmtId="41" fontId="32" fillId="11" borderId="221" xfId="2" applyFont="1" applyFill="1" applyBorder="1" applyAlignment="1">
      <alignment horizontal="center" vertical="center"/>
    </xf>
    <xf numFmtId="177" fontId="21" fillId="11" borderId="152" xfId="2" applyNumberFormat="1" applyFont="1" applyFill="1" applyBorder="1" applyAlignment="1">
      <alignment horizontal="center" vertical="center"/>
    </xf>
    <xf numFmtId="41" fontId="36" fillId="14" borderId="115" xfId="2" applyFont="1" applyFill="1" applyBorder="1" applyAlignment="1">
      <alignment horizontal="center" vertical="center"/>
    </xf>
    <xf numFmtId="41" fontId="36" fillId="14" borderId="114" xfId="2" applyFont="1" applyFill="1" applyBorder="1" applyAlignment="1">
      <alignment horizontal="center" vertical="center"/>
    </xf>
    <xf numFmtId="177" fontId="36" fillId="5" borderId="125" xfId="2" applyNumberFormat="1" applyFont="1" applyFill="1" applyBorder="1" applyAlignment="1">
      <alignment horizontal="center" vertical="center"/>
    </xf>
    <xf numFmtId="177" fontId="6" fillId="11" borderId="160" xfId="0" applyNumberFormat="1" applyFont="1" applyFill="1" applyBorder="1" applyAlignment="1">
      <alignment horizontal="center" vertical="center"/>
    </xf>
    <xf numFmtId="41" fontId="11" fillId="20" borderId="187" xfId="2" applyFont="1" applyFill="1" applyBorder="1" applyAlignment="1">
      <alignment horizontal="center" vertical="center"/>
    </xf>
    <xf numFmtId="177" fontId="33" fillId="20" borderId="204" xfId="2" applyNumberFormat="1" applyFont="1" applyFill="1" applyBorder="1" applyAlignment="1">
      <alignment horizontal="center" vertical="center"/>
    </xf>
    <xf numFmtId="41" fontId="11" fillId="20" borderId="207" xfId="2" applyFont="1" applyFill="1" applyBorder="1" applyAlignment="1">
      <alignment horizontal="center" vertical="center"/>
    </xf>
    <xf numFmtId="41" fontId="11" fillId="20" borderId="195" xfId="2" applyFont="1" applyFill="1" applyBorder="1" applyAlignment="1">
      <alignment horizontal="center" vertical="center"/>
    </xf>
    <xf numFmtId="41" fontId="11" fillId="20" borderId="214" xfId="2" applyFont="1" applyFill="1" applyBorder="1" applyAlignment="1">
      <alignment horizontal="center" vertical="center"/>
    </xf>
    <xf numFmtId="41" fontId="11" fillId="20" borderId="222" xfId="2" applyFont="1" applyFill="1" applyBorder="1" applyAlignment="1">
      <alignment horizontal="center" vertical="center"/>
    </xf>
    <xf numFmtId="177" fontId="11" fillId="20" borderId="194" xfId="2" applyNumberFormat="1" applyFont="1" applyFill="1" applyBorder="1" applyAlignment="1">
      <alignment horizontal="center" vertical="center"/>
    </xf>
    <xf numFmtId="41" fontId="11" fillId="20" borderId="196" xfId="2" applyFont="1" applyFill="1" applyBorder="1" applyAlignment="1">
      <alignment horizontal="center" vertical="center"/>
    </xf>
    <xf numFmtId="41" fontId="11" fillId="20" borderId="197" xfId="2" applyFont="1" applyFill="1" applyBorder="1" applyAlignment="1">
      <alignment horizontal="center" vertical="center"/>
    </xf>
    <xf numFmtId="177" fontId="11" fillId="20" borderId="198" xfId="2" applyNumberFormat="1" applyFont="1" applyFill="1" applyBorder="1" applyAlignment="1">
      <alignment horizontal="center" vertical="center"/>
    </xf>
    <xf numFmtId="177" fontId="33" fillId="17" borderId="199" xfId="3" applyNumberFormat="1" applyFont="1" applyFill="1" applyBorder="1" applyAlignment="1">
      <alignment horizontal="center" vertical="center"/>
    </xf>
    <xf numFmtId="41" fontId="10" fillId="0" borderId="48" xfId="2" applyBorder="1" applyAlignment="1">
      <alignment horizontal="center" vertical="center"/>
    </xf>
    <xf numFmtId="177" fontId="33" fillId="14" borderId="205" xfId="2" applyNumberFormat="1" applyFont="1" applyFill="1" applyBorder="1" applyAlignment="1">
      <alignment horizontal="center" vertical="center"/>
    </xf>
    <xf numFmtId="41" fontId="10" fillId="0" borderId="135" xfId="2" applyBorder="1" applyAlignment="1">
      <alignment horizontal="center" vertical="center"/>
    </xf>
    <xf numFmtId="41" fontId="10" fillId="0" borderId="49" xfId="2" applyBorder="1" applyAlignment="1">
      <alignment horizontal="center" vertical="center"/>
    </xf>
    <xf numFmtId="41" fontId="10" fillId="0" borderId="215" xfId="2" applyBorder="1" applyAlignment="1">
      <alignment horizontal="center" vertical="center"/>
    </xf>
    <xf numFmtId="41" fontId="10" fillId="0" borderId="223" xfId="2" applyBorder="1" applyAlignment="1">
      <alignment horizontal="center" vertical="center"/>
    </xf>
    <xf numFmtId="177" fontId="10" fillId="0" borderId="52" xfId="2" applyNumberFormat="1" applyBorder="1" applyAlignment="1">
      <alignment horizontal="center" vertical="center"/>
    </xf>
    <xf numFmtId="41" fontId="10" fillId="5" borderId="58" xfId="2" applyFill="1" applyBorder="1" applyAlignment="1">
      <alignment horizontal="center" vertical="center"/>
    </xf>
    <xf numFmtId="41" fontId="18" fillId="5" borderId="61" xfId="0" applyNumberFormat="1" applyFont="1" applyFill="1" applyBorder="1" applyAlignment="1">
      <alignment vertical="center"/>
    </xf>
    <xf numFmtId="177" fontId="34" fillId="0" borderId="126" xfId="2" applyNumberFormat="1" applyFont="1" applyBorder="1" applyAlignment="1">
      <alignment horizontal="center" vertical="center"/>
    </xf>
    <xf numFmtId="177" fontId="35" fillId="0" borderId="155" xfId="3" applyNumberFormat="1" applyFont="1" applyBorder="1" applyAlignment="1">
      <alignment horizontal="center" vertical="center"/>
    </xf>
    <xf numFmtId="41" fontId="10" fillId="0" borderId="63" xfId="2" applyBorder="1" applyAlignment="1">
      <alignment horizontal="center" vertical="center"/>
    </xf>
    <xf numFmtId="41" fontId="10" fillId="0" borderId="208" xfId="2" applyBorder="1" applyAlignment="1">
      <alignment horizontal="center" vertical="center"/>
    </xf>
    <xf numFmtId="41" fontId="10" fillId="0" borderId="60" xfId="2" applyBorder="1" applyAlignment="1">
      <alignment horizontal="center" vertical="center"/>
    </xf>
    <xf numFmtId="41" fontId="10" fillId="0" borderId="224" xfId="2" applyBorder="1" applyAlignment="1">
      <alignment horizontal="center" vertical="center"/>
    </xf>
    <xf numFmtId="177" fontId="35" fillId="0" borderId="52" xfId="2" applyNumberFormat="1" applyFont="1" applyBorder="1" applyAlignment="1">
      <alignment horizontal="center" vertical="center"/>
    </xf>
    <xf numFmtId="177" fontId="17" fillId="0" borderId="155" xfId="0" applyNumberFormat="1" applyFont="1" applyBorder="1" applyAlignment="1">
      <alignment horizontal="center" vertical="center"/>
    </xf>
    <xf numFmtId="41" fontId="18" fillId="5" borderId="60" xfId="0" applyNumberFormat="1" applyFont="1" applyFill="1" applyBorder="1" applyAlignment="1">
      <alignment vertical="center"/>
    </xf>
    <xf numFmtId="41" fontId="10" fillId="0" borderId="186" xfId="2" applyBorder="1" applyAlignment="1">
      <alignment horizontal="center" vertical="center"/>
    </xf>
    <xf numFmtId="177" fontId="33" fillId="14" borderId="206" xfId="2" applyNumberFormat="1" applyFont="1" applyFill="1" applyBorder="1" applyAlignment="1">
      <alignment horizontal="center" vertical="center"/>
    </xf>
    <xf numFmtId="41" fontId="10" fillId="0" borderId="209" xfId="2" applyBorder="1" applyAlignment="1">
      <alignment horizontal="center" vertical="center"/>
    </xf>
    <xf numFmtId="41" fontId="10" fillId="0" borderId="112" xfId="2" applyBorder="1" applyAlignment="1">
      <alignment horizontal="center" vertical="center"/>
    </xf>
    <xf numFmtId="41" fontId="10" fillId="0" borderId="216" xfId="2" applyBorder="1" applyAlignment="1">
      <alignment horizontal="center" vertical="center"/>
    </xf>
    <xf numFmtId="41" fontId="10" fillId="0" borderId="225" xfId="2" applyBorder="1" applyAlignment="1">
      <alignment horizontal="center" vertical="center"/>
    </xf>
    <xf numFmtId="177" fontId="35" fillId="0" borderId="230" xfId="2" applyNumberFormat="1" applyFont="1" applyBorder="1" applyAlignment="1">
      <alignment horizontal="center" vertical="center"/>
    </xf>
    <xf numFmtId="41" fontId="10" fillId="5" borderId="122" xfId="2" applyFill="1" applyBorder="1" applyAlignment="1">
      <alignment horizontal="center" vertical="center"/>
    </xf>
    <xf numFmtId="41" fontId="18" fillId="5" borderId="23" xfId="0" applyNumberFormat="1" applyFont="1" applyFill="1" applyBorder="1" applyAlignment="1">
      <alignment vertical="center"/>
    </xf>
    <xf numFmtId="177" fontId="34" fillId="0" borderId="200" xfId="2" applyNumberFormat="1" applyFont="1" applyBorder="1" applyAlignment="1">
      <alignment horizontal="center" vertical="center"/>
    </xf>
    <xf numFmtId="177" fontId="18" fillId="0" borderId="130" xfId="0" applyNumberFormat="1" applyFont="1" applyBorder="1" applyAlignment="1">
      <alignment horizontal="center" vertical="center"/>
    </xf>
    <xf numFmtId="41" fontId="11" fillId="20" borderId="48" xfId="2" applyFont="1" applyFill="1" applyBorder="1" applyAlignment="1">
      <alignment horizontal="center" vertical="center"/>
    </xf>
    <xf numFmtId="41" fontId="11" fillId="20" borderId="135" xfId="2" applyFont="1" applyFill="1" applyBorder="1" applyAlignment="1">
      <alignment horizontal="center" vertical="center"/>
    </xf>
    <xf numFmtId="41" fontId="11" fillId="20" borderId="49" xfId="2" applyFont="1" applyFill="1" applyBorder="1" applyAlignment="1">
      <alignment horizontal="center" vertical="center"/>
    </xf>
    <xf numFmtId="41" fontId="11" fillId="20" borderId="215" xfId="2" applyFont="1" applyFill="1" applyBorder="1" applyAlignment="1">
      <alignment horizontal="center" vertical="center"/>
    </xf>
    <xf numFmtId="41" fontId="11" fillId="20" borderId="223" xfId="2" applyFont="1" applyFill="1" applyBorder="1" applyAlignment="1">
      <alignment horizontal="center" vertical="center"/>
    </xf>
    <xf numFmtId="177" fontId="33" fillId="20" borderId="52" xfId="2" applyNumberFormat="1" applyFont="1" applyFill="1" applyBorder="1" applyAlignment="1">
      <alignment horizontal="center" vertical="center"/>
    </xf>
    <xf numFmtId="41" fontId="11" fillId="20" borderId="54" xfId="2" applyFont="1" applyFill="1" applyBorder="1" applyAlignment="1">
      <alignment horizontal="center" vertical="center"/>
    </xf>
    <xf numFmtId="177" fontId="36" fillId="20" borderId="126" xfId="2" applyNumberFormat="1" applyFont="1" applyFill="1" applyBorder="1" applyAlignment="1">
      <alignment horizontal="center" vertical="center"/>
    </xf>
    <xf numFmtId="177" fontId="5" fillId="17" borderId="153" xfId="0" applyNumberFormat="1" applyFont="1" applyFill="1" applyBorder="1" applyAlignment="1">
      <alignment horizontal="center" vertical="center"/>
    </xf>
    <xf numFmtId="41" fontId="10" fillId="0" borderId="217" xfId="2" applyBorder="1" applyAlignment="1">
      <alignment horizontal="center" vertical="center"/>
    </xf>
    <xf numFmtId="177" fontId="35" fillId="0" borderId="62" xfId="2" applyNumberFormat="1" applyFont="1" applyBorder="1" applyAlignment="1">
      <alignment horizontal="center" vertical="center"/>
    </xf>
    <xf numFmtId="177" fontId="34" fillId="5" borderId="126" xfId="2" applyNumberFormat="1" applyFont="1" applyFill="1" applyBorder="1" applyAlignment="1">
      <alignment horizontal="center" vertical="center"/>
    </xf>
    <xf numFmtId="177" fontId="18" fillId="0" borderId="155" xfId="0" applyNumberFormat="1" applyFont="1" applyBorder="1" applyAlignment="1">
      <alignment horizontal="center" vertical="center"/>
    </xf>
    <xf numFmtId="41" fontId="10" fillId="0" borderId="8" xfId="2" applyBorder="1" applyAlignment="1">
      <alignment horizontal="center" vertical="center"/>
    </xf>
    <xf numFmtId="41" fontId="10" fillId="0" borderId="210" xfId="2" applyBorder="1" applyAlignment="1">
      <alignment horizontal="center" vertical="center"/>
    </xf>
    <xf numFmtId="41" fontId="10" fillId="0" borderId="0" xfId="2" applyAlignment="1">
      <alignment horizontal="center" vertical="center"/>
    </xf>
    <xf numFmtId="41" fontId="10" fillId="0" borderId="218" xfId="2" applyBorder="1" applyAlignment="1">
      <alignment horizontal="center" vertical="center"/>
    </xf>
    <xf numFmtId="41" fontId="10" fillId="0" borderId="226" xfId="2" applyBorder="1" applyAlignment="1">
      <alignment horizontal="center" vertical="center"/>
    </xf>
    <xf numFmtId="41" fontId="10" fillId="5" borderId="73" xfId="2" applyFill="1" applyBorder="1" applyAlignment="1">
      <alignment horizontal="center" vertical="center"/>
    </xf>
    <xf numFmtId="41" fontId="18" fillId="5" borderId="0" xfId="0" applyNumberFormat="1" applyFont="1" applyFill="1" applyAlignment="1">
      <alignment vertical="center"/>
    </xf>
    <xf numFmtId="177" fontId="34" fillId="5" borderId="128" xfId="2" applyNumberFormat="1" applyFont="1" applyFill="1" applyBorder="1" applyAlignment="1">
      <alignment horizontal="center" vertical="center"/>
    </xf>
    <xf numFmtId="177" fontId="18" fillId="0" borderId="153" xfId="0" applyNumberFormat="1" applyFont="1" applyBorder="1" applyAlignment="1">
      <alignment horizontal="center" vertical="center"/>
    </xf>
    <xf numFmtId="41" fontId="11" fillId="20" borderId="188" xfId="2" applyFont="1" applyFill="1" applyBorder="1" applyAlignment="1">
      <alignment horizontal="center" vertical="center"/>
    </xf>
    <xf numFmtId="41" fontId="11" fillId="20" borderId="211" xfId="2" applyFont="1" applyFill="1" applyBorder="1" applyAlignment="1">
      <alignment horizontal="center" vertical="center"/>
    </xf>
    <xf numFmtId="41" fontId="11" fillId="20" borderId="95" xfId="2" applyFont="1" applyFill="1" applyBorder="1" applyAlignment="1">
      <alignment horizontal="center" vertical="center"/>
    </xf>
    <xf numFmtId="41" fontId="11" fillId="20" borderId="219" xfId="2" applyFont="1" applyFill="1" applyBorder="1" applyAlignment="1">
      <alignment horizontal="center" vertical="center"/>
    </xf>
    <xf numFmtId="41" fontId="11" fillId="20" borderId="227" xfId="2" applyFont="1" applyFill="1" applyBorder="1" applyAlignment="1">
      <alignment horizontal="center" vertical="center"/>
    </xf>
    <xf numFmtId="177" fontId="33" fillId="20" borderId="26" xfId="2" applyNumberFormat="1" applyFont="1" applyFill="1" applyBorder="1" applyAlignment="1">
      <alignment horizontal="center" vertical="center"/>
    </xf>
    <xf numFmtId="41" fontId="11" fillId="20" borderId="120" xfId="2" applyFont="1" applyFill="1" applyBorder="1" applyAlignment="1">
      <alignment horizontal="center" vertical="center"/>
    </xf>
    <xf numFmtId="41" fontId="11" fillId="20" borderId="121" xfId="2" applyFont="1" applyFill="1" applyBorder="1" applyAlignment="1">
      <alignment horizontal="center" vertical="center"/>
    </xf>
    <xf numFmtId="177" fontId="36" fillId="20" borderId="127" xfId="2" applyNumberFormat="1" applyFont="1" applyFill="1" applyBorder="1" applyAlignment="1">
      <alignment horizontal="center" vertical="center"/>
    </xf>
    <xf numFmtId="177" fontId="5" fillId="17" borderId="161" xfId="0" applyNumberFormat="1" applyFont="1" applyFill="1" applyBorder="1" applyAlignment="1">
      <alignment horizontal="center" vertical="center"/>
    </xf>
    <xf numFmtId="41" fontId="10" fillId="0" borderId="58" xfId="2" applyBorder="1" applyAlignment="1">
      <alignment horizontal="center" vertical="center"/>
    </xf>
    <xf numFmtId="41" fontId="10" fillId="0" borderId="122" xfId="2" applyBorder="1" applyAlignment="1">
      <alignment horizontal="center" vertical="center"/>
    </xf>
    <xf numFmtId="41" fontId="10" fillId="0" borderId="63" xfId="2" applyBorder="1" applyAlignment="1">
      <alignment vertical="center"/>
    </xf>
    <xf numFmtId="41" fontId="10" fillId="0" borderId="208" xfId="2" applyBorder="1" applyAlignment="1">
      <alignment vertical="center"/>
    </xf>
    <xf numFmtId="41" fontId="10" fillId="0" borderId="60" xfId="2" applyBorder="1" applyAlignment="1">
      <alignment vertical="center"/>
    </xf>
    <xf numFmtId="41" fontId="10" fillId="0" borderId="217" xfId="2" applyBorder="1" applyAlignment="1">
      <alignment vertical="center"/>
    </xf>
    <xf numFmtId="41" fontId="10" fillId="0" borderId="224" xfId="2" applyBorder="1" applyAlignment="1">
      <alignment vertical="center"/>
    </xf>
    <xf numFmtId="41" fontId="10" fillId="0" borderId="58" xfId="2" applyBorder="1" applyAlignment="1">
      <alignment vertical="center"/>
    </xf>
    <xf numFmtId="41" fontId="10" fillId="0" borderId="189" xfId="2" applyBorder="1" applyAlignment="1">
      <alignment vertical="center"/>
    </xf>
    <xf numFmtId="41" fontId="10" fillId="0" borderId="212" xfId="2" applyBorder="1" applyAlignment="1">
      <alignment vertical="center"/>
    </xf>
    <xf numFmtId="41" fontId="10" fillId="0" borderId="74" xfId="2" applyBorder="1" applyAlignment="1">
      <alignment vertical="center"/>
    </xf>
    <xf numFmtId="41" fontId="10" fillId="0" borderId="228" xfId="2" applyBorder="1" applyAlignment="1">
      <alignment vertical="center"/>
    </xf>
    <xf numFmtId="41" fontId="10" fillId="0" borderId="73" xfId="2" applyBorder="1" applyAlignment="1">
      <alignment vertical="center"/>
    </xf>
    <xf numFmtId="41" fontId="10" fillId="0" borderId="212" xfId="2" applyBorder="1" applyAlignment="1">
      <alignment horizontal="center" vertical="center"/>
    </xf>
    <xf numFmtId="41" fontId="10" fillId="0" borderId="74" xfId="2" applyBorder="1" applyAlignment="1">
      <alignment horizontal="center" vertical="center"/>
    </xf>
    <xf numFmtId="41" fontId="10" fillId="0" borderId="228" xfId="2" applyBorder="1" applyAlignment="1">
      <alignment horizontal="center" vertical="center"/>
    </xf>
    <xf numFmtId="41" fontId="10" fillId="0" borderId="73" xfId="2" applyBorder="1" applyAlignment="1">
      <alignment horizontal="center" vertical="center"/>
    </xf>
    <xf numFmtId="41" fontId="34" fillId="0" borderId="224" xfId="2" applyFont="1" applyBorder="1" applyAlignment="1">
      <alignment horizontal="center" vertical="center"/>
    </xf>
    <xf numFmtId="41" fontId="34" fillId="0" borderId="226" xfId="2" applyFont="1" applyBorder="1" applyAlignment="1">
      <alignment horizontal="center" vertical="center"/>
    </xf>
    <xf numFmtId="41" fontId="36" fillId="20" borderId="227" xfId="2" applyFont="1" applyFill="1" applyBorder="1" applyAlignment="1">
      <alignment horizontal="center" vertical="center"/>
    </xf>
    <xf numFmtId="177" fontId="34" fillId="5" borderId="200" xfId="2" applyNumberFormat="1" applyFont="1" applyFill="1" applyBorder="1" applyAlignment="1">
      <alignment horizontal="center" vertical="center"/>
    </xf>
    <xf numFmtId="41" fontId="11" fillId="20" borderId="51" xfId="2" applyFont="1" applyFill="1" applyBorder="1" applyAlignment="1">
      <alignment horizontal="center" vertical="center"/>
    </xf>
    <xf numFmtId="41" fontId="10" fillId="0" borderId="189" xfId="2" applyBorder="1" applyAlignment="1">
      <alignment horizontal="center" vertical="center"/>
    </xf>
    <xf numFmtId="41" fontId="10" fillId="0" borderId="190" xfId="2" applyBorder="1" applyAlignment="1">
      <alignment horizontal="center" vertical="center"/>
    </xf>
    <xf numFmtId="177" fontId="33" fillId="14" borderId="231" xfId="2" applyNumberFormat="1" applyFont="1" applyFill="1" applyBorder="1" applyAlignment="1">
      <alignment horizontal="center" vertical="center"/>
    </xf>
    <xf numFmtId="41" fontId="10" fillId="0" borderId="213" xfId="2" applyBorder="1" applyAlignment="1">
      <alignment horizontal="center" vertical="center"/>
    </xf>
    <xf numFmtId="41" fontId="10" fillId="0" borderId="81" xfId="2" applyBorder="1" applyAlignment="1">
      <alignment horizontal="center" vertical="center"/>
    </xf>
    <xf numFmtId="41" fontId="10" fillId="0" borderId="232" xfId="2" applyBorder="1" applyAlignment="1">
      <alignment horizontal="center" vertical="center"/>
    </xf>
    <xf numFmtId="41" fontId="10" fillId="0" borderId="229" xfId="2" applyBorder="1" applyAlignment="1">
      <alignment horizontal="center" vertical="center"/>
    </xf>
    <xf numFmtId="177" fontId="35" fillId="0" borderId="41" xfId="2" applyNumberFormat="1" applyFont="1" applyBorder="1" applyAlignment="1">
      <alignment horizontal="center" vertical="center"/>
    </xf>
    <xf numFmtId="41" fontId="10" fillId="0" borderId="75" xfId="2" applyBorder="1" applyAlignment="1">
      <alignment horizontal="center" vertical="center"/>
    </xf>
    <xf numFmtId="41" fontId="18" fillId="5" borderId="1" xfId="0" applyNumberFormat="1" applyFont="1" applyFill="1" applyBorder="1" applyAlignment="1">
      <alignment vertical="center"/>
    </xf>
    <xf numFmtId="177" fontId="34" fillId="5" borderId="129" xfId="2" applyNumberFormat="1" applyFont="1" applyFill="1" applyBorder="1" applyAlignment="1">
      <alignment horizontal="center" vertical="center"/>
    </xf>
    <xf numFmtId="177" fontId="18" fillId="0" borderId="154" xfId="0" applyNumberFormat="1" applyFont="1" applyBorder="1" applyAlignment="1">
      <alignment horizontal="center" vertical="center"/>
    </xf>
    <xf numFmtId="176" fontId="0" fillId="0" borderId="0" xfId="0" applyNumberFormat="1" applyAlignment="1">
      <alignment vertical="center"/>
    </xf>
    <xf numFmtId="177" fontId="0" fillId="0" borderId="0" xfId="0" applyNumberFormat="1" applyAlignment="1">
      <alignment vertical="center"/>
    </xf>
    <xf numFmtId="178" fontId="4" fillId="0" borderId="0" xfId="0" applyNumberFormat="1" applyFont="1" applyAlignment="1">
      <alignment vertical="center"/>
    </xf>
    <xf numFmtId="176" fontId="5" fillId="0" borderId="0" xfId="0" applyNumberFormat="1" applyFont="1" applyAlignment="1">
      <alignment vertical="center"/>
    </xf>
    <xf numFmtId="177" fontId="6" fillId="10" borderId="89" xfId="0" applyNumberFormat="1" applyFont="1" applyFill="1" applyBorder="1" applyAlignment="1">
      <alignment horizontal="center" vertical="center"/>
    </xf>
    <xf numFmtId="177" fontId="6" fillId="10" borderId="12" xfId="0" applyNumberFormat="1" applyFont="1" applyFill="1" applyBorder="1" applyAlignment="1">
      <alignment horizontal="center" vertical="center"/>
    </xf>
    <xf numFmtId="177" fontId="6" fillId="10" borderId="11" xfId="0" applyNumberFormat="1" applyFont="1" applyFill="1" applyBorder="1" applyAlignment="1">
      <alignment horizontal="center" vertical="center"/>
    </xf>
    <xf numFmtId="177" fontId="6" fillId="10" borderId="12" xfId="0" applyNumberFormat="1" applyFont="1" applyFill="1" applyBorder="1" applyAlignment="1">
      <alignment horizontal="center" vertical="center" wrapText="1"/>
    </xf>
    <xf numFmtId="177" fontId="6" fillId="10" borderId="39" xfId="0" applyNumberFormat="1" applyFont="1" applyFill="1" applyBorder="1" applyAlignment="1">
      <alignment horizontal="center" vertical="center" wrapText="1"/>
    </xf>
    <xf numFmtId="41" fontId="11" fillId="9" borderId="37" xfId="2" applyFont="1" applyFill="1" applyBorder="1" applyAlignment="1">
      <alignment horizontal="center" vertical="center"/>
    </xf>
    <xf numFmtId="41" fontId="11" fillId="9" borderId="40" xfId="2" applyFont="1" applyFill="1" applyBorder="1" applyAlignment="1">
      <alignment horizontal="center" vertical="center"/>
    </xf>
    <xf numFmtId="41" fontId="11" fillId="9" borderId="12" xfId="2" applyFont="1" applyFill="1" applyBorder="1" applyAlignment="1">
      <alignment horizontal="center" vertical="center"/>
    </xf>
    <xf numFmtId="41" fontId="11" fillId="3" borderId="42" xfId="2" applyFont="1" applyFill="1" applyBorder="1" applyAlignment="1">
      <alignment horizontal="center" vertical="center"/>
    </xf>
    <xf numFmtId="41" fontId="11" fillId="3" borderId="12" xfId="2" applyFont="1" applyFill="1" applyBorder="1" applyAlignment="1">
      <alignment horizontal="center" vertical="center"/>
    </xf>
    <xf numFmtId="41" fontId="11" fillId="3" borderId="43" xfId="2" applyFont="1" applyFill="1" applyBorder="1" applyAlignment="1">
      <alignment horizontal="center" vertical="center"/>
    </xf>
    <xf numFmtId="41" fontId="11" fillId="3" borderId="44" xfId="2" applyFont="1" applyFill="1" applyBorder="1" applyAlignment="1">
      <alignment horizontal="center" vertical="center"/>
    </xf>
    <xf numFmtId="41" fontId="11" fillId="3" borderId="11" xfId="2" applyFont="1" applyFill="1" applyBorder="1" applyAlignment="1">
      <alignment horizontal="center" vertical="center"/>
    </xf>
    <xf numFmtId="41" fontId="11" fillId="3" borderId="47" xfId="2" applyFont="1" applyFill="1" applyBorder="1" applyAlignment="1">
      <alignment horizontal="center" vertical="center"/>
    </xf>
    <xf numFmtId="41" fontId="11" fillId="3" borderId="46" xfId="2" applyFont="1" applyFill="1" applyBorder="1" applyAlignment="1">
      <alignment horizontal="center" vertical="center"/>
    </xf>
    <xf numFmtId="176" fontId="11" fillId="3" borderId="12" xfId="0" applyNumberFormat="1" applyFont="1" applyFill="1" applyBorder="1" applyAlignment="1">
      <alignment horizontal="center" vertical="center" wrapText="1"/>
    </xf>
    <xf numFmtId="180" fontId="15" fillId="19" borderId="137" xfId="0" applyNumberFormat="1" applyFont="1" applyFill="1" applyBorder="1" applyAlignment="1">
      <alignment horizontal="center" vertical="center"/>
    </xf>
    <xf numFmtId="177" fontId="15" fillId="13" borderId="138" xfId="0" applyNumberFormat="1" applyFont="1" applyFill="1" applyBorder="1" applyAlignment="1">
      <alignment horizontal="center" vertical="center"/>
    </xf>
    <xf numFmtId="180" fontId="15" fillId="5" borderId="139" xfId="0" applyNumberFormat="1" applyFont="1" applyFill="1" applyBorder="1" applyAlignment="1">
      <alignment horizontal="center" vertical="center"/>
    </xf>
    <xf numFmtId="180" fontId="15" fillId="5" borderId="140" xfId="0" applyNumberFormat="1" applyFont="1" applyFill="1" applyBorder="1" applyAlignment="1">
      <alignment horizontal="center" vertical="center"/>
    </xf>
    <xf numFmtId="180" fontId="15" fillId="5" borderId="141" xfId="0" applyNumberFormat="1" applyFont="1" applyFill="1" applyBorder="1" applyAlignment="1">
      <alignment horizontal="center" vertical="center"/>
    </xf>
    <xf numFmtId="180" fontId="15" fillId="13" borderId="142" xfId="0" applyNumberFormat="1" applyFont="1" applyFill="1" applyBorder="1" applyAlignment="1">
      <alignment horizontal="center" vertical="center"/>
    </xf>
    <xf numFmtId="180" fontId="15" fillId="5" borderId="142" xfId="0" applyNumberFormat="1" applyFont="1" applyFill="1" applyBorder="1" applyAlignment="1">
      <alignment horizontal="center" vertical="center"/>
    </xf>
    <xf numFmtId="180" fontId="15" fillId="5" borderId="143" xfId="0" applyNumberFormat="1" applyFont="1" applyFill="1" applyBorder="1" applyAlignment="1">
      <alignment horizontal="center" vertical="center"/>
    </xf>
    <xf numFmtId="180" fontId="15" fillId="13" borderId="144" xfId="0" applyNumberFormat="1" applyFont="1" applyFill="1" applyBorder="1" applyAlignment="1">
      <alignment horizontal="center" vertical="center"/>
    </xf>
    <xf numFmtId="180" fontId="15" fillId="5" borderId="145" xfId="0" applyNumberFormat="1" applyFont="1" applyFill="1" applyBorder="1" applyAlignment="1">
      <alignment horizontal="center" vertical="center"/>
    </xf>
    <xf numFmtId="180" fontId="15" fillId="5" borderId="146" xfId="0" applyNumberFormat="1" applyFont="1" applyFill="1" applyBorder="1" applyAlignment="1">
      <alignment horizontal="center" vertical="center"/>
    </xf>
    <xf numFmtId="177" fontId="15" fillId="13" borderId="141" xfId="0" applyNumberFormat="1" applyFont="1" applyFill="1" applyBorder="1" applyAlignment="1">
      <alignment horizontal="center" vertical="center"/>
    </xf>
    <xf numFmtId="178" fontId="15" fillId="5" borderId="147" xfId="0" applyNumberFormat="1" applyFont="1" applyFill="1" applyBorder="1" applyAlignment="1">
      <alignment horizontal="center" vertical="center"/>
    </xf>
    <xf numFmtId="180" fontId="15" fillId="5" borderId="148" xfId="0" applyNumberFormat="1" applyFont="1" applyFill="1" applyBorder="1" applyAlignment="1">
      <alignment horizontal="center" vertical="center"/>
    </xf>
    <xf numFmtId="180" fontId="15" fillId="5" borderId="144" xfId="0" applyNumberFormat="1" applyFont="1" applyFill="1" applyBorder="1" applyAlignment="1">
      <alignment horizontal="center" vertical="center"/>
    </xf>
    <xf numFmtId="41" fontId="31" fillId="19" borderId="114" xfId="1" applyFont="1" applyFill="1" applyBorder="1" applyAlignment="1">
      <alignment horizontal="center" vertical="center"/>
    </xf>
    <xf numFmtId="41" fontId="15" fillId="5" borderId="114" xfId="1" applyFont="1" applyFill="1" applyBorder="1" applyAlignment="1">
      <alignment horizontal="center" vertical="center"/>
    </xf>
    <xf numFmtId="41" fontId="15" fillId="5" borderId="136" xfId="1" applyFont="1" applyFill="1" applyBorder="1" applyAlignment="1">
      <alignment horizontal="center" vertical="center"/>
    </xf>
    <xf numFmtId="41" fontId="15" fillId="5" borderId="132" xfId="1" applyFont="1" applyFill="1" applyBorder="1" applyAlignment="1">
      <alignment horizontal="center" vertical="center"/>
    </xf>
    <xf numFmtId="41" fontId="15" fillId="19" borderId="149" xfId="1" applyFont="1" applyFill="1" applyBorder="1" applyAlignment="1">
      <alignment horizontal="center" vertical="center"/>
    </xf>
    <xf numFmtId="41" fontId="15" fillId="5" borderId="150" xfId="1" applyFont="1" applyFill="1" applyBorder="1" applyAlignment="1">
      <alignment horizontal="center" vertical="center"/>
    </xf>
    <xf numFmtId="177" fontId="15" fillId="19" borderId="151" xfId="1" applyNumberFormat="1" applyFont="1" applyFill="1" applyBorder="1" applyAlignment="1">
      <alignment horizontal="center" vertical="center"/>
    </xf>
    <xf numFmtId="177" fontId="13" fillId="5" borderId="152" xfId="1" applyNumberFormat="1" applyFont="1" applyFill="1" applyBorder="1" applyAlignment="1">
      <alignment horizontal="center" vertical="center"/>
    </xf>
    <xf numFmtId="41" fontId="15" fillId="5" borderId="165" xfId="1" applyFont="1" applyFill="1" applyBorder="1" applyAlignment="1">
      <alignment vertical="center"/>
    </xf>
    <xf numFmtId="41" fontId="25" fillId="0" borderId="114" xfId="1" applyFont="1" applyBorder="1" applyAlignment="1">
      <alignment vertical="center"/>
    </xf>
    <xf numFmtId="41" fontId="25" fillId="0" borderId="136" xfId="1" applyFont="1" applyBorder="1" applyAlignment="1">
      <alignment vertical="center"/>
    </xf>
    <xf numFmtId="177" fontId="25" fillId="11" borderId="172" xfId="1" applyNumberFormat="1" applyFont="1" applyFill="1" applyBorder="1" applyAlignment="1">
      <alignment vertical="center"/>
    </xf>
    <xf numFmtId="177" fontId="13" fillId="0" borderId="162" xfId="0" applyNumberFormat="1" applyFont="1" applyBorder="1" applyAlignment="1">
      <alignment horizontal="center" vertical="center"/>
    </xf>
    <xf numFmtId="41" fontId="15" fillId="21" borderId="147" xfId="1" applyFont="1" applyFill="1" applyBorder="1" applyAlignment="1">
      <alignment horizontal="center" vertical="center"/>
    </xf>
    <xf numFmtId="41" fontId="15" fillId="5" borderId="149" xfId="1" applyFont="1" applyFill="1" applyBorder="1" applyAlignment="1">
      <alignment horizontal="center" vertical="center"/>
    </xf>
    <xf numFmtId="41" fontId="15" fillId="5" borderId="233" xfId="1" applyFont="1" applyFill="1" applyBorder="1" applyAlignment="1">
      <alignment horizontal="center" vertical="center"/>
    </xf>
    <xf numFmtId="41" fontId="21" fillId="0" borderId="149" xfId="1" applyFont="1" applyBorder="1" applyAlignment="1">
      <alignment horizontal="right" vertical="center"/>
    </xf>
    <xf numFmtId="41" fontId="21" fillId="21" borderId="149" xfId="1" applyFont="1" applyFill="1" applyBorder="1" applyAlignment="1">
      <alignment horizontal="right" vertical="center"/>
    </xf>
    <xf numFmtId="41" fontId="21" fillId="0" borderId="150" xfId="1" applyFont="1" applyBorder="1" applyAlignment="1">
      <alignment horizontal="right" vertical="center"/>
    </xf>
    <xf numFmtId="41" fontId="21" fillId="0" borderId="234" xfId="1" applyFont="1" applyBorder="1" applyAlignment="1">
      <alignment horizontal="right" vertical="center"/>
    </xf>
    <xf numFmtId="41" fontId="40" fillId="19" borderId="235" xfId="1" applyFont="1" applyFill="1" applyBorder="1" applyAlignment="1">
      <alignment vertical="center"/>
    </xf>
    <xf numFmtId="41" fontId="21" fillId="0" borderId="150" xfId="1" applyFont="1" applyBorder="1" applyAlignment="1">
      <alignment vertical="center"/>
    </xf>
    <xf numFmtId="41" fontId="21" fillId="0" borderId="149" xfId="1" applyFont="1" applyBorder="1" applyAlignment="1">
      <alignment vertical="center"/>
    </xf>
    <xf numFmtId="41" fontId="21" fillId="0" borderId="236" xfId="1" applyFont="1" applyBorder="1" applyAlignment="1">
      <alignment vertical="center"/>
    </xf>
    <xf numFmtId="41" fontId="21" fillId="11" borderId="238" xfId="1" applyFont="1" applyFill="1" applyBorder="1" applyAlignment="1">
      <alignment horizontal="right" vertical="center"/>
    </xf>
    <xf numFmtId="177" fontId="21" fillId="6" borderId="233" xfId="3" applyNumberFormat="1" applyFont="1" applyFill="1" applyBorder="1" applyAlignment="1">
      <alignment vertical="center"/>
    </xf>
    <xf numFmtId="176" fontId="21" fillId="5" borderId="49" xfId="3" applyNumberFormat="1" applyFont="1" applyFill="1" applyBorder="1" applyAlignment="1">
      <alignment vertical="center"/>
    </xf>
    <xf numFmtId="176" fontId="21" fillId="5" borderId="56" xfId="3" applyNumberFormat="1" applyFont="1" applyFill="1" applyBorder="1" applyAlignment="1">
      <alignment vertical="center"/>
    </xf>
    <xf numFmtId="176" fontId="21" fillId="5" borderId="57" xfId="3" applyNumberFormat="1" applyFont="1" applyFill="1" applyBorder="1" applyAlignment="1">
      <alignment vertical="center"/>
    </xf>
    <xf numFmtId="176" fontId="21" fillId="5" borderId="50" xfId="3" applyNumberFormat="1" applyFont="1" applyFill="1" applyBorder="1" applyAlignment="1">
      <alignment vertical="center"/>
    </xf>
    <xf numFmtId="177" fontId="15" fillId="5" borderId="52" xfId="1" applyNumberFormat="1" applyFont="1" applyFill="1" applyBorder="1" applyAlignment="1">
      <alignment horizontal="center" vertical="center"/>
    </xf>
    <xf numFmtId="177" fontId="5" fillId="2" borderId="104" xfId="0" applyNumberFormat="1" applyFont="1" applyFill="1" applyBorder="1" applyAlignment="1">
      <alignment horizontal="center" vertical="center"/>
    </xf>
    <xf numFmtId="180" fontId="6" fillId="2" borderId="133" xfId="0" applyNumberFormat="1" applyFont="1" applyFill="1" applyBorder="1" applyAlignment="1">
      <alignment horizontal="center" vertical="center"/>
    </xf>
    <xf numFmtId="180" fontId="6" fillId="2" borderId="134" xfId="0" applyNumberFormat="1" applyFont="1" applyFill="1" applyBorder="1" applyAlignment="1">
      <alignment horizontal="center" vertical="center"/>
    </xf>
    <xf numFmtId="180" fontId="6" fillId="2" borderId="135" xfId="0" applyNumberFormat="1" applyFont="1" applyFill="1" applyBorder="1" applyAlignment="1">
      <alignment horizontal="center" vertical="center"/>
    </xf>
    <xf numFmtId="180" fontId="6" fillId="2" borderId="52" xfId="0" applyNumberFormat="1" applyFont="1" applyFill="1" applyBorder="1" applyAlignment="1">
      <alignment horizontal="center" vertical="center"/>
    </xf>
    <xf numFmtId="180" fontId="6" fillId="2" borderId="50" xfId="0" applyNumberFormat="1" applyFont="1" applyFill="1" applyBorder="1" applyAlignment="1">
      <alignment horizontal="center" vertical="center"/>
    </xf>
    <xf numFmtId="180" fontId="6" fillId="2" borderId="48" xfId="0" applyNumberFormat="1" applyFont="1" applyFill="1" applyBorder="1" applyAlignment="1">
      <alignment horizontal="center" vertical="center"/>
    </xf>
    <xf numFmtId="180" fontId="6" fillId="2" borderId="53" xfId="0" applyNumberFormat="1" applyFont="1" applyFill="1" applyBorder="1" applyAlignment="1">
      <alignment horizontal="center" vertical="center"/>
    </xf>
    <xf numFmtId="177" fontId="5" fillId="2" borderId="55" xfId="0" applyNumberFormat="1" applyFont="1" applyFill="1" applyBorder="1" applyAlignment="1">
      <alignment horizontal="center" vertical="center"/>
    </xf>
    <xf numFmtId="178" fontId="6" fillId="2" borderId="54" xfId="0" applyNumberFormat="1" applyFont="1" applyFill="1" applyBorder="1" applyAlignment="1">
      <alignment horizontal="center" vertical="center"/>
    </xf>
    <xf numFmtId="179" fontId="6" fillId="2" borderId="50" xfId="0" applyNumberFormat="1" applyFont="1" applyFill="1" applyBorder="1" applyAlignment="1">
      <alignment horizontal="center" vertical="center"/>
    </xf>
    <xf numFmtId="180" fontId="6" fillId="2" borderId="54" xfId="0" applyNumberFormat="1" applyFont="1" applyFill="1" applyBorder="1" applyAlignment="1">
      <alignment horizontal="center" vertical="center"/>
    </xf>
    <xf numFmtId="180" fontId="6" fillId="2" borderId="55" xfId="0" applyNumberFormat="1" applyFont="1" applyFill="1" applyBorder="1" applyAlignment="1">
      <alignment horizontal="center" vertical="center"/>
    </xf>
    <xf numFmtId="180" fontId="6" fillId="2" borderId="49" xfId="0" applyNumberFormat="1" applyFont="1" applyFill="1" applyBorder="1" applyAlignment="1">
      <alignment horizontal="center" vertical="center"/>
    </xf>
    <xf numFmtId="179" fontId="6" fillId="2" borderId="96" xfId="0" applyNumberFormat="1" applyFont="1" applyFill="1" applyBorder="1" applyAlignment="1">
      <alignment horizontal="center" vertical="center"/>
    </xf>
    <xf numFmtId="179" fontId="6" fillId="2" borderId="49" xfId="0" applyNumberFormat="1" applyFont="1" applyFill="1" applyBorder="1" applyAlignment="1">
      <alignment horizontal="center" vertical="center"/>
    </xf>
    <xf numFmtId="179" fontId="6" fillId="2" borderId="96" xfId="0" applyNumberFormat="1" applyFont="1" applyFill="1" applyBorder="1" applyAlignment="1">
      <alignment horizontal="right" vertical="center"/>
    </xf>
    <xf numFmtId="179" fontId="6" fillId="2" borderId="50" xfId="0" applyNumberFormat="1" applyFont="1" applyFill="1" applyBorder="1" applyAlignment="1">
      <alignment horizontal="right" vertical="center"/>
    </xf>
    <xf numFmtId="179" fontId="6" fillId="2" borderId="49" xfId="0" applyNumberFormat="1" applyFont="1" applyFill="1" applyBorder="1" applyAlignment="1">
      <alignment horizontal="right" vertical="center"/>
    </xf>
    <xf numFmtId="179" fontId="6" fillId="2" borderId="53" xfId="0" applyNumberFormat="1" applyFont="1" applyFill="1" applyBorder="1" applyAlignment="1">
      <alignment horizontal="right" vertical="center"/>
    </xf>
    <xf numFmtId="177" fontId="13" fillId="2" borderId="100" xfId="1" applyNumberFormat="1" applyFont="1" applyFill="1" applyBorder="1" applyAlignment="1">
      <alignment horizontal="center" vertical="center"/>
    </xf>
    <xf numFmtId="177" fontId="13" fillId="2" borderId="52" xfId="1" applyNumberFormat="1" applyFont="1" applyFill="1" applyBorder="1" applyAlignment="1">
      <alignment horizontal="center" vertical="center"/>
    </xf>
    <xf numFmtId="179" fontId="6" fillId="8" borderId="166" xfId="0" applyNumberFormat="1" applyFont="1" applyFill="1" applyBorder="1" applyAlignment="1">
      <alignment horizontal="right" vertical="center"/>
    </xf>
    <xf numFmtId="41" fontId="16" fillId="8" borderId="50" xfId="1" applyFont="1" applyFill="1" applyBorder="1" applyAlignment="1">
      <alignment vertical="center"/>
    </xf>
    <xf numFmtId="41" fontId="16" fillId="8" borderId="49" xfId="1" applyFont="1" applyFill="1" applyBorder="1" applyAlignment="1">
      <alignment vertical="center"/>
    </xf>
    <xf numFmtId="177" fontId="30" fillId="8" borderId="55" xfId="1" applyNumberFormat="1" applyFont="1" applyFill="1" applyBorder="1" applyAlignment="1">
      <alignment vertical="center"/>
    </xf>
    <xf numFmtId="177" fontId="26" fillId="17" borderId="158" xfId="3" applyNumberFormat="1" applyFont="1" applyFill="1" applyBorder="1" applyAlignment="1">
      <alignment horizontal="center" vertical="center"/>
    </xf>
    <xf numFmtId="41" fontId="5" fillId="8" borderId="54" xfId="1" applyFont="1" applyFill="1" applyBorder="1" applyAlignment="1">
      <alignment horizontal="center" vertical="center"/>
    </xf>
    <xf numFmtId="41" fontId="5" fillId="8" borderId="50" xfId="1" applyFont="1" applyFill="1" applyBorder="1" applyAlignment="1">
      <alignment horizontal="center" vertical="center"/>
    </xf>
    <xf numFmtId="41" fontId="5" fillId="8" borderId="53" xfId="1" applyFont="1" applyFill="1" applyBorder="1" applyAlignment="1">
      <alignment horizontal="center" vertical="center"/>
    </xf>
    <xf numFmtId="41" fontId="5" fillId="8" borderId="55" xfId="1" applyFont="1" applyFill="1" applyBorder="1" applyAlignment="1">
      <alignment horizontal="center" vertical="center"/>
    </xf>
    <xf numFmtId="41" fontId="16" fillId="8" borderId="50" xfId="1" applyFont="1" applyFill="1" applyBorder="1" applyAlignment="1">
      <alignment horizontal="right" vertical="center"/>
    </xf>
    <xf numFmtId="41" fontId="16" fillId="8" borderId="53" xfId="1" applyFont="1" applyFill="1" applyBorder="1" applyAlignment="1">
      <alignment horizontal="right" vertical="center"/>
    </xf>
    <xf numFmtId="41" fontId="16" fillId="8" borderId="51" xfId="1" applyFont="1" applyFill="1" applyBorder="1" applyAlignment="1">
      <alignment horizontal="right" vertical="center"/>
    </xf>
    <xf numFmtId="41" fontId="16" fillId="8" borderId="175" xfId="1" applyFont="1" applyFill="1" applyBorder="1" applyAlignment="1">
      <alignment vertical="center"/>
    </xf>
    <xf numFmtId="41" fontId="16" fillId="8" borderId="53" xfId="1" applyFont="1" applyFill="1" applyBorder="1" applyAlignment="1">
      <alignment vertical="center"/>
    </xf>
    <xf numFmtId="41" fontId="16" fillId="8" borderId="104" xfId="1" applyFont="1" applyFill="1" applyBorder="1" applyAlignment="1">
      <alignment vertical="center"/>
    </xf>
    <xf numFmtId="41" fontId="16" fillId="8" borderId="239" xfId="1" applyFont="1" applyFill="1" applyBorder="1" applyAlignment="1">
      <alignment horizontal="right" vertical="center"/>
    </xf>
    <xf numFmtId="177" fontId="16" fillId="8" borderId="55" xfId="3" applyNumberFormat="1" applyFont="1" applyFill="1" applyBorder="1" applyAlignment="1">
      <alignment vertical="center"/>
    </xf>
    <xf numFmtId="176" fontId="5" fillId="4" borderId="61" xfId="3" applyNumberFormat="1" applyFont="1" applyFill="1" applyBorder="1" applyAlignment="1">
      <alignment vertical="center"/>
    </xf>
    <xf numFmtId="176" fontId="16" fillId="8" borderId="59" xfId="3" applyNumberFormat="1" applyFont="1" applyFill="1" applyBorder="1" applyAlignment="1">
      <alignment vertical="center"/>
    </xf>
    <xf numFmtId="177" fontId="5" fillId="4" borderId="52" xfId="1" applyNumberFormat="1" applyFont="1" applyFill="1" applyBorder="1" applyAlignment="1">
      <alignment horizontal="center" vertical="center"/>
    </xf>
    <xf numFmtId="180" fontId="6" fillId="9" borderId="61" xfId="0" applyNumberFormat="1" applyFont="1" applyFill="1" applyBorder="1" applyAlignment="1">
      <alignment horizontal="center" vertical="center"/>
    </xf>
    <xf numFmtId="180" fontId="6" fillId="9" borderId="62" xfId="0" applyNumberFormat="1" applyFont="1" applyFill="1" applyBorder="1" applyAlignment="1">
      <alignment horizontal="center" vertical="center"/>
    </xf>
    <xf numFmtId="180" fontId="6" fillId="9" borderId="58" xfId="0" applyNumberFormat="1" applyFont="1" applyFill="1" applyBorder="1" applyAlignment="1">
      <alignment horizontal="center" vertical="center"/>
    </xf>
    <xf numFmtId="180" fontId="6" fillId="9" borderId="59" xfId="0" applyNumberFormat="1" applyFont="1" applyFill="1" applyBorder="1" applyAlignment="1">
      <alignment horizontal="center" vertical="center"/>
    </xf>
    <xf numFmtId="177" fontId="5" fillId="9" borderId="64" xfId="0" applyNumberFormat="1" applyFont="1" applyFill="1" applyBorder="1" applyAlignment="1">
      <alignment horizontal="center" vertical="center"/>
    </xf>
    <xf numFmtId="178" fontId="6" fillId="9" borderId="58" xfId="0" applyNumberFormat="1" applyFont="1" applyFill="1" applyBorder="1" applyAlignment="1">
      <alignment horizontal="center" vertical="center"/>
    </xf>
    <xf numFmtId="179" fontId="6" fillId="9" borderId="61" xfId="0" applyNumberFormat="1" applyFont="1" applyFill="1" applyBorder="1" applyAlignment="1">
      <alignment horizontal="center" vertical="center"/>
    </xf>
    <xf numFmtId="180" fontId="6" fillId="9" borderId="64" xfId="0" applyNumberFormat="1" applyFont="1" applyFill="1" applyBorder="1" applyAlignment="1">
      <alignment horizontal="center" vertical="center"/>
    </xf>
    <xf numFmtId="180" fontId="6" fillId="9" borderId="65" xfId="0" applyNumberFormat="1" applyFont="1" applyFill="1" applyBorder="1" applyAlignment="1">
      <alignment horizontal="center" vertical="center"/>
    </xf>
    <xf numFmtId="178" fontId="6" fillId="9" borderId="84" xfId="1" applyNumberFormat="1" applyFont="1" applyFill="1" applyBorder="1" applyAlignment="1">
      <alignment horizontal="center" vertical="center"/>
    </xf>
    <xf numFmtId="41" fontId="6" fillId="9" borderId="61" xfId="1" applyFont="1" applyFill="1" applyBorder="1" applyAlignment="1">
      <alignment horizontal="center" vertical="center"/>
    </xf>
    <xf numFmtId="41" fontId="6" fillId="9" borderId="60" xfId="1" applyFont="1" applyFill="1" applyBorder="1" applyAlignment="1">
      <alignment horizontal="center" vertical="center"/>
    </xf>
    <xf numFmtId="41" fontId="6" fillId="9" borderId="84" xfId="1" applyFont="1" applyFill="1" applyBorder="1" applyAlignment="1">
      <alignment horizontal="center" vertical="center"/>
    </xf>
    <xf numFmtId="41" fontId="6" fillId="9" borderId="66" xfId="1" applyFont="1" applyFill="1" applyBorder="1" applyAlignment="1" applyProtection="1">
      <alignment horizontal="right" vertical="center"/>
      <protection locked="0"/>
    </xf>
    <xf numFmtId="41" fontId="6" fillId="9" borderId="74" xfId="1" applyFont="1" applyFill="1" applyBorder="1" applyAlignment="1">
      <alignment horizontal="right" vertical="center"/>
    </xf>
    <xf numFmtId="41" fontId="6" fillId="9" borderId="67" xfId="1" applyFont="1" applyFill="1" applyBorder="1" applyAlignment="1">
      <alignment horizontal="right" vertical="center"/>
    </xf>
    <xf numFmtId="177" fontId="13" fillId="10" borderId="100" xfId="1" applyNumberFormat="1" applyFont="1" applyFill="1" applyBorder="1" applyAlignment="1">
      <alignment horizontal="center" vertical="center"/>
    </xf>
    <xf numFmtId="177" fontId="13" fillId="10" borderId="62" xfId="1" applyNumberFormat="1" applyFont="1" applyFill="1" applyBorder="1" applyAlignment="1">
      <alignment horizontal="center" vertical="center"/>
    </xf>
    <xf numFmtId="41" fontId="16" fillId="10" borderId="167" xfId="1" applyFont="1" applyFill="1" applyBorder="1" applyAlignment="1">
      <alignment horizontal="right" vertical="center"/>
    </xf>
    <xf numFmtId="41" fontId="16" fillId="10" borderId="66" xfId="1" applyFont="1" applyFill="1" applyBorder="1" applyAlignment="1">
      <alignment vertical="center"/>
    </xf>
    <xf numFmtId="41" fontId="16" fillId="10" borderId="61" xfId="1" applyFont="1" applyFill="1" applyBorder="1" applyAlignment="1">
      <alignment vertical="center"/>
    </xf>
    <xf numFmtId="41" fontId="16" fillId="10" borderId="60" xfId="1" applyFont="1" applyFill="1" applyBorder="1" applyAlignment="1">
      <alignment vertical="center"/>
    </xf>
    <xf numFmtId="177" fontId="30" fillId="10" borderId="64" xfId="1" applyNumberFormat="1" applyFont="1" applyFill="1" applyBorder="1" applyAlignment="1">
      <alignment vertical="center"/>
    </xf>
    <xf numFmtId="177" fontId="26" fillId="18" borderId="84" xfId="3" applyNumberFormat="1" applyFont="1" applyFill="1" applyBorder="1" applyAlignment="1">
      <alignment horizontal="center" vertical="center"/>
    </xf>
    <xf numFmtId="41" fontId="6" fillId="9" borderId="58" xfId="1" applyFont="1" applyFill="1" applyBorder="1" applyAlignment="1">
      <alignment horizontal="center" vertical="center"/>
    </xf>
    <xf numFmtId="41" fontId="6" fillId="9" borderId="62" xfId="1" applyFont="1" applyFill="1" applyBorder="1" applyAlignment="1">
      <alignment horizontal="center" vertical="center"/>
    </xf>
    <xf numFmtId="41" fontId="16" fillId="9" borderId="61" xfId="1" applyFont="1" applyFill="1" applyBorder="1" applyAlignment="1">
      <alignment horizontal="right" vertical="center"/>
    </xf>
    <xf numFmtId="41" fontId="16" fillId="9" borderId="59" xfId="1" applyFont="1" applyFill="1" applyBorder="1" applyAlignment="1">
      <alignment horizontal="right" vertical="center"/>
    </xf>
    <xf numFmtId="41" fontId="16" fillId="9" borderId="65" xfId="1" applyFont="1" applyFill="1" applyBorder="1" applyAlignment="1">
      <alignment horizontal="right" vertical="center"/>
    </xf>
    <xf numFmtId="41" fontId="16" fillId="9" borderId="91" xfId="1" applyFont="1" applyFill="1" applyBorder="1" applyAlignment="1">
      <alignment vertical="center"/>
    </xf>
    <xf numFmtId="41" fontId="16" fillId="9" borderId="59" xfId="1" applyFont="1" applyFill="1" applyBorder="1" applyAlignment="1">
      <alignment vertical="center"/>
    </xf>
    <xf numFmtId="41" fontId="16" fillId="9" borderId="61" xfId="1" applyFont="1" applyFill="1" applyBorder="1" applyAlignment="1">
      <alignment vertical="center"/>
    </xf>
    <xf numFmtId="41" fontId="16" fillId="9" borderId="176" xfId="1" applyFont="1" applyFill="1" applyBorder="1" applyAlignment="1">
      <alignment vertical="center"/>
    </xf>
    <xf numFmtId="41" fontId="16" fillId="9" borderId="240" xfId="1" applyFont="1" applyFill="1" applyBorder="1" applyAlignment="1">
      <alignment horizontal="right" vertical="center"/>
    </xf>
    <xf numFmtId="41" fontId="16" fillId="9" borderId="67" xfId="1" applyFont="1" applyFill="1" applyBorder="1" applyAlignment="1">
      <alignment horizontal="right" vertical="center"/>
    </xf>
    <xf numFmtId="177" fontId="16" fillId="9" borderId="64" xfId="3" applyNumberFormat="1" applyFont="1" applyFill="1" applyBorder="1" applyAlignment="1">
      <alignment vertical="center"/>
    </xf>
    <xf numFmtId="176" fontId="5" fillId="9" borderId="61" xfId="3" applyNumberFormat="1" applyFont="1" applyFill="1" applyBorder="1" applyAlignment="1">
      <alignment vertical="center"/>
    </xf>
    <xf numFmtId="176" fontId="16" fillId="9" borderId="59" xfId="3" applyNumberFormat="1" applyFont="1" applyFill="1" applyBorder="1" applyAlignment="1">
      <alignment vertical="center"/>
    </xf>
    <xf numFmtId="177" fontId="5" fillId="9" borderId="52" xfId="1" applyNumberFormat="1" applyFont="1" applyFill="1" applyBorder="1" applyAlignment="1">
      <alignment horizontal="center" vertical="center"/>
    </xf>
    <xf numFmtId="177" fontId="18" fillId="5" borderId="104" xfId="0" applyNumberFormat="1" applyFont="1" applyFill="1" applyBorder="1" applyAlignment="1">
      <alignment horizontal="center" vertical="center"/>
    </xf>
    <xf numFmtId="176" fontId="17" fillId="5" borderId="91" xfId="0" applyNumberFormat="1" applyFont="1" applyFill="1" applyBorder="1" applyAlignment="1">
      <alignment horizontal="center" vertical="center"/>
    </xf>
    <xf numFmtId="176" fontId="18" fillId="5" borderId="59" xfId="0" applyNumberFormat="1" applyFont="1" applyFill="1" applyBorder="1" applyAlignment="1">
      <alignment horizontal="center" vertical="center"/>
    </xf>
    <xf numFmtId="176" fontId="18" fillId="5" borderId="64" xfId="0" applyNumberFormat="1" applyFont="1" applyFill="1" applyBorder="1" applyAlignment="1">
      <alignment horizontal="center" vertical="center"/>
    </xf>
    <xf numFmtId="176" fontId="17" fillId="5" borderId="61" xfId="0" applyNumberFormat="1" applyFont="1" applyFill="1" applyBorder="1" applyAlignment="1">
      <alignment horizontal="center" vertical="center"/>
    </xf>
    <xf numFmtId="176" fontId="17" fillId="5" borderId="59" xfId="0" applyNumberFormat="1" applyFont="1" applyFill="1" applyBorder="1" applyAlignment="1">
      <alignment horizontal="center" vertical="center"/>
    </xf>
    <xf numFmtId="176" fontId="17" fillId="5" borderId="64" xfId="0" applyNumberFormat="1" applyFont="1" applyFill="1" applyBorder="1" applyAlignment="1">
      <alignment horizontal="center" vertical="center"/>
    </xf>
    <xf numFmtId="176" fontId="17" fillId="5" borderId="58" xfId="0" applyNumberFormat="1" applyFont="1" applyFill="1" applyBorder="1" applyAlignment="1">
      <alignment horizontal="center" vertical="center"/>
    </xf>
    <xf numFmtId="176" fontId="17" fillId="11" borderId="59" xfId="0" applyNumberFormat="1" applyFont="1" applyFill="1" applyBorder="1" applyAlignment="1">
      <alignment horizontal="center" vertical="center"/>
    </xf>
    <xf numFmtId="177" fontId="5" fillId="5" borderId="64" xfId="0" applyNumberFormat="1" applyFont="1" applyFill="1" applyBorder="1" applyAlignment="1">
      <alignment horizontal="center" vertical="center"/>
    </xf>
    <xf numFmtId="178" fontId="18" fillId="12" borderId="58" xfId="0" applyNumberFormat="1" applyFont="1" applyFill="1" applyBorder="1" applyAlignment="1">
      <alignment horizontal="center" vertical="center"/>
    </xf>
    <xf numFmtId="180" fontId="18" fillId="12" borderId="60" xfId="0" applyNumberFormat="1" applyFont="1" applyFill="1" applyBorder="1" applyAlignment="1">
      <alignment horizontal="center" vertical="center"/>
    </xf>
    <xf numFmtId="176" fontId="17" fillId="12" borderId="59" xfId="0" applyNumberFormat="1" applyFont="1" applyFill="1" applyBorder="1" applyAlignment="1">
      <alignment horizontal="center" vertical="center"/>
    </xf>
    <xf numFmtId="176" fontId="17" fillId="12" borderId="64" xfId="0" applyNumberFormat="1" applyFont="1" applyFill="1" applyBorder="1" applyAlignment="1">
      <alignment horizontal="center" vertical="center"/>
    </xf>
    <xf numFmtId="176" fontId="17" fillId="12" borderId="65" xfId="0" applyNumberFormat="1" applyFont="1" applyFill="1" applyBorder="1" applyAlignment="1">
      <alignment horizontal="center" vertical="center"/>
    </xf>
    <xf numFmtId="178" fontId="17" fillId="0" borderId="84" xfId="1" applyNumberFormat="1" applyFont="1" applyBorder="1" applyAlignment="1">
      <alignment horizontal="center" vertical="center"/>
    </xf>
    <xf numFmtId="41" fontId="18" fillId="15" borderId="61" xfId="1" applyFont="1" applyFill="1" applyBorder="1" applyAlignment="1">
      <alignment horizontal="center" vertical="center"/>
    </xf>
    <xf numFmtId="41" fontId="18" fillId="15" borderId="65" xfId="1" applyFont="1" applyFill="1" applyBorder="1" applyAlignment="1">
      <alignment horizontal="center" vertical="center"/>
    </xf>
    <xf numFmtId="41" fontId="18" fillId="15" borderId="84" xfId="1" applyFont="1" applyFill="1" applyBorder="1" applyAlignment="1">
      <alignment horizontal="center" vertical="center"/>
    </xf>
    <xf numFmtId="41" fontId="6" fillId="5" borderId="66" xfId="1" applyFont="1" applyFill="1" applyBorder="1" applyAlignment="1" applyProtection="1">
      <alignment horizontal="right" vertical="center"/>
      <protection locked="0"/>
    </xf>
    <xf numFmtId="41" fontId="17" fillId="5" borderId="74" xfId="1" applyFont="1" applyFill="1" applyBorder="1" applyAlignment="1">
      <alignment horizontal="right" vertical="center"/>
    </xf>
    <xf numFmtId="41" fontId="18" fillId="0" borderId="59" xfId="1" applyFont="1" applyBorder="1" applyAlignment="1">
      <alignment horizontal="right" vertical="center"/>
    </xf>
    <xf numFmtId="177" fontId="13" fillId="0" borderId="52" xfId="1" applyNumberFormat="1" applyFont="1" applyBorder="1" applyAlignment="1">
      <alignment horizontal="center" vertical="center"/>
    </xf>
    <xf numFmtId="179" fontId="19" fillId="0" borderId="168" xfId="0" applyNumberFormat="1" applyFont="1" applyBorder="1" applyAlignment="1">
      <alignment horizontal="right" vertical="center" wrapText="1"/>
    </xf>
    <xf numFmtId="177" fontId="30" fillId="0" borderId="64" xfId="1" applyNumberFormat="1" applyFont="1" applyBorder="1" applyAlignment="1">
      <alignment vertical="center"/>
    </xf>
    <xf numFmtId="41" fontId="17" fillId="0" borderId="58" xfId="1" applyFont="1" applyBorder="1" applyAlignment="1">
      <alignment horizontal="center" vertical="center"/>
    </xf>
    <xf numFmtId="41" fontId="18" fillId="11" borderId="61" xfId="1" applyFont="1" applyFill="1" applyBorder="1" applyAlignment="1">
      <alignment horizontal="center" vertical="center"/>
    </xf>
    <xf numFmtId="41" fontId="18" fillId="11" borderId="59" xfId="1" applyFont="1" applyFill="1" applyBorder="1" applyAlignment="1">
      <alignment horizontal="center" vertical="center"/>
    </xf>
    <xf numFmtId="41" fontId="18" fillId="11" borderId="64" xfId="1" applyFont="1" applyFill="1" applyBorder="1" applyAlignment="1">
      <alignment horizontal="center" vertical="center"/>
    </xf>
    <xf numFmtId="41" fontId="18" fillId="0" borderId="61" xfId="1" applyFont="1" applyBorder="1" applyAlignment="1">
      <alignment horizontal="right" vertical="center"/>
    </xf>
    <xf numFmtId="41" fontId="18" fillId="5" borderId="61" xfId="1" applyFont="1" applyFill="1" applyBorder="1" applyAlignment="1">
      <alignment horizontal="right" vertical="center"/>
    </xf>
    <xf numFmtId="41" fontId="18" fillId="11" borderId="59" xfId="1" applyFont="1" applyFill="1" applyBorder="1" applyAlignment="1">
      <alignment horizontal="right" vertical="center"/>
    </xf>
    <xf numFmtId="41" fontId="18" fillId="11" borderId="65" xfId="1" applyFont="1" applyFill="1" applyBorder="1" applyAlignment="1">
      <alignment horizontal="right" vertical="center"/>
    </xf>
    <xf numFmtId="41" fontId="19" fillId="0" borderId="91" xfId="1" applyFont="1" applyBorder="1" applyAlignment="1">
      <alignment vertical="center"/>
    </xf>
    <xf numFmtId="41" fontId="19" fillId="11" borderId="59" xfId="1" applyFont="1" applyFill="1" applyBorder="1" applyAlignment="1">
      <alignment vertical="center"/>
    </xf>
    <xf numFmtId="41" fontId="19" fillId="11" borderId="61" xfId="1" applyFont="1" applyFill="1" applyBorder="1" applyAlignment="1">
      <alignment vertical="center"/>
    </xf>
    <xf numFmtId="41" fontId="19" fillId="11" borderId="176" xfId="1" applyFont="1" applyFill="1" applyBorder="1" applyAlignment="1">
      <alignment vertical="center"/>
    </xf>
    <xf numFmtId="41" fontId="18" fillId="0" borderId="240" xfId="1" applyFont="1" applyBorder="1" applyAlignment="1">
      <alignment horizontal="right" vertical="center"/>
    </xf>
    <xf numFmtId="41" fontId="16" fillId="5" borderId="61" xfId="1" applyFont="1" applyFill="1" applyBorder="1" applyAlignment="1">
      <alignment horizontal="right" vertical="center"/>
    </xf>
    <xf numFmtId="177" fontId="16" fillId="6" borderId="62" xfId="3" applyNumberFormat="1" applyFont="1" applyFill="1" applyBorder="1" applyAlignment="1">
      <alignment vertical="center"/>
    </xf>
    <xf numFmtId="176" fontId="18" fillId="5" borderId="61" xfId="3" applyNumberFormat="1" applyFont="1" applyFill="1" applyBorder="1" applyAlignment="1">
      <alignment vertical="center"/>
    </xf>
    <xf numFmtId="176" fontId="19" fillId="11" borderId="59" xfId="3" applyNumberFormat="1" applyFont="1" applyFill="1" applyBorder="1" applyAlignment="1">
      <alignment vertical="center"/>
    </xf>
    <xf numFmtId="176" fontId="18" fillId="11" borderId="61" xfId="0" applyNumberFormat="1" applyFont="1" applyFill="1" applyBorder="1" applyAlignment="1">
      <alignment vertical="center"/>
    </xf>
    <xf numFmtId="177" fontId="5" fillId="5" borderId="52" xfId="1" applyNumberFormat="1" applyFont="1" applyFill="1" applyBorder="1" applyAlignment="1">
      <alignment horizontal="center" vertical="center"/>
    </xf>
    <xf numFmtId="176" fontId="6" fillId="9" borderId="61" xfId="0" applyNumberFormat="1" applyFont="1" applyFill="1" applyBorder="1" applyAlignment="1">
      <alignment horizontal="center" vertical="center"/>
    </xf>
    <xf numFmtId="176" fontId="6" fillId="9" borderId="62" xfId="0" applyNumberFormat="1" applyFont="1" applyFill="1" applyBorder="1" applyAlignment="1">
      <alignment horizontal="center" vertical="center"/>
    </xf>
    <xf numFmtId="176" fontId="6" fillId="9" borderId="58" xfId="0" applyNumberFormat="1" applyFont="1" applyFill="1" applyBorder="1" applyAlignment="1">
      <alignment horizontal="center" vertical="center"/>
    </xf>
    <xf numFmtId="176" fontId="6" fillId="9" borderId="59" xfId="0" applyNumberFormat="1" applyFont="1" applyFill="1" applyBorder="1" applyAlignment="1">
      <alignment horizontal="center" vertical="center"/>
    </xf>
    <xf numFmtId="176" fontId="6" fillId="9" borderId="64" xfId="0" applyNumberFormat="1" applyFont="1" applyFill="1" applyBorder="1" applyAlignment="1">
      <alignment horizontal="center" vertical="center"/>
    </xf>
    <xf numFmtId="176" fontId="6" fillId="9" borderId="65" xfId="0" applyNumberFormat="1" applyFont="1" applyFill="1" applyBorder="1" applyAlignment="1">
      <alignment horizontal="center" vertical="center"/>
    </xf>
    <xf numFmtId="179" fontId="6" fillId="9" borderId="84" xfId="0" applyNumberFormat="1" applyFont="1" applyFill="1" applyBorder="1" applyAlignment="1">
      <alignment horizontal="center" vertical="center"/>
    </xf>
    <xf numFmtId="179" fontId="6" fillId="9" borderId="61" xfId="0" applyNumberFormat="1" applyFont="1" applyFill="1" applyBorder="1" applyAlignment="1">
      <alignment horizontal="right" vertical="center"/>
    </xf>
    <xf numFmtId="179" fontId="6" fillId="9" borderId="60" xfId="0" applyNumberFormat="1" applyFont="1" applyFill="1" applyBorder="1" applyAlignment="1">
      <alignment horizontal="right" vertical="center"/>
    </xf>
    <xf numFmtId="179" fontId="6" fillId="9" borderId="84" xfId="0" applyNumberFormat="1" applyFont="1" applyFill="1" applyBorder="1" applyAlignment="1">
      <alignment horizontal="right" vertical="center"/>
    </xf>
    <xf numFmtId="179" fontId="6" fillId="9" borderId="59" xfId="0" applyNumberFormat="1" applyFont="1" applyFill="1" applyBorder="1" applyAlignment="1">
      <alignment horizontal="right" vertical="center"/>
    </xf>
    <xf numFmtId="177" fontId="13" fillId="10" borderId="52" xfId="1" applyNumberFormat="1" applyFont="1" applyFill="1" applyBorder="1" applyAlignment="1">
      <alignment horizontal="center" vertical="center"/>
    </xf>
    <xf numFmtId="179" fontId="6" fillId="10" borderId="168" xfId="0" applyNumberFormat="1" applyFont="1" applyFill="1" applyBorder="1" applyAlignment="1">
      <alignment horizontal="right" vertical="center"/>
    </xf>
    <xf numFmtId="41" fontId="16" fillId="10" borderId="68" xfId="1" applyFont="1" applyFill="1" applyBorder="1" applyAlignment="1">
      <alignment vertical="center"/>
    </xf>
    <xf numFmtId="177" fontId="8" fillId="18" borderId="84" xfId="0" applyNumberFormat="1" applyFont="1" applyFill="1" applyBorder="1" applyAlignment="1">
      <alignment horizontal="center" vertical="center"/>
    </xf>
    <xf numFmtId="41" fontId="5" fillId="9" borderId="91" xfId="1" applyFont="1" applyFill="1" applyBorder="1" applyAlignment="1">
      <alignment vertical="center"/>
    </xf>
    <xf numFmtId="41" fontId="5" fillId="9" borderId="59" xfId="1" applyFont="1" applyFill="1" applyBorder="1" applyAlignment="1">
      <alignment vertical="center"/>
    </xf>
    <xf numFmtId="41" fontId="5" fillId="9" borderId="61" xfId="1" applyFont="1" applyFill="1" applyBorder="1" applyAlignment="1">
      <alignment vertical="center"/>
    </xf>
    <xf numFmtId="41" fontId="5" fillId="9" borderId="176" xfId="1" applyFont="1" applyFill="1" applyBorder="1" applyAlignment="1">
      <alignment vertical="center"/>
    </xf>
    <xf numFmtId="177" fontId="16" fillId="9" borderId="62" xfId="3" applyNumberFormat="1" applyFont="1" applyFill="1" applyBorder="1" applyAlignment="1">
      <alignment vertical="center"/>
    </xf>
    <xf numFmtId="178" fontId="17" fillId="5" borderId="84" xfId="1" applyNumberFormat="1" applyFont="1" applyFill="1" applyBorder="1" applyAlignment="1">
      <alignment horizontal="center" vertical="center"/>
    </xf>
    <xf numFmtId="179" fontId="6" fillId="5" borderId="61" xfId="0" applyNumberFormat="1" applyFont="1" applyFill="1" applyBorder="1" applyAlignment="1">
      <alignment horizontal="right" vertical="center"/>
    </xf>
    <xf numFmtId="41" fontId="18" fillId="5" borderId="59" xfId="1" applyFont="1" applyFill="1" applyBorder="1" applyAlignment="1">
      <alignment horizontal="right" vertical="center"/>
    </xf>
    <xf numFmtId="177" fontId="13" fillId="5" borderId="52" xfId="1" applyNumberFormat="1" applyFont="1" applyFill="1" applyBorder="1" applyAlignment="1">
      <alignment horizontal="center" vertical="center"/>
    </xf>
    <xf numFmtId="41" fontId="17" fillId="5" borderId="58" xfId="1" applyFont="1" applyFill="1" applyBorder="1" applyAlignment="1">
      <alignment horizontal="center" vertical="center"/>
    </xf>
    <xf numFmtId="176" fontId="18" fillId="11" borderId="59" xfId="0" applyNumberFormat="1" applyFont="1" applyFill="1" applyBorder="1" applyAlignment="1">
      <alignment vertical="center"/>
    </xf>
    <xf numFmtId="176" fontId="19" fillId="11" borderId="61" xfId="0" applyNumberFormat="1" applyFont="1" applyFill="1" applyBorder="1" applyAlignment="1">
      <alignment vertical="center"/>
    </xf>
    <xf numFmtId="41" fontId="6" fillId="9" borderId="59" xfId="1" applyFont="1" applyFill="1" applyBorder="1" applyAlignment="1">
      <alignment horizontal="right" vertical="center"/>
    </xf>
    <xf numFmtId="41" fontId="16" fillId="9" borderId="168" xfId="1" applyFont="1" applyFill="1" applyBorder="1" applyAlignment="1">
      <alignment horizontal="right" vertical="center"/>
    </xf>
    <xf numFmtId="41" fontId="16" fillId="9" borderId="68" xfId="1" applyFont="1" applyFill="1" applyBorder="1" applyAlignment="1">
      <alignment vertical="center"/>
    </xf>
    <xf numFmtId="41" fontId="16" fillId="9" borderId="50" xfId="1" applyFont="1" applyFill="1" applyBorder="1" applyAlignment="1">
      <alignment vertical="center"/>
    </xf>
    <xf numFmtId="41" fontId="16" fillId="9" borderId="60" xfId="1" applyFont="1" applyFill="1" applyBorder="1" applyAlignment="1">
      <alignment vertical="center"/>
    </xf>
    <xf numFmtId="41" fontId="5" fillId="9" borderId="61" xfId="1" applyFont="1" applyFill="1" applyBorder="1" applyAlignment="1">
      <alignment horizontal="right" vertical="center"/>
    </xf>
    <xf numFmtId="41" fontId="5" fillId="9" borderId="59" xfId="1" applyFont="1" applyFill="1" applyBorder="1" applyAlignment="1">
      <alignment horizontal="right" vertical="center"/>
    </xf>
    <xf numFmtId="41" fontId="5" fillId="9" borderId="65" xfId="1" applyFont="1" applyFill="1" applyBorder="1" applyAlignment="1">
      <alignment horizontal="right" vertical="center"/>
    </xf>
    <xf numFmtId="41" fontId="6" fillId="9" borderId="65" xfId="1" applyFont="1" applyFill="1" applyBorder="1" applyAlignment="1">
      <alignment horizontal="center" vertical="center"/>
    </xf>
    <xf numFmtId="177" fontId="8" fillId="18" borderId="158" xfId="0" applyNumberFormat="1" applyFont="1" applyFill="1" applyBorder="1" applyAlignment="1">
      <alignment horizontal="center" vertical="center"/>
    </xf>
    <xf numFmtId="41" fontId="6" fillId="9" borderId="59" xfId="1" applyFont="1" applyFill="1" applyBorder="1" applyAlignment="1">
      <alignment horizontal="center" vertical="center"/>
    </xf>
    <xf numFmtId="41" fontId="6" fillId="9" borderId="64" xfId="1" applyFont="1" applyFill="1" applyBorder="1" applyAlignment="1">
      <alignment horizontal="center" vertical="center"/>
    </xf>
    <xf numFmtId="176" fontId="5" fillId="9" borderId="61" xfId="0" applyNumberFormat="1" applyFont="1" applyFill="1" applyBorder="1" applyAlignment="1">
      <alignment vertical="center"/>
    </xf>
    <xf numFmtId="176" fontId="5" fillId="9" borderId="59" xfId="0" applyNumberFormat="1" applyFont="1" applyFill="1" applyBorder="1" applyAlignment="1">
      <alignment vertical="center"/>
    </xf>
    <xf numFmtId="41" fontId="6" fillId="5" borderId="74" xfId="1" applyFont="1" applyFill="1" applyBorder="1" applyAlignment="1">
      <alignment horizontal="right" vertical="center"/>
    </xf>
    <xf numFmtId="41" fontId="18" fillId="0" borderId="0" xfId="1" applyFont="1" applyAlignment="1">
      <alignment horizontal="right" vertical="center"/>
    </xf>
    <xf numFmtId="41" fontId="18" fillId="11" borderId="61" xfId="1" applyFont="1" applyFill="1" applyBorder="1" applyAlignment="1">
      <alignment vertical="center"/>
    </xf>
    <xf numFmtId="41" fontId="18" fillId="0" borderId="241" xfId="1" applyFont="1" applyBorder="1" applyAlignment="1">
      <alignment horizontal="right" vertical="center"/>
    </xf>
    <xf numFmtId="176" fontId="19" fillId="11" borderId="59" xfId="0" applyNumberFormat="1" applyFont="1" applyFill="1" applyBorder="1" applyAlignment="1">
      <alignment vertical="center"/>
    </xf>
    <xf numFmtId="178" fontId="6" fillId="2" borderId="131" xfId="0" applyNumberFormat="1" applyFont="1" applyFill="1" applyBorder="1" applyAlignment="1">
      <alignment horizontal="center" vertical="center"/>
    </xf>
    <xf numFmtId="178" fontId="5" fillId="2" borderId="83" xfId="0" applyNumberFormat="1" applyFont="1" applyFill="1" applyBorder="1" applyAlignment="1">
      <alignment horizontal="center" vertical="center"/>
    </xf>
    <xf numFmtId="178" fontId="5" fillId="2" borderId="62" xfId="0" applyNumberFormat="1" applyFont="1" applyFill="1" applyBorder="1" applyAlignment="1">
      <alignment horizontal="center" vertical="center"/>
    </xf>
    <xf numFmtId="178" fontId="6" fillId="2" borderId="61" xfId="0" applyNumberFormat="1" applyFont="1" applyFill="1" applyBorder="1" applyAlignment="1">
      <alignment horizontal="center" vertical="center"/>
    </xf>
    <xf numFmtId="178" fontId="6" fillId="2" borderId="62" xfId="0" applyNumberFormat="1" applyFont="1" applyFill="1" applyBorder="1" applyAlignment="1">
      <alignment horizontal="center" vertical="center"/>
    </xf>
    <xf numFmtId="178" fontId="6" fillId="2" borderId="58" xfId="0" applyNumberFormat="1" applyFont="1" applyFill="1" applyBorder="1" applyAlignment="1">
      <alignment horizontal="center" vertical="center"/>
    </xf>
    <xf numFmtId="178" fontId="6" fillId="2" borderId="59" xfId="0" applyNumberFormat="1" applyFont="1" applyFill="1" applyBorder="1" applyAlignment="1">
      <alignment horizontal="center" vertical="center"/>
    </xf>
    <xf numFmtId="177" fontId="5" fillId="7" borderId="64" xfId="0" applyNumberFormat="1" applyFont="1" applyFill="1" applyBorder="1" applyAlignment="1">
      <alignment horizontal="center" vertical="center"/>
    </xf>
    <xf numFmtId="176" fontId="6" fillId="2" borderId="64" xfId="0" applyNumberFormat="1" applyFont="1" applyFill="1" applyBorder="1" applyAlignment="1">
      <alignment horizontal="center" vertical="center"/>
    </xf>
    <xf numFmtId="176" fontId="6" fillId="2" borderId="58" xfId="0" applyNumberFormat="1" applyFont="1" applyFill="1" applyBorder="1" applyAlignment="1">
      <alignment horizontal="center" vertical="center"/>
    </xf>
    <xf numFmtId="176" fontId="6" fillId="2" borderId="59" xfId="0" applyNumberFormat="1" applyFont="1" applyFill="1" applyBorder="1" applyAlignment="1">
      <alignment horizontal="center" vertical="center"/>
    </xf>
    <xf numFmtId="176" fontId="6" fillId="2" borderId="65" xfId="0" applyNumberFormat="1" applyFont="1" applyFill="1" applyBorder="1" applyAlignment="1">
      <alignment horizontal="center" vertical="center"/>
    </xf>
    <xf numFmtId="179" fontId="6" fillId="2" borderId="84" xfId="0" applyNumberFormat="1" applyFont="1" applyFill="1" applyBorder="1" applyAlignment="1">
      <alignment horizontal="center" vertical="center"/>
    </xf>
    <xf numFmtId="179" fontId="6" fillId="2" borderId="61" xfId="0" applyNumberFormat="1" applyFont="1" applyFill="1" applyBorder="1" applyAlignment="1">
      <alignment horizontal="center" vertical="center"/>
    </xf>
    <xf numFmtId="179" fontId="6" fillId="2" borderId="60" xfId="0" applyNumberFormat="1" applyFont="1" applyFill="1" applyBorder="1" applyAlignment="1">
      <alignment horizontal="center" vertical="center"/>
    </xf>
    <xf numFmtId="179" fontId="6" fillId="2" borderId="61" xfId="0" applyNumberFormat="1" applyFont="1" applyFill="1" applyBorder="1" applyAlignment="1">
      <alignment horizontal="right" vertical="center"/>
    </xf>
    <xf numFmtId="41" fontId="6" fillId="2" borderId="74" xfId="1" applyFont="1" applyFill="1" applyBorder="1" applyAlignment="1">
      <alignment horizontal="right" vertical="center"/>
    </xf>
    <xf numFmtId="179" fontId="6" fillId="2" borderId="59" xfId="0" applyNumberFormat="1" applyFont="1" applyFill="1" applyBorder="1" applyAlignment="1">
      <alignment horizontal="right" vertical="center"/>
    </xf>
    <xf numFmtId="179" fontId="6" fillId="4" borderId="168" xfId="0" applyNumberFormat="1" applyFont="1" applyFill="1" applyBorder="1" applyAlignment="1">
      <alignment horizontal="right" vertical="center"/>
    </xf>
    <xf numFmtId="41" fontId="16" fillId="8" borderId="68" xfId="1" applyFont="1" applyFill="1" applyBorder="1" applyAlignment="1">
      <alignment vertical="center"/>
    </xf>
    <xf numFmtId="41" fontId="16" fillId="8" borderId="61" xfId="1" applyFont="1" applyFill="1" applyBorder="1" applyAlignment="1">
      <alignment vertical="center"/>
    </xf>
    <xf numFmtId="41" fontId="16" fillId="8" borderId="60" xfId="1" applyFont="1" applyFill="1" applyBorder="1" applyAlignment="1">
      <alignment vertical="center"/>
    </xf>
    <xf numFmtId="177" fontId="30" fillId="8" borderId="64" xfId="1" applyNumberFormat="1" applyFont="1" applyFill="1" applyBorder="1" applyAlignment="1">
      <alignment vertical="center"/>
    </xf>
    <xf numFmtId="177" fontId="8" fillId="17" borderId="84" xfId="0" applyNumberFormat="1" applyFont="1" applyFill="1" applyBorder="1" applyAlignment="1">
      <alignment horizontal="center" vertical="center"/>
    </xf>
    <xf numFmtId="41" fontId="5" fillId="8" borderId="58" xfId="1" applyFont="1" applyFill="1" applyBorder="1" applyAlignment="1">
      <alignment horizontal="center" vertical="center"/>
    </xf>
    <xf numFmtId="41" fontId="5" fillId="8" borderId="61" xfId="1" applyFont="1" applyFill="1" applyBorder="1" applyAlignment="1">
      <alignment horizontal="center" vertical="center"/>
    </xf>
    <xf numFmtId="41" fontId="5" fillId="8" borderId="59" xfId="1" applyFont="1" applyFill="1" applyBorder="1" applyAlignment="1">
      <alignment horizontal="center" vertical="center"/>
    </xf>
    <xf numFmtId="41" fontId="5" fillId="8" borderId="64" xfId="1" applyFont="1" applyFill="1" applyBorder="1" applyAlignment="1">
      <alignment horizontal="center" vertical="center"/>
    </xf>
    <xf numFmtId="41" fontId="16" fillId="8" borderId="61" xfId="1" applyFont="1" applyFill="1" applyBorder="1" applyAlignment="1">
      <alignment horizontal="right" vertical="center"/>
    </xf>
    <xf numFmtId="41" fontId="16" fillId="8" borderId="59" xfId="1" applyFont="1" applyFill="1" applyBorder="1" applyAlignment="1">
      <alignment horizontal="right" vertical="center"/>
    </xf>
    <xf numFmtId="41" fontId="16" fillId="8" borderId="65" xfId="1" applyFont="1" applyFill="1" applyBorder="1" applyAlignment="1">
      <alignment horizontal="right" vertical="center"/>
    </xf>
    <xf numFmtId="41" fontId="16" fillId="8" borderId="91" xfId="1" applyFont="1" applyFill="1" applyBorder="1" applyAlignment="1">
      <alignment vertical="center"/>
    </xf>
    <xf numFmtId="41" fontId="16" fillId="8" borderId="59" xfId="1" applyFont="1" applyFill="1" applyBorder="1" applyAlignment="1">
      <alignment vertical="center"/>
    </xf>
    <xf numFmtId="41" fontId="16" fillId="8" borderId="176" xfId="1" applyFont="1" applyFill="1" applyBorder="1" applyAlignment="1">
      <alignment vertical="center"/>
    </xf>
    <xf numFmtId="41" fontId="16" fillId="8" borderId="240" xfId="1" applyFont="1" applyFill="1" applyBorder="1" applyAlignment="1">
      <alignment horizontal="right" vertical="center"/>
    </xf>
    <xf numFmtId="177" fontId="16" fillId="8" borderId="62" xfId="3" applyNumberFormat="1" applyFont="1" applyFill="1" applyBorder="1" applyAlignment="1">
      <alignment vertical="center"/>
    </xf>
    <xf numFmtId="178" fontId="6" fillId="9" borderId="61" xfId="0" applyNumberFormat="1" applyFont="1" applyFill="1" applyBorder="1" applyAlignment="1">
      <alignment horizontal="center" vertical="center"/>
    </xf>
    <xf numFmtId="178" fontId="6" fillId="9" borderId="62" xfId="0" applyNumberFormat="1" applyFont="1" applyFill="1" applyBorder="1" applyAlignment="1">
      <alignment horizontal="center" vertical="center"/>
    </xf>
    <xf numFmtId="178" fontId="6" fillId="9" borderId="59" xfId="0" applyNumberFormat="1" applyFont="1" applyFill="1" applyBorder="1" applyAlignment="1">
      <alignment horizontal="center" vertical="center"/>
    </xf>
    <xf numFmtId="176" fontId="6" fillId="9" borderId="61" xfId="1" applyNumberFormat="1" applyFont="1" applyFill="1" applyBorder="1" applyAlignment="1">
      <alignment vertical="center"/>
    </xf>
    <xf numFmtId="41" fontId="18" fillId="11" borderId="0" xfId="1" applyFont="1" applyFill="1" applyAlignment="1">
      <alignment horizontal="right" vertical="center"/>
    </xf>
    <xf numFmtId="41" fontId="19" fillId="11" borderId="9" xfId="1" applyFont="1" applyFill="1" applyBorder="1" applyAlignment="1">
      <alignment vertical="center"/>
    </xf>
    <xf numFmtId="41" fontId="19" fillId="11" borderId="70" xfId="1" applyFont="1" applyFill="1" applyBorder="1" applyAlignment="1">
      <alignment vertical="center"/>
    </xf>
    <xf numFmtId="41" fontId="19" fillId="11" borderId="102" xfId="1" applyFont="1" applyFill="1" applyBorder="1" applyAlignment="1">
      <alignment vertical="center"/>
    </xf>
    <xf numFmtId="176" fontId="6" fillId="2" borderId="131" xfId="0" applyNumberFormat="1" applyFont="1" applyFill="1" applyBorder="1" applyAlignment="1">
      <alignment horizontal="center" vertical="center"/>
    </xf>
    <xf numFmtId="176" fontId="5" fillId="2" borderId="59" xfId="0" applyNumberFormat="1" applyFont="1" applyFill="1" applyBorder="1" applyAlignment="1">
      <alignment horizontal="center" vertical="center"/>
    </xf>
    <xf numFmtId="176" fontId="5" fillId="2" borderId="62" xfId="0" applyNumberFormat="1" applyFont="1" applyFill="1" applyBorder="1" applyAlignment="1">
      <alignment horizontal="center" vertical="center"/>
    </xf>
    <xf numFmtId="176" fontId="6" fillId="2" borderId="61" xfId="0" applyNumberFormat="1" applyFont="1" applyFill="1" applyBorder="1" applyAlignment="1">
      <alignment horizontal="center" vertical="center"/>
    </xf>
    <xf numFmtId="176" fontId="6" fillId="2" borderId="91" xfId="0" applyNumberFormat="1" applyFont="1" applyFill="1" applyBorder="1" applyAlignment="1">
      <alignment horizontal="center" vertical="center"/>
    </xf>
    <xf numFmtId="178" fontId="5" fillId="2" borderId="84" xfId="1" applyNumberFormat="1" applyFont="1" applyFill="1" applyBorder="1" applyAlignment="1">
      <alignment horizontal="center" vertical="center"/>
    </xf>
    <xf numFmtId="41" fontId="5" fillId="2" borderId="61" xfId="1" applyFont="1" applyFill="1" applyBorder="1" applyAlignment="1">
      <alignment horizontal="center" vertical="center"/>
    </xf>
    <xf numFmtId="41" fontId="5" fillId="2" borderId="65" xfId="1" applyFont="1" applyFill="1" applyBorder="1" applyAlignment="1">
      <alignment horizontal="center" vertical="center"/>
    </xf>
    <xf numFmtId="41" fontId="5" fillId="2" borderId="84" xfId="1" applyFont="1" applyFill="1" applyBorder="1" applyAlignment="1">
      <alignment horizontal="center" vertical="center"/>
    </xf>
    <xf numFmtId="41" fontId="5" fillId="2" borderId="59" xfId="1" applyFont="1" applyFill="1" applyBorder="1" applyAlignment="1">
      <alignment horizontal="right" vertical="center"/>
    </xf>
    <xf numFmtId="41" fontId="16" fillId="4" borderId="168" xfId="1" applyFont="1" applyFill="1" applyBorder="1" applyAlignment="1">
      <alignment horizontal="right" vertical="center"/>
    </xf>
    <xf numFmtId="41" fontId="5" fillId="8" borderId="61" xfId="1" applyFont="1" applyFill="1" applyBorder="1" applyAlignment="1">
      <alignment horizontal="right" vertical="center"/>
    </xf>
    <xf numFmtId="41" fontId="5" fillId="8" borderId="59" xfId="1" applyFont="1" applyFill="1" applyBorder="1" applyAlignment="1">
      <alignment horizontal="right" vertical="center"/>
    </xf>
    <xf numFmtId="41" fontId="5" fillId="8" borderId="65" xfId="1" applyFont="1" applyFill="1" applyBorder="1" applyAlignment="1">
      <alignment horizontal="right" vertical="center"/>
    </xf>
    <xf numFmtId="41" fontId="5" fillId="8" borderId="240" xfId="1" applyFont="1" applyFill="1" applyBorder="1" applyAlignment="1">
      <alignment horizontal="right" vertical="center"/>
    </xf>
    <xf numFmtId="176" fontId="6" fillId="9" borderId="84" xfId="0" applyNumberFormat="1" applyFont="1" applyFill="1" applyBorder="1" applyAlignment="1">
      <alignment horizontal="center" vertical="center"/>
    </xf>
    <xf numFmtId="176" fontId="6" fillId="9" borderId="60" xfId="0" applyNumberFormat="1" applyFont="1" applyFill="1" applyBorder="1" applyAlignment="1">
      <alignment horizontal="center" vertical="center"/>
    </xf>
    <xf numFmtId="176" fontId="6" fillId="9" borderId="59" xfId="0" applyNumberFormat="1" applyFont="1" applyFill="1" applyBorder="1" applyAlignment="1">
      <alignment horizontal="right" vertical="center"/>
    </xf>
    <xf numFmtId="176" fontId="6" fillId="9" borderId="168" xfId="0" applyNumberFormat="1" applyFont="1" applyFill="1" applyBorder="1" applyAlignment="1">
      <alignment horizontal="right" vertical="center"/>
    </xf>
    <xf numFmtId="176" fontId="6" fillId="9" borderId="61" xfId="0" applyNumberFormat="1" applyFont="1" applyFill="1" applyBorder="1" applyAlignment="1">
      <alignment horizontal="right" vertical="center"/>
    </xf>
    <xf numFmtId="176" fontId="6" fillId="9" borderId="65" xfId="0" applyNumberFormat="1" applyFont="1" applyFill="1" applyBorder="1" applyAlignment="1">
      <alignment horizontal="right" vertical="center"/>
    </xf>
    <xf numFmtId="176" fontId="6" fillId="9" borderId="58" xfId="0" applyNumberFormat="1" applyFont="1" applyFill="1" applyBorder="1" applyAlignment="1">
      <alignment horizontal="right" vertical="center"/>
    </xf>
    <xf numFmtId="176" fontId="6" fillId="9" borderId="64" xfId="0" applyNumberFormat="1" applyFont="1" applyFill="1" applyBorder="1" applyAlignment="1">
      <alignment horizontal="right" vertical="center"/>
    </xf>
    <xf numFmtId="176" fontId="6" fillId="9" borderId="91" xfId="0" applyNumberFormat="1" applyFont="1" applyFill="1" applyBorder="1" applyAlignment="1">
      <alignment horizontal="right" vertical="center"/>
    </xf>
    <xf numFmtId="176" fontId="6" fillId="9" borderId="177" xfId="0" applyNumberFormat="1" applyFont="1" applyFill="1" applyBorder="1" applyAlignment="1">
      <alignment horizontal="right" vertical="center"/>
    </xf>
    <xf numFmtId="176" fontId="6" fillId="9" borderId="240" xfId="0" applyNumberFormat="1" applyFont="1" applyFill="1" applyBorder="1" applyAlignment="1">
      <alignment horizontal="right" vertical="center"/>
    </xf>
    <xf numFmtId="41" fontId="18" fillId="5" borderId="240" xfId="1" applyFont="1" applyFill="1" applyBorder="1" applyAlignment="1">
      <alignment horizontal="right" vertical="center"/>
    </xf>
    <xf numFmtId="176" fontId="18" fillId="11" borderId="59" xfId="0" applyNumberFormat="1" applyFont="1" applyFill="1" applyBorder="1" applyAlignment="1">
      <alignment horizontal="center" vertical="center"/>
    </xf>
    <xf numFmtId="41" fontId="19" fillId="5" borderId="61" xfId="1" applyFont="1" applyFill="1" applyBorder="1" applyAlignment="1">
      <alignment horizontal="right" vertical="center"/>
    </xf>
    <xf numFmtId="41" fontId="19" fillId="11" borderId="59" xfId="1" applyFont="1" applyFill="1" applyBorder="1" applyAlignment="1">
      <alignment horizontal="right" vertical="center"/>
    </xf>
    <xf numFmtId="41" fontId="19" fillId="11" borderId="65" xfId="1" applyFont="1" applyFill="1" applyBorder="1" applyAlignment="1">
      <alignment horizontal="right" vertical="center"/>
    </xf>
    <xf numFmtId="41" fontId="19" fillId="11" borderId="177" xfId="1" applyFont="1" applyFill="1" applyBorder="1" applyAlignment="1">
      <alignment vertical="center"/>
    </xf>
    <xf numFmtId="176" fontId="6" fillId="2" borderId="62" xfId="0" applyNumberFormat="1" applyFont="1" applyFill="1" applyBorder="1" applyAlignment="1">
      <alignment horizontal="center" vertical="center"/>
    </xf>
    <xf numFmtId="176" fontId="28" fillId="2" borderId="84" xfId="0" applyNumberFormat="1" applyFont="1" applyFill="1" applyBorder="1" applyAlignment="1">
      <alignment horizontal="center" vertical="center"/>
    </xf>
    <xf numFmtId="176" fontId="28" fillId="2" borderId="60" xfId="0" applyNumberFormat="1" applyFont="1" applyFill="1" applyBorder="1" applyAlignment="1">
      <alignment horizontal="center" vertical="center"/>
    </xf>
    <xf numFmtId="176" fontId="6" fillId="2" borderId="59" xfId="0" applyNumberFormat="1" applyFont="1" applyFill="1" applyBorder="1" applyAlignment="1">
      <alignment horizontal="right" vertical="center"/>
    </xf>
    <xf numFmtId="176" fontId="6" fillId="8" borderId="168" xfId="0" applyNumberFormat="1" applyFont="1" applyFill="1" applyBorder="1" applyAlignment="1">
      <alignment horizontal="right" vertical="center"/>
    </xf>
    <xf numFmtId="176" fontId="6" fillId="8" borderId="61" xfId="0" applyNumberFormat="1" applyFont="1" applyFill="1" applyBorder="1" applyAlignment="1">
      <alignment horizontal="right" vertical="center"/>
    </xf>
    <xf numFmtId="176" fontId="6" fillId="8" borderId="59" xfId="0" applyNumberFormat="1" applyFont="1" applyFill="1" applyBorder="1" applyAlignment="1">
      <alignment horizontal="right" vertical="center"/>
    </xf>
    <xf numFmtId="176" fontId="6" fillId="8" borderId="65" xfId="0" applyNumberFormat="1" applyFont="1" applyFill="1" applyBorder="1" applyAlignment="1">
      <alignment horizontal="right" vertical="center"/>
    </xf>
    <xf numFmtId="176" fontId="6" fillId="8" borderId="58" xfId="0" applyNumberFormat="1" applyFont="1" applyFill="1" applyBorder="1" applyAlignment="1">
      <alignment horizontal="right" vertical="center"/>
    </xf>
    <xf numFmtId="176" fontId="6" fillId="8" borderId="64" xfId="0" applyNumberFormat="1" applyFont="1" applyFill="1" applyBorder="1" applyAlignment="1">
      <alignment horizontal="right" vertical="center"/>
    </xf>
    <xf numFmtId="176" fontId="6" fillId="8" borderId="91" xfId="0" applyNumberFormat="1" applyFont="1" applyFill="1" applyBorder="1" applyAlignment="1">
      <alignment horizontal="right" vertical="center"/>
    </xf>
    <xf numFmtId="176" fontId="6" fillId="8" borderId="177" xfId="0" applyNumberFormat="1" applyFont="1" applyFill="1" applyBorder="1" applyAlignment="1">
      <alignment horizontal="right" vertical="center"/>
    </xf>
    <xf numFmtId="176" fontId="6" fillId="8" borderId="240" xfId="0" applyNumberFormat="1" applyFont="1" applyFill="1" applyBorder="1" applyAlignment="1">
      <alignment horizontal="right" vertical="center"/>
    </xf>
    <xf numFmtId="176" fontId="6" fillId="8" borderId="62" xfId="0" applyNumberFormat="1" applyFont="1" applyFill="1" applyBorder="1" applyAlignment="1">
      <alignment horizontal="center" vertical="center"/>
    </xf>
    <xf numFmtId="179" fontId="28" fillId="9" borderId="84" xfId="0" applyNumberFormat="1" applyFont="1" applyFill="1" applyBorder="1" applyAlignment="1">
      <alignment horizontal="center" vertical="center"/>
    </xf>
    <xf numFmtId="179" fontId="28" fillId="9" borderId="61" xfId="0" applyNumberFormat="1" applyFont="1" applyFill="1" applyBorder="1" applyAlignment="1">
      <alignment horizontal="center" vertical="center"/>
    </xf>
    <xf numFmtId="179" fontId="28" fillId="9" borderId="60" xfId="0" applyNumberFormat="1" applyFont="1" applyFill="1" applyBorder="1" applyAlignment="1">
      <alignment horizontal="center" vertical="center"/>
    </xf>
    <xf numFmtId="179" fontId="6" fillId="9" borderId="168" xfId="0" applyNumberFormat="1" applyFont="1" applyFill="1" applyBorder="1" applyAlignment="1">
      <alignment horizontal="right" vertical="center"/>
    </xf>
    <xf numFmtId="176" fontId="17" fillId="5" borderId="131" xfId="0" applyNumberFormat="1" applyFont="1" applyFill="1" applyBorder="1" applyAlignment="1">
      <alignment horizontal="center" vertical="center"/>
    </xf>
    <xf numFmtId="176" fontId="18" fillId="5" borderId="62" xfId="0" applyNumberFormat="1" applyFont="1" applyFill="1" applyBorder="1" applyAlignment="1">
      <alignment horizontal="center" vertical="center"/>
    </xf>
    <xf numFmtId="178" fontId="19" fillId="5" borderId="84" xfId="0" applyNumberFormat="1" applyFont="1" applyFill="1" applyBorder="1" applyAlignment="1">
      <alignment horizontal="center" vertical="center" wrapText="1"/>
    </xf>
    <xf numFmtId="41" fontId="19" fillId="5" borderId="58" xfId="1" applyFont="1" applyFill="1" applyBorder="1" applyAlignment="1">
      <alignment horizontal="center" vertical="center" wrapText="1"/>
    </xf>
    <xf numFmtId="178" fontId="29" fillId="5" borderId="84" xfId="0" applyNumberFormat="1" applyFont="1" applyFill="1" applyBorder="1" applyAlignment="1">
      <alignment horizontal="center" vertical="center" wrapText="1"/>
    </xf>
    <xf numFmtId="41" fontId="29" fillId="15" borderId="61" xfId="1" applyFont="1" applyFill="1" applyBorder="1" applyAlignment="1">
      <alignment horizontal="center" vertical="center"/>
    </xf>
    <xf numFmtId="41" fontId="29" fillId="15" borderId="65" xfId="1" applyFont="1" applyFill="1" applyBorder="1" applyAlignment="1">
      <alignment horizontal="center" vertical="center"/>
    </xf>
    <xf numFmtId="41" fontId="29" fillId="15" borderId="84" xfId="1" applyFont="1" applyFill="1" applyBorder="1" applyAlignment="1">
      <alignment horizontal="center" vertical="center"/>
    </xf>
    <xf numFmtId="41" fontId="5" fillId="9" borderId="168" xfId="1" applyFont="1" applyFill="1" applyBorder="1" applyAlignment="1">
      <alignment horizontal="right" vertical="center"/>
    </xf>
    <xf numFmtId="41" fontId="6" fillId="9" borderId="61" xfId="1" applyFont="1" applyFill="1" applyBorder="1" applyAlignment="1">
      <alignment horizontal="right" vertical="center"/>
    </xf>
    <xf numFmtId="41" fontId="6" fillId="9" borderId="60" xfId="1" applyFont="1" applyFill="1" applyBorder="1" applyAlignment="1">
      <alignment horizontal="right" vertical="center"/>
    </xf>
    <xf numFmtId="41" fontId="16" fillId="9" borderId="240" xfId="1" applyFont="1" applyFill="1" applyBorder="1" applyAlignment="1">
      <alignment vertical="center"/>
    </xf>
    <xf numFmtId="41" fontId="16" fillId="9" borderId="83" xfId="1" applyFont="1" applyFill="1" applyBorder="1" applyAlignment="1">
      <alignment vertical="center"/>
    </xf>
    <xf numFmtId="179" fontId="18" fillId="0" borderId="168" xfId="0" applyNumberFormat="1" applyFont="1" applyBorder="1" applyAlignment="1">
      <alignment horizontal="right" vertical="center" wrapText="1"/>
    </xf>
    <xf numFmtId="41" fontId="5" fillId="8" borderId="168" xfId="1" applyFont="1" applyFill="1" applyBorder="1" applyAlignment="1">
      <alignment horizontal="right" vertical="center"/>
    </xf>
    <xf numFmtId="41" fontId="18" fillId="5" borderId="91" xfId="1" applyFont="1" applyFill="1" applyBorder="1" applyAlignment="1">
      <alignment vertical="center"/>
    </xf>
    <xf numFmtId="41" fontId="18" fillId="11" borderId="59" xfId="1" applyFont="1" applyFill="1" applyBorder="1" applyAlignment="1">
      <alignment vertical="center"/>
    </xf>
    <xf numFmtId="41" fontId="18" fillId="11" borderId="176" xfId="1" applyFont="1" applyFill="1" applyBorder="1" applyAlignment="1">
      <alignment vertical="center"/>
    </xf>
    <xf numFmtId="41" fontId="19" fillId="5" borderId="91" xfId="1" applyFont="1" applyFill="1" applyBorder="1" applyAlignment="1">
      <alignment vertical="center"/>
    </xf>
    <xf numFmtId="176" fontId="6" fillId="2" borderId="84" xfId="0" applyNumberFormat="1" applyFont="1" applyFill="1" applyBorder="1" applyAlignment="1">
      <alignment horizontal="center" vertical="center"/>
    </xf>
    <xf numFmtId="176" fontId="6" fillId="2" borderId="61" xfId="0" applyNumberFormat="1" applyFont="1" applyFill="1" applyBorder="1" applyAlignment="1">
      <alignment horizontal="right" vertical="center"/>
    </xf>
    <xf numFmtId="176" fontId="6" fillId="2" borderId="65" xfId="0" applyNumberFormat="1" applyFont="1" applyFill="1" applyBorder="1" applyAlignment="1">
      <alignment horizontal="right" vertical="center"/>
    </xf>
    <xf numFmtId="176" fontId="6" fillId="2" borderId="84" xfId="0" applyNumberFormat="1" applyFont="1" applyFill="1" applyBorder="1" applyAlignment="1">
      <alignment horizontal="right" vertical="center"/>
    </xf>
    <xf numFmtId="176" fontId="6" fillId="8" borderId="64" xfId="0" applyNumberFormat="1" applyFont="1" applyFill="1" applyBorder="1" applyAlignment="1">
      <alignment horizontal="center" vertical="center"/>
    </xf>
    <xf numFmtId="41" fontId="18" fillId="11" borderId="61" xfId="1" applyFont="1" applyFill="1" applyBorder="1" applyAlignment="1">
      <alignment horizontal="right" vertical="center"/>
    </xf>
    <xf numFmtId="41" fontId="18" fillId="11" borderId="60" xfId="1" applyFont="1" applyFill="1" applyBorder="1" applyAlignment="1">
      <alignment horizontal="right" vertical="center"/>
    </xf>
    <xf numFmtId="41" fontId="19" fillId="11" borderId="61" xfId="1" applyFont="1" applyFill="1" applyBorder="1" applyAlignment="1">
      <alignment horizontal="right" vertical="center"/>
    </xf>
    <xf numFmtId="41" fontId="19" fillId="11" borderId="60" xfId="1" applyFont="1" applyFill="1" applyBorder="1" applyAlignment="1">
      <alignment horizontal="right" vertical="center"/>
    </xf>
    <xf numFmtId="41" fontId="18" fillId="15" borderId="64" xfId="1" applyFont="1" applyFill="1" applyBorder="1" applyAlignment="1">
      <alignment horizontal="center" vertical="center"/>
    </xf>
    <xf numFmtId="41" fontId="18" fillId="15" borderId="62" xfId="1" applyFont="1" applyFill="1" applyBorder="1" applyAlignment="1">
      <alignment horizontal="center" vertical="center"/>
    </xf>
    <xf numFmtId="176" fontId="6" fillId="9" borderId="62" xfId="0" applyNumberFormat="1" applyFont="1" applyFill="1" applyBorder="1" applyAlignment="1">
      <alignment horizontal="right" vertical="center"/>
    </xf>
    <xf numFmtId="176" fontId="28" fillId="9" borderId="59" xfId="0" applyNumberFormat="1" applyFont="1" applyFill="1" applyBorder="1" applyAlignment="1">
      <alignment horizontal="right" vertical="center"/>
    </xf>
    <xf numFmtId="41" fontId="29" fillId="0" borderId="59" xfId="1" applyFont="1" applyBorder="1" applyAlignment="1">
      <alignment horizontal="right" vertical="center"/>
    </xf>
    <xf numFmtId="179" fontId="6" fillId="9" borderId="64" xfId="0" applyNumberFormat="1" applyFont="1" applyFill="1" applyBorder="1" applyAlignment="1">
      <alignment horizontal="right" vertical="center"/>
    </xf>
    <xf numFmtId="179" fontId="6" fillId="9" borderId="62" xfId="0" applyNumberFormat="1" applyFont="1" applyFill="1" applyBorder="1" applyAlignment="1">
      <alignment horizontal="right" vertical="center"/>
    </xf>
    <xf numFmtId="41" fontId="16" fillId="9" borderId="60" xfId="1" applyFont="1" applyFill="1" applyBorder="1" applyAlignment="1">
      <alignment horizontal="right" vertical="center"/>
    </xf>
    <xf numFmtId="41" fontId="6" fillId="9" borderId="58" xfId="1" applyFont="1" applyFill="1" applyBorder="1" applyAlignment="1">
      <alignment horizontal="right" vertical="center"/>
    </xf>
    <xf numFmtId="41" fontId="6" fillId="9" borderId="62" xfId="1" applyFont="1" applyFill="1" applyBorder="1" applyAlignment="1">
      <alignment horizontal="right" vertical="center"/>
    </xf>
    <xf numFmtId="41" fontId="16" fillId="9" borderId="91" xfId="1" applyFont="1" applyFill="1" applyBorder="1" applyAlignment="1">
      <alignment horizontal="right" vertical="center"/>
    </xf>
    <xf numFmtId="41" fontId="16" fillId="9" borderId="176" xfId="1" applyFont="1" applyFill="1" applyBorder="1" applyAlignment="1">
      <alignment horizontal="right" vertical="center"/>
    </xf>
    <xf numFmtId="177" fontId="16" fillId="9" borderId="62" xfId="3" applyNumberFormat="1" applyFont="1" applyFill="1" applyBorder="1" applyAlignment="1">
      <alignment horizontal="right" vertical="center"/>
    </xf>
    <xf numFmtId="176" fontId="5" fillId="9" borderId="61" xfId="3" applyNumberFormat="1" applyFont="1" applyFill="1" applyBorder="1" applyAlignment="1">
      <alignment horizontal="right" vertical="center"/>
    </xf>
    <xf numFmtId="176" fontId="16" fillId="9" borderId="59" xfId="3" applyNumberFormat="1" applyFont="1" applyFill="1" applyBorder="1" applyAlignment="1">
      <alignment horizontal="right" vertical="center"/>
    </xf>
    <xf numFmtId="177" fontId="5" fillId="9" borderId="52" xfId="1" applyNumberFormat="1" applyFont="1" applyFill="1" applyBorder="1" applyAlignment="1">
      <alignment horizontal="right" vertical="center"/>
    </xf>
    <xf numFmtId="180" fontId="5" fillId="2" borderId="109" xfId="0" applyNumberFormat="1" applyFont="1" applyFill="1" applyBorder="1" applyAlignment="1">
      <alignment horizontal="center" vertical="center"/>
    </xf>
    <xf numFmtId="178" fontId="5" fillId="2" borderId="59" xfId="0" applyNumberFormat="1" applyFont="1" applyFill="1" applyBorder="1" applyAlignment="1">
      <alignment horizontal="center" vertical="center"/>
    </xf>
    <xf numFmtId="41" fontId="16" fillId="8" borderId="168" xfId="1" applyFont="1" applyFill="1" applyBorder="1" applyAlignment="1">
      <alignment horizontal="right" vertical="center"/>
    </xf>
    <xf numFmtId="41" fontId="19" fillId="0" borderId="61" xfId="1" applyFont="1" applyBorder="1" applyAlignment="1">
      <alignment horizontal="right" vertical="center"/>
    </xf>
    <xf numFmtId="41" fontId="19" fillId="0" borderId="240" xfId="1" applyFont="1" applyBorder="1" applyAlignment="1">
      <alignment horizontal="right" vertical="center"/>
    </xf>
    <xf numFmtId="41" fontId="16" fillId="9" borderId="50" xfId="1" applyFont="1" applyFill="1" applyBorder="1" applyAlignment="1">
      <alignment horizontal="right" vertical="center"/>
    </xf>
    <xf numFmtId="176" fontId="6" fillId="2" borderId="60" xfId="0" applyNumberFormat="1" applyFont="1" applyFill="1" applyBorder="1" applyAlignment="1">
      <alignment horizontal="center" vertical="center"/>
    </xf>
    <xf numFmtId="178" fontId="18" fillId="0" borderId="84" xfId="1" applyNumberFormat="1" applyFont="1" applyBorder="1" applyAlignment="1">
      <alignment horizontal="center" vertical="center"/>
    </xf>
    <xf numFmtId="41" fontId="18" fillId="0" borderId="58" xfId="1" applyFont="1" applyBorder="1" applyAlignment="1">
      <alignment horizontal="center" vertical="center"/>
    </xf>
    <xf numFmtId="177" fontId="18" fillId="5" borderId="105" xfId="0" applyNumberFormat="1" applyFont="1" applyFill="1" applyBorder="1" applyAlignment="1">
      <alignment horizontal="center" vertical="center"/>
    </xf>
    <xf numFmtId="176" fontId="17" fillId="5" borderId="92" xfId="0" applyNumberFormat="1" applyFont="1" applyFill="1" applyBorder="1" applyAlignment="1">
      <alignment horizontal="center" vertical="center"/>
    </xf>
    <xf numFmtId="176" fontId="18" fillId="5" borderId="76" xfId="0" applyNumberFormat="1" applyFont="1" applyFill="1" applyBorder="1" applyAlignment="1">
      <alignment horizontal="center" vertical="center"/>
    </xf>
    <xf numFmtId="176" fontId="18" fillId="5" borderId="77" xfId="0" applyNumberFormat="1" applyFont="1" applyFill="1" applyBorder="1" applyAlignment="1">
      <alignment horizontal="center" vertical="center"/>
    </xf>
    <xf numFmtId="176" fontId="17" fillId="5" borderId="78" xfId="0" applyNumberFormat="1" applyFont="1" applyFill="1" applyBorder="1" applyAlignment="1">
      <alignment horizontal="center" vertical="center"/>
    </xf>
    <xf numFmtId="176" fontId="17" fillId="5" borderId="76" xfId="0" applyNumberFormat="1" applyFont="1" applyFill="1" applyBorder="1" applyAlignment="1">
      <alignment horizontal="center" vertical="center"/>
    </xf>
    <xf numFmtId="176" fontId="17" fillId="5" borderId="77" xfId="0" applyNumberFormat="1" applyFont="1" applyFill="1" applyBorder="1" applyAlignment="1">
      <alignment horizontal="center" vertical="center"/>
    </xf>
    <xf numFmtId="176" fontId="17" fillId="5" borderId="75" xfId="0" applyNumberFormat="1" applyFont="1" applyFill="1" applyBorder="1" applyAlignment="1">
      <alignment horizontal="center" vertical="center"/>
    </xf>
    <xf numFmtId="176" fontId="17" fillId="11" borderId="76" xfId="0" applyNumberFormat="1" applyFont="1" applyFill="1" applyBorder="1" applyAlignment="1">
      <alignment horizontal="center" vertical="center"/>
    </xf>
    <xf numFmtId="177" fontId="5" fillId="5" borderId="77" xfId="0" applyNumberFormat="1" applyFont="1" applyFill="1" applyBorder="1" applyAlignment="1">
      <alignment horizontal="center" vertical="center"/>
    </xf>
    <xf numFmtId="178" fontId="18" fillId="12" borderId="75" xfId="0" applyNumberFormat="1" applyFont="1" applyFill="1" applyBorder="1" applyAlignment="1">
      <alignment horizontal="center" vertical="center"/>
    </xf>
    <xf numFmtId="180" fontId="18" fillId="12" borderId="81" xfId="0" applyNumberFormat="1" applyFont="1" applyFill="1" applyBorder="1" applyAlignment="1">
      <alignment horizontal="center" vertical="center"/>
    </xf>
    <xf numFmtId="176" fontId="17" fillId="12" borderId="76" xfId="0" applyNumberFormat="1" applyFont="1" applyFill="1" applyBorder="1" applyAlignment="1">
      <alignment horizontal="center" vertical="center"/>
    </xf>
    <xf numFmtId="176" fontId="17" fillId="12" borderId="77" xfId="0" applyNumberFormat="1" applyFont="1" applyFill="1" applyBorder="1" applyAlignment="1">
      <alignment horizontal="center" vertical="center"/>
    </xf>
    <xf numFmtId="176" fontId="17" fillId="12" borderId="82" xfId="0" applyNumberFormat="1" applyFont="1" applyFill="1" applyBorder="1" applyAlignment="1">
      <alignment horizontal="center" vertical="center"/>
    </xf>
    <xf numFmtId="178" fontId="17" fillId="0" borderId="85" xfId="1" applyNumberFormat="1" applyFont="1" applyBorder="1" applyAlignment="1">
      <alignment horizontal="center" vertical="center"/>
    </xf>
    <xf numFmtId="41" fontId="18" fillId="15" borderId="78" xfId="1" applyFont="1" applyFill="1" applyBorder="1" applyAlignment="1">
      <alignment horizontal="center" vertical="center"/>
    </xf>
    <xf numFmtId="41" fontId="18" fillId="15" borderId="82" xfId="1" applyFont="1" applyFill="1" applyBorder="1" applyAlignment="1">
      <alignment horizontal="center" vertical="center"/>
    </xf>
    <xf numFmtId="41" fontId="18" fillId="15" borderId="85" xfId="1" applyFont="1" applyFill="1" applyBorder="1" applyAlignment="1">
      <alignment horizontal="center" vertical="center"/>
    </xf>
    <xf numFmtId="179" fontId="6" fillId="5" borderId="75" xfId="0" applyNumberFormat="1" applyFont="1" applyFill="1" applyBorder="1" applyAlignment="1">
      <alignment horizontal="right" vertical="center"/>
    </xf>
    <xf numFmtId="41" fontId="17" fillId="5" borderId="78" xfId="1" applyFont="1" applyFill="1" applyBorder="1" applyAlignment="1">
      <alignment horizontal="right" vertical="center"/>
    </xf>
    <xf numFmtId="41" fontId="18" fillId="0" borderId="76" xfId="1" applyFont="1" applyBorder="1" applyAlignment="1">
      <alignment horizontal="right" vertical="center"/>
    </xf>
    <xf numFmtId="177" fontId="13" fillId="10" borderId="101" xfId="1" applyNumberFormat="1" applyFont="1" applyFill="1" applyBorder="1" applyAlignment="1">
      <alignment horizontal="center" vertical="center"/>
    </xf>
    <xf numFmtId="177" fontId="13" fillId="5" borderId="14" xfId="1" applyNumberFormat="1" applyFont="1" applyFill="1" applyBorder="1" applyAlignment="1">
      <alignment horizontal="center" vertical="center"/>
    </xf>
    <xf numFmtId="179" fontId="19" fillId="0" borderId="169" xfId="0" applyNumberFormat="1" applyFont="1" applyBorder="1" applyAlignment="1">
      <alignment horizontal="right" vertical="center" wrapText="1"/>
    </xf>
    <xf numFmtId="177" fontId="30" fillId="0" borderId="77" xfId="1" applyNumberFormat="1" applyFont="1" applyBorder="1" applyAlignment="1">
      <alignment vertical="center"/>
    </xf>
    <xf numFmtId="41" fontId="17" fillId="0" borderId="75" xfId="1" applyFont="1" applyBorder="1" applyAlignment="1">
      <alignment horizontal="center" vertical="center"/>
    </xf>
    <xf numFmtId="41" fontId="18" fillId="11" borderId="78" xfId="1" applyFont="1" applyFill="1" applyBorder="1" applyAlignment="1">
      <alignment horizontal="center" vertical="center"/>
    </xf>
    <xf numFmtId="41" fontId="18" fillId="11" borderId="76" xfId="1" applyFont="1" applyFill="1" applyBorder="1" applyAlignment="1">
      <alignment horizontal="center" vertical="center"/>
    </xf>
    <xf numFmtId="41" fontId="18" fillId="11" borderId="77" xfId="1" applyFont="1" applyFill="1" applyBorder="1" applyAlignment="1">
      <alignment horizontal="center" vertical="center"/>
    </xf>
    <xf numFmtId="41" fontId="19" fillId="0" borderId="78" xfId="1" applyFont="1" applyBorder="1" applyAlignment="1">
      <alignment horizontal="right" vertical="center"/>
    </xf>
    <xf numFmtId="41" fontId="19" fillId="5" borderId="78" xfId="1" applyFont="1" applyFill="1" applyBorder="1" applyAlignment="1">
      <alignment horizontal="right" vertical="center"/>
    </xf>
    <xf numFmtId="41" fontId="19" fillId="11" borderId="76" xfId="1" applyFont="1" applyFill="1" applyBorder="1" applyAlignment="1">
      <alignment horizontal="right" vertical="center"/>
    </xf>
    <xf numFmtId="41" fontId="19" fillId="11" borderId="82" xfId="1" applyFont="1" applyFill="1" applyBorder="1" applyAlignment="1">
      <alignment horizontal="right" vertical="center"/>
    </xf>
    <xf numFmtId="41" fontId="19" fillId="0" borderId="178" xfId="1" applyFont="1" applyBorder="1" applyAlignment="1">
      <alignment vertical="center"/>
    </xf>
    <xf numFmtId="41" fontId="19" fillId="11" borderId="179" xfId="1" applyFont="1" applyFill="1" applyBorder="1" applyAlignment="1">
      <alignment vertical="center"/>
    </xf>
    <xf numFmtId="41" fontId="19" fillId="11" borderId="180" xfId="1" applyFont="1" applyFill="1" applyBorder="1" applyAlignment="1">
      <alignment vertical="center"/>
    </xf>
    <xf numFmtId="41" fontId="19" fillId="0" borderId="242" xfId="1" applyFont="1" applyBorder="1" applyAlignment="1">
      <alignment horizontal="right" vertical="center"/>
    </xf>
    <xf numFmtId="41" fontId="16" fillId="5" borderId="78" xfId="1" applyFont="1" applyFill="1" applyBorder="1" applyAlignment="1">
      <alignment horizontal="right" vertical="center"/>
    </xf>
    <xf numFmtId="177" fontId="16" fillId="6" borderId="41" xfId="3" applyNumberFormat="1" applyFont="1" applyFill="1" applyBorder="1" applyAlignment="1">
      <alignment vertical="center"/>
    </xf>
    <xf numFmtId="176" fontId="18" fillId="5" borderId="78" xfId="3" applyNumberFormat="1" applyFont="1" applyFill="1" applyBorder="1" applyAlignment="1">
      <alignment vertical="center"/>
    </xf>
    <xf numFmtId="176" fontId="19" fillId="11" borderId="76" xfId="3" applyNumberFormat="1" applyFont="1" applyFill="1" applyBorder="1" applyAlignment="1">
      <alignment vertical="center"/>
    </xf>
    <xf numFmtId="176" fontId="19" fillId="11" borderId="78" xfId="0" applyNumberFormat="1" applyFont="1" applyFill="1" applyBorder="1" applyAlignment="1">
      <alignment vertical="center"/>
    </xf>
    <xf numFmtId="176" fontId="19" fillId="11" borderId="76" xfId="0" applyNumberFormat="1" applyFont="1" applyFill="1" applyBorder="1" applyAlignment="1">
      <alignment vertical="center"/>
    </xf>
    <xf numFmtId="177" fontId="5" fillId="5" borderId="14" xfId="1" applyNumberFormat="1" applyFont="1" applyFill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41" fontId="0" fillId="0" borderId="0" xfId="1" applyFont="1" applyAlignment="1">
      <alignment horizontal="center" vertical="center"/>
    </xf>
    <xf numFmtId="41" fontId="0" fillId="0" borderId="0" xfId="1" applyFont="1" applyAlignment="1">
      <alignment vertical="center"/>
    </xf>
    <xf numFmtId="0" fontId="42" fillId="0" borderId="0" xfId="4" applyFont="1" applyAlignment="1">
      <alignment horizontal="center" vertical="center"/>
    </xf>
    <xf numFmtId="0" fontId="0" fillId="0" borderId="0" xfId="0" applyAlignment="1"/>
    <xf numFmtId="0" fontId="11" fillId="0" borderId="249" xfId="4" applyFont="1" applyBorder="1" applyAlignment="1">
      <alignment horizontal="center" vertical="center" wrapText="1"/>
    </xf>
    <xf numFmtId="0" fontId="0" fillId="0" borderId="117" xfId="0" applyBorder="1" applyAlignment="1"/>
    <xf numFmtId="0" fontId="0" fillId="0" borderId="118" xfId="0" applyBorder="1" applyAlignment="1"/>
    <xf numFmtId="41" fontId="12" fillId="10" borderId="247" xfId="2" applyFont="1" applyFill="1" applyBorder="1" applyAlignment="1">
      <alignment horizontal="center" vertical="center" wrapText="1"/>
    </xf>
    <xf numFmtId="0" fontId="0" fillId="0" borderId="220" xfId="0" applyBorder="1" applyAlignment="1"/>
    <xf numFmtId="41" fontId="39" fillId="10" borderId="28" xfId="2" applyFont="1" applyFill="1" applyBorder="1" applyAlignment="1">
      <alignment horizontal="center" vertical="center" wrapText="1" shrinkToFit="1"/>
    </xf>
    <xf numFmtId="0" fontId="0" fillId="0" borderId="18" xfId="0" applyBorder="1" applyAlignment="1"/>
    <xf numFmtId="0" fontId="11" fillId="0" borderId="250" xfId="4" applyFont="1" applyBorder="1" applyAlignment="1">
      <alignment horizontal="center" vertical="center" wrapText="1"/>
    </xf>
    <xf numFmtId="41" fontId="39" fillId="10" borderId="28" xfId="2" applyFont="1" applyFill="1" applyBorder="1" applyAlignment="1">
      <alignment horizontal="center" vertical="center" wrapText="1"/>
    </xf>
    <xf numFmtId="0" fontId="11" fillId="10" borderId="111" xfId="4" applyFont="1" applyFill="1" applyBorder="1" applyAlignment="1">
      <alignment horizontal="center" vertical="center" wrapText="1"/>
    </xf>
    <xf numFmtId="0" fontId="0" fillId="0" borderId="22" xfId="0" applyBorder="1" applyAlignment="1"/>
    <xf numFmtId="0" fontId="0" fillId="0" borderId="166" xfId="0" applyBorder="1" applyAlignment="1"/>
    <xf numFmtId="41" fontId="12" fillId="10" borderId="29" xfId="2" applyFont="1" applyFill="1" applyBorder="1" applyAlignment="1">
      <alignment horizontal="center" vertical="center"/>
    </xf>
    <xf numFmtId="0" fontId="0" fillId="0" borderId="24" xfId="0" applyBorder="1" applyAlignment="1"/>
    <xf numFmtId="0" fontId="0" fillId="0" borderId="27" xfId="0" applyBorder="1" applyAlignment="1"/>
    <xf numFmtId="41" fontId="12" fillId="10" borderId="29" xfId="2" applyFont="1" applyFill="1" applyBorder="1" applyAlignment="1">
      <alignment horizontal="center" vertical="center" wrapText="1" shrinkToFit="1"/>
    </xf>
    <xf numFmtId="0" fontId="0" fillId="0" borderId="19" xfId="0" applyBorder="1" applyAlignment="1"/>
    <xf numFmtId="0" fontId="11" fillId="0" borderId="124" xfId="4" applyFont="1" applyBorder="1" applyAlignment="1">
      <alignment horizontal="center" vertical="center" wrapText="1" shrinkToFit="1"/>
    </xf>
    <xf numFmtId="0" fontId="0" fillId="0" borderId="124" xfId="0" applyBorder="1" applyAlignment="1"/>
    <xf numFmtId="41" fontId="12" fillId="10" borderId="248" xfId="2" applyFont="1" applyFill="1" applyBorder="1" applyAlignment="1">
      <alignment horizontal="center" vertical="center" wrapText="1" shrinkToFit="1"/>
    </xf>
    <xf numFmtId="0" fontId="0" fillId="0" borderId="193" xfId="0" applyBorder="1" applyAlignment="1"/>
    <xf numFmtId="0" fontId="11" fillId="10" borderId="183" xfId="4" applyFont="1" applyFill="1" applyBorder="1" applyAlignment="1">
      <alignment horizontal="center" vertical="center" shrinkToFit="1"/>
    </xf>
    <xf numFmtId="0" fontId="0" fillId="0" borderId="184" xfId="0" applyBorder="1" applyAlignment="1"/>
    <xf numFmtId="0" fontId="0" fillId="0" borderId="243" xfId="0" applyBorder="1" applyAlignment="1"/>
    <xf numFmtId="41" fontId="12" fillId="10" borderId="244" xfId="2" applyFont="1" applyFill="1" applyBorder="1" applyAlignment="1">
      <alignment horizontal="center" vertical="center" wrapText="1" shrinkToFit="1"/>
    </xf>
    <xf numFmtId="0" fontId="0" fillId="0" borderId="15" xfId="0" applyBorder="1" applyAlignment="1"/>
    <xf numFmtId="0" fontId="0" fillId="0" borderId="156" xfId="0" applyBorder="1" applyAlignment="1"/>
    <xf numFmtId="41" fontId="12" fillId="10" borderId="2" xfId="2" applyFont="1" applyFill="1" applyBorder="1" applyAlignment="1">
      <alignment horizontal="center" vertical="center"/>
    </xf>
    <xf numFmtId="0" fontId="0" fillId="0" borderId="5" xfId="0" applyBorder="1" applyAlignment="1"/>
    <xf numFmtId="0" fontId="0" fillId="0" borderId="8" xfId="0" applyBorder="1" applyAlignment="1"/>
    <xf numFmtId="41" fontId="12" fillId="10" borderId="246" xfId="2" applyFont="1" applyFill="1" applyBorder="1" applyAlignment="1">
      <alignment horizontal="center" vertical="center"/>
    </xf>
    <xf numFmtId="0" fontId="0" fillId="0" borderId="16" xfId="0" applyBorder="1" applyAlignment="1"/>
    <xf numFmtId="0" fontId="11" fillId="0" borderId="118" xfId="4" applyFont="1" applyBorder="1" applyAlignment="1">
      <alignment horizontal="center" vertical="center" wrapText="1"/>
    </xf>
    <xf numFmtId="0" fontId="38" fillId="17" borderId="245" xfId="0" quotePrefix="1" applyFont="1" applyFill="1" applyBorder="1" applyAlignment="1">
      <alignment horizontal="center" vertical="center" wrapText="1"/>
    </xf>
    <xf numFmtId="0" fontId="0" fillId="0" borderId="153" xfId="0" applyBorder="1" applyAlignment="1"/>
    <xf numFmtId="0" fontId="0" fillId="0" borderId="130" xfId="0" applyBorder="1" applyAlignment="1"/>
    <xf numFmtId="0" fontId="5" fillId="0" borderId="1" xfId="0" applyFont="1" applyBorder="1" applyAlignment="1">
      <alignment horizontal="right" vertical="center"/>
    </xf>
    <xf numFmtId="0" fontId="0" fillId="0" borderId="1" xfId="0" applyBorder="1" applyAlignment="1"/>
    <xf numFmtId="0" fontId="14" fillId="14" borderId="113" xfId="4" applyFont="1" applyFill="1" applyBorder="1" applyAlignment="1">
      <alignment horizontal="center" vertical="center"/>
    </xf>
    <xf numFmtId="0" fontId="0" fillId="0" borderId="136" xfId="0" applyBorder="1" applyAlignment="1"/>
    <xf numFmtId="10" fontId="12" fillId="0" borderId="1" xfId="4" quotePrefix="1" applyNumberFormat="1" applyFont="1" applyBorder="1" applyAlignment="1">
      <alignment horizontal="left" vertical="center"/>
    </xf>
    <xf numFmtId="0" fontId="5" fillId="2" borderId="54" xfId="0" applyFont="1" applyFill="1" applyBorder="1" applyAlignment="1">
      <alignment horizontal="center" vertical="center"/>
    </xf>
    <xf numFmtId="0" fontId="0" fillId="0" borderId="49" xfId="0" applyBorder="1" applyAlignment="1"/>
    <xf numFmtId="0" fontId="0" fillId="0" borderId="50" xfId="0" applyBorder="1" applyAlignment="1"/>
    <xf numFmtId="41" fontId="11" fillId="3" borderId="28" xfId="2" applyFont="1" applyFill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41" fontId="23" fillId="16" borderId="262" xfId="2" quotePrefix="1" applyFont="1" applyFill="1" applyBorder="1" applyAlignment="1">
      <alignment horizontal="center" vertical="center" wrapText="1"/>
    </xf>
    <xf numFmtId="0" fontId="0" fillId="0" borderId="158" xfId="0" applyBorder="1" applyAlignment="1"/>
    <xf numFmtId="0" fontId="0" fillId="0" borderId="159" xfId="0" applyBorder="1" applyAlignment="1"/>
    <xf numFmtId="41" fontId="11" fillId="9" borderId="23" xfId="2" applyFont="1" applyFill="1" applyBorder="1" applyAlignment="1">
      <alignment horizontal="center" vertical="center"/>
    </xf>
    <xf numFmtId="0" fontId="0" fillId="0" borderId="23" xfId="0" applyBorder="1" applyAlignment="1"/>
    <xf numFmtId="177" fontId="6" fillId="10" borderId="36" xfId="0" applyNumberFormat="1" applyFont="1" applyFill="1" applyBorder="1" applyAlignment="1">
      <alignment horizontal="center" vertical="center" wrapText="1"/>
    </xf>
    <xf numFmtId="0" fontId="0" fillId="0" borderId="36" xfId="0" applyBorder="1" applyAlignment="1"/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77" fontId="6" fillId="10" borderId="18" xfId="0" applyNumberFormat="1" applyFont="1" applyFill="1" applyBorder="1" applyAlignment="1">
      <alignment horizontal="center" vertical="center" wrapText="1"/>
    </xf>
    <xf numFmtId="0" fontId="0" fillId="0" borderId="17" xfId="0" applyBorder="1" applyAlignment="1"/>
    <xf numFmtId="0" fontId="11" fillId="9" borderId="99" xfId="0" applyFont="1" applyFill="1" applyBorder="1" applyAlignment="1">
      <alignment horizontal="center" vertical="center" wrapText="1"/>
    </xf>
    <xf numFmtId="0" fontId="0" fillId="0" borderId="98" xfId="0" applyBorder="1" applyAlignment="1"/>
    <xf numFmtId="41" fontId="11" fillId="3" borderId="19" xfId="2" applyFont="1" applyFill="1" applyBorder="1" applyAlignment="1">
      <alignment horizontal="center" vertical="center"/>
    </xf>
    <xf numFmtId="177" fontId="8" fillId="10" borderId="262" xfId="0" applyNumberFormat="1" applyFont="1" applyFill="1" applyBorder="1" applyAlignment="1">
      <alignment horizontal="center" vertical="center"/>
    </xf>
    <xf numFmtId="0" fontId="0" fillId="0" borderId="6" xfId="0" applyBorder="1" applyAlignment="1"/>
    <xf numFmtId="0" fontId="0" fillId="0" borderId="13" xfId="0" applyBorder="1" applyAlignment="1"/>
    <xf numFmtId="0" fontId="0" fillId="0" borderId="14" xfId="0" applyBorder="1" applyAlignment="1"/>
    <xf numFmtId="41" fontId="11" fillId="9" borderId="266" xfId="2" applyFont="1" applyFill="1" applyBorder="1" applyAlignment="1">
      <alignment horizontal="center" vertical="center"/>
    </xf>
    <xf numFmtId="0" fontId="0" fillId="0" borderId="25" xfId="0" applyBorder="1" applyAlignment="1"/>
    <xf numFmtId="0" fontId="6" fillId="10" borderId="251" xfId="0" applyFont="1" applyFill="1" applyBorder="1" applyAlignment="1">
      <alignment horizontal="center" vertical="center" shrinkToFit="1"/>
    </xf>
    <xf numFmtId="0" fontId="0" fillId="0" borderId="9" xfId="0" applyBorder="1" applyAlignment="1"/>
    <xf numFmtId="0" fontId="0" fillId="0" borderId="34" xfId="0" applyBorder="1" applyAlignment="1"/>
    <xf numFmtId="41" fontId="12" fillId="3" borderId="270" xfId="2" applyFont="1" applyFill="1" applyBorder="1" applyAlignment="1">
      <alignment horizontal="center" vertical="center" wrapText="1"/>
    </xf>
    <xf numFmtId="0" fontId="0" fillId="0" borderId="237" xfId="0" applyBorder="1" applyAlignment="1"/>
    <xf numFmtId="177" fontId="6" fillId="10" borderId="20" xfId="0" applyNumberFormat="1" applyFont="1" applyFill="1" applyBorder="1" applyAlignment="1">
      <alignment horizontal="center" vertical="center"/>
    </xf>
    <xf numFmtId="0" fontId="0" fillId="0" borderId="20" xfId="0" applyBorder="1" applyAlignment="1"/>
    <xf numFmtId="41" fontId="12" fillId="9" borderId="246" xfId="2" applyFont="1" applyFill="1" applyBorder="1" applyAlignment="1">
      <alignment horizontal="center" vertical="center"/>
    </xf>
    <xf numFmtId="0" fontId="11" fillId="3" borderId="174" xfId="0" applyFont="1" applyFill="1" applyBorder="1" applyAlignment="1">
      <alignment horizontal="center" vertical="center" wrapText="1"/>
    </xf>
    <xf numFmtId="0" fontId="0" fillId="0" borderId="265" xfId="0" applyBorder="1" applyAlignment="1"/>
    <xf numFmtId="177" fontId="7" fillId="10" borderId="254" xfId="0" applyNumberFormat="1" applyFont="1" applyFill="1" applyBorder="1" applyAlignment="1">
      <alignment horizontal="center" vertical="center" wrapText="1"/>
    </xf>
    <xf numFmtId="0" fontId="0" fillId="0" borderId="38" xfId="0" applyBorder="1" applyAlignment="1"/>
    <xf numFmtId="177" fontId="6" fillId="10" borderId="269" xfId="0" applyNumberFormat="1" applyFont="1" applyFill="1" applyBorder="1" applyAlignment="1">
      <alignment horizontal="center" vertical="center" wrapText="1"/>
    </xf>
    <xf numFmtId="0" fontId="0" fillId="0" borderId="93" xfId="0" applyBorder="1" applyAlignment="1"/>
    <xf numFmtId="41" fontId="11" fillId="3" borderId="29" xfId="2" applyFont="1" applyFill="1" applyBorder="1" applyAlignment="1">
      <alignment horizontal="center" vertical="center"/>
    </xf>
    <xf numFmtId="41" fontId="11" fillId="3" borderId="32" xfId="2" applyFont="1" applyFill="1" applyBorder="1" applyAlignment="1">
      <alignment horizontal="center" vertical="center"/>
    </xf>
    <xf numFmtId="0" fontId="0" fillId="0" borderId="256" xfId="0" applyBorder="1" applyAlignment="1"/>
    <xf numFmtId="0" fontId="0" fillId="0" borderId="32" xfId="0" applyBorder="1" applyAlignment="1"/>
    <xf numFmtId="41" fontId="12" fillId="9" borderId="27" xfId="2" applyFont="1" applyFill="1" applyBorder="1" applyAlignment="1">
      <alignment horizontal="center" vertical="center" wrapText="1"/>
    </xf>
    <xf numFmtId="0" fontId="5" fillId="2" borderId="58" xfId="0" applyFont="1" applyFill="1" applyBorder="1" applyAlignment="1">
      <alignment horizontal="center" vertical="center"/>
    </xf>
    <xf numFmtId="0" fontId="0" fillId="0" borderId="60" xfId="0" applyBorder="1" applyAlignment="1"/>
    <xf numFmtId="0" fontId="0" fillId="0" borderId="61" xfId="0" applyBorder="1" applyAlignment="1"/>
    <xf numFmtId="41" fontId="11" fillId="9" borderId="28" xfId="2" applyFont="1" applyFill="1" applyBorder="1" applyAlignment="1">
      <alignment horizontal="center" vertical="center" wrapText="1"/>
    </xf>
    <xf numFmtId="177" fontId="7" fillId="10" borderId="260" xfId="0" applyNumberFormat="1" applyFont="1" applyFill="1" applyBorder="1" applyAlignment="1">
      <alignment horizontal="center" vertical="center" wrapText="1"/>
    </xf>
    <xf numFmtId="0" fontId="0" fillId="0" borderId="102" xfId="0" applyBorder="1" applyAlignment="1"/>
    <xf numFmtId="0" fontId="0" fillId="0" borderId="103" xfId="0" applyBorder="1" applyAlignment="1"/>
    <xf numFmtId="41" fontId="11" fillId="9" borderId="267" xfId="2" quotePrefix="1" applyFont="1" applyFill="1" applyBorder="1" applyAlignment="1">
      <alignment horizontal="center" vertical="center" wrapText="1"/>
    </xf>
    <xf numFmtId="0" fontId="0" fillId="0" borderId="170" xfId="0" applyBorder="1" applyAlignment="1"/>
    <xf numFmtId="0" fontId="0" fillId="0" borderId="171" xfId="0" applyBorder="1" applyAlignment="1"/>
    <xf numFmtId="0" fontId="11" fillId="3" borderId="173" xfId="0" applyFont="1" applyFill="1" applyBorder="1" applyAlignment="1">
      <alignment horizontal="center" vertical="center" wrapText="1"/>
    </xf>
    <xf numFmtId="0" fontId="6" fillId="10" borderId="79" xfId="0" applyFont="1" applyFill="1" applyBorder="1" applyAlignment="1">
      <alignment horizontal="center" vertical="center"/>
    </xf>
    <xf numFmtId="0" fontId="15" fillId="5" borderId="264" xfId="0" applyFont="1" applyFill="1" applyBorder="1" applyAlignment="1">
      <alignment horizontal="center" vertical="center"/>
    </xf>
    <xf numFmtId="0" fontId="0" fillId="0" borderId="114" xfId="0" applyBorder="1" applyAlignment="1"/>
    <xf numFmtId="0" fontId="11" fillId="9" borderId="31" xfId="0" applyFont="1" applyFill="1" applyBorder="1" applyAlignment="1">
      <alignment horizontal="center" vertical="center" wrapText="1"/>
    </xf>
    <xf numFmtId="0" fontId="0" fillId="0" borderId="21" xfId="0" applyBorder="1" applyAlignment="1"/>
    <xf numFmtId="177" fontId="8" fillId="10" borderId="79" xfId="0" applyNumberFormat="1" applyFont="1" applyFill="1" applyBorder="1" applyAlignment="1">
      <alignment horizontal="center" vertical="center"/>
    </xf>
    <xf numFmtId="41" fontId="11" fillId="3" borderId="262" xfId="2" applyFont="1" applyFill="1" applyBorder="1" applyAlignment="1">
      <alignment horizontal="center" vertical="center"/>
    </xf>
    <xf numFmtId="0" fontId="0" fillId="0" borderId="7" xfId="0" applyBorder="1" applyAlignment="1"/>
    <xf numFmtId="0" fontId="0" fillId="0" borderId="80" xfId="0" applyBorder="1" applyAlignment="1"/>
    <xf numFmtId="177" fontId="6" fillId="10" borderId="255" xfId="0" applyNumberFormat="1" applyFont="1" applyFill="1" applyBorder="1" applyAlignment="1">
      <alignment horizontal="center" vertical="center" wrapText="1"/>
    </xf>
    <xf numFmtId="0" fontId="0" fillId="0" borderId="37" xfId="0" applyBorder="1" applyAlignment="1"/>
    <xf numFmtId="41" fontId="11" fillId="3" borderId="30" xfId="2" applyFont="1" applyFill="1" applyBorder="1" applyAlignment="1">
      <alignment horizontal="center" vertical="center"/>
    </xf>
    <xf numFmtId="0" fontId="11" fillId="9" borderId="268" xfId="0" applyFont="1" applyFill="1" applyBorder="1" applyAlignment="1">
      <alignment horizontal="center" vertical="center" wrapText="1"/>
    </xf>
    <xf numFmtId="0" fontId="0" fillId="0" borderId="157" xfId="0" applyBorder="1" applyAlignment="1"/>
    <xf numFmtId="0" fontId="6" fillId="10" borderId="252" xfId="0" applyFont="1" applyFill="1" applyBorder="1" applyAlignment="1">
      <alignment horizontal="center" vertical="center"/>
    </xf>
    <xf numFmtId="0" fontId="0" fillId="0" borderId="10" xfId="0" applyBorder="1" applyAlignment="1"/>
    <xf numFmtId="0" fontId="0" fillId="0" borderId="35" xfId="0" applyBorder="1" applyAlignment="1"/>
    <xf numFmtId="0" fontId="4" fillId="0" borderId="1" xfId="0" applyFont="1" applyBorder="1" applyAlignment="1">
      <alignment horizontal="left" vertical="center"/>
    </xf>
    <xf numFmtId="176" fontId="11" fillId="3" borderId="27" xfId="0" applyNumberFormat="1" applyFont="1" applyFill="1" applyBorder="1" applyAlignment="1">
      <alignment horizontal="center" vertical="center" wrapText="1"/>
    </xf>
    <xf numFmtId="41" fontId="12" fillId="3" borderId="33" xfId="2" applyFont="1" applyFill="1" applyBorder="1" applyAlignment="1">
      <alignment horizontal="center" vertical="center" wrapText="1"/>
    </xf>
    <xf numFmtId="0" fontId="0" fillId="0" borderId="257" xfId="0" applyBorder="1" applyAlignment="1"/>
    <xf numFmtId="41" fontId="11" fillId="3" borderId="29" xfId="2" applyFont="1" applyFill="1" applyBorder="1" applyAlignment="1">
      <alignment horizontal="center" vertical="center" wrapText="1"/>
    </xf>
    <xf numFmtId="177" fontId="13" fillId="10" borderId="254" xfId="0" applyNumberFormat="1" applyFont="1" applyFill="1" applyBorder="1" applyAlignment="1">
      <alignment horizontal="center" vertical="center" wrapText="1"/>
    </xf>
    <xf numFmtId="41" fontId="11" fillId="9" borderId="26" xfId="2" applyFont="1" applyFill="1" applyBorder="1" applyAlignment="1">
      <alignment horizontal="center" vertical="center"/>
    </xf>
    <xf numFmtId="0" fontId="0" fillId="0" borderId="52" xfId="0" applyBorder="1" applyAlignment="1"/>
    <xf numFmtId="177" fontId="9" fillId="10" borderId="3" xfId="0" applyNumberFormat="1" applyFont="1" applyFill="1" applyBorder="1" applyAlignment="1">
      <alignment horizontal="center" vertical="center"/>
    </xf>
    <xf numFmtId="0" fontId="0" fillId="0" borderId="258" xfId="0" applyBorder="1" applyAlignment="1"/>
    <xf numFmtId="176" fontId="11" fillId="3" borderId="28" xfId="0" applyNumberFormat="1" applyFont="1" applyFill="1" applyBorder="1" applyAlignment="1">
      <alignment horizontal="center" vertical="center" wrapText="1"/>
    </xf>
    <xf numFmtId="41" fontId="11" fillId="9" borderId="28" xfId="2" applyFont="1" applyFill="1" applyBorder="1" applyAlignment="1">
      <alignment horizontal="center" vertical="center"/>
    </xf>
    <xf numFmtId="178" fontId="13" fillId="10" borderId="253" xfId="0" applyNumberFormat="1" applyFont="1" applyFill="1" applyBorder="1" applyAlignment="1">
      <alignment horizontal="center" vertical="center" wrapText="1"/>
    </xf>
    <xf numFmtId="41" fontId="23" fillId="9" borderId="80" xfId="2" quotePrefix="1" applyFont="1" applyFill="1" applyBorder="1" applyAlignment="1">
      <alignment horizontal="center" vertical="center" wrapText="1"/>
    </xf>
    <xf numFmtId="0" fontId="0" fillId="0" borderId="87" xfId="0" applyBorder="1" applyAlignment="1"/>
    <xf numFmtId="177" fontId="6" fillId="10" borderId="4" xfId="0" applyNumberFormat="1" applyFont="1" applyFill="1" applyBorder="1" applyAlignment="1">
      <alignment horizontal="center" vertical="center"/>
    </xf>
    <xf numFmtId="0" fontId="0" fillId="0" borderId="3" xfId="0" applyBorder="1" applyAlignment="1"/>
    <xf numFmtId="177" fontId="8" fillId="10" borderId="80" xfId="0" applyNumberFormat="1" applyFont="1" applyFill="1" applyBorder="1" applyAlignment="1">
      <alignment horizontal="center" vertical="center" wrapText="1"/>
    </xf>
    <xf numFmtId="41" fontId="11" fillId="9" borderId="271" xfId="2" applyFont="1" applyFill="1" applyBorder="1" applyAlignment="1">
      <alignment horizontal="center" vertical="center"/>
    </xf>
    <xf numFmtId="0" fontId="0" fillId="0" borderId="97" xfId="0" applyBorder="1" applyAlignment="1"/>
    <xf numFmtId="0" fontId="11" fillId="9" borderId="27" xfId="0" applyFont="1" applyFill="1" applyBorder="1" applyAlignment="1">
      <alignment horizontal="center" vertical="center" wrapText="1"/>
    </xf>
    <xf numFmtId="41" fontId="11" fillId="9" borderId="79" xfId="2" applyFont="1" applyFill="1" applyBorder="1" applyAlignment="1">
      <alignment horizontal="center" vertical="center"/>
    </xf>
    <xf numFmtId="177" fontId="6" fillId="10" borderId="38" xfId="0" applyNumberFormat="1" applyFont="1" applyFill="1" applyBorder="1" applyAlignment="1">
      <alignment horizontal="center" vertical="center" wrapText="1"/>
    </xf>
    <xf numFmtId="0" fontId="14" fillId="3" borderId="86" xfId="0" applyFont="1" applyFill="1" applyBorder="1" applyAlignment="1">
      <alignment horizontal="center" vertical="center" wrapText="1"/>
    </xf>
    <xf numFmtId="0" fontId="0" fillId="0" borderId="263" xfId="0" applyBorder="1" applyAlignment="1"/>
    <xf numFmtId="41" fontId="11" fillId="3" borderId="17" xfId="2" applyFont="1" applyFill="1" applyBorder="1" applyAlignment="1">
      <alignment horizontal="center" vertical="center"/>
    </xf>
    <xf numFmtId="41" fontId="11" fillId="3" borderId="182" xfId="2" applyFont="1" applyFill="1" applyBorder="1" applyAlignment="1">
      <alignment horizontal="center" vertical="center"/>
    </xf>
    <xf numFmtId="0" fontId="0" fillId="0" borderId="181" xfId="0" applyBorder="1" applyAlignment="1"/>
    <xf numFmtId="0" fontId="0" fillId="0" borderId="182" xfId="0" applyBorder="1" applyAlignment="1"/>
    <xf numFmtId="177" fontId="11" fillId="3" borderId="30" xfId="0" applyNumberFormat="1" applyFont="1" applyFill="1" applyBorder="1" applyAlignment="1">
      <alignment horizontal="center" vertical="center" wrapText="1"/>
    </xf>
    <xf numFmtId="177" fontId="24" fillId="0" borderId="5" xfId="0" applyNumberFormat="1" applyFont="1" applyBorder="1" applyAlignment="1">
      <alignment horizontal="center" vertical="center"/>
    </xf>
    <xf numFmtId="41" fontId="11" fillId="3" borderId="31" xfId="2" applyFont="1" applyFill="1" applyBorder="1" applyAlignment="1">
      <alignment horizontal="center" vertical="center" wrapText="1"/>
    </xf>
    <xf numFmtId="177" fontId="6" fillId="10" borderId="18" xfId="0" applyNumberFormat="1" applyFont="1" applyFill="1" applyBorder="1" applyAlignment="1">
      <alignment horizontal="center" vertical="center"/>
    </xf>
    <xf numFmtId="41" fontId="11" fillId="9" borderId="17" xfId="2" applyFont="1" applyFill="1" applyBorder="1" applyAlignment="1">
      <alignment horizontal="center" vertical="center"/>
    </xf>
    <xf numFmtId="177" fontId="6" fillId="10" borderId="90" xfId="0" applyNumberFormat="1" applyFont="1" applyFill="1" applyBorder="1" applyAlignment="1">
      <alignment horizontal="center" vertical="center"/>
    </xf>
    <xf numFmtId="177" fontId="8" fillId="10" borderId="88" xfId="0" applyNumberFormat="1" applyFont="1" applyFill="1" applyBorder="1" applyAlignment="1">
      <alignment horizontal="center" vertical="center"/>
    </xf>
    <xf numFmtId="0" fontId="0" fillId="0" borderId="261" xfId="0" applyBorder="1" applyAlignment="1"/>
    <xf numFmtId="41" fontId="12" fillId="3" borderId="90" xfId="2" applyFont="1" applyFill="1" applyBorder="1" applyAlignment="1">
      <alignment horizontal="center" vertical="center" wrapText="1"/>
    </xf>
    <xf numFmtId="177" fontId="6" fillId="10" borderId="17" xfId="0" applyNumberFormat="1" applyFont="1" applyFill="1" applyBorder="1" applyAlignment="1">
      <alignment horizontal="center" vertical="center"/>
    </xf>
    <xf numFmtId="177" fontId="9" fillId="10" borderId="262" xfId="0" applyNumberFormat="1" applyFont="1" applyFill="1" applyBorder="1" applyAlignment="1">
      <alignment horizontal="center" vertical="center"/>
    </xf>
    <xf numFmtId="0" fontId="6" fillId="10" borderId="259" xfId="0" applyFont="1" applyFill="1" applyBorder="1" applyAlignment="1">
      <alignment horizontal="center" vertical="center"/>
    </xf>
    <xf numFmtId="0" fontId="0" fillId="0" borderId="106" xfId="0" applyBorder="1" applyAlignment="1"/>
    <xf numFmtId="0" fontId="0" fillId="0" borderId="107" xfId="0" applyBorder="1" applyAlignment="1"/>
  </cellXfs>
  <cellStyles count="5">
    <cellStyle name="백분율 2" xfId="3"/>
    <cellStyle name="쉼표 [0]" xfId="1" builtinId="6"/>
    <cellStyle name="쉼표 [0] 2" xfId="2"/>
    <cellStyle name="표준" xfId="0" builtinId="0"/>
    <cellStyle name="표준 2" xfId="4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5"/>
  <sheetViews>
    <sheetView workbookViewId="0">
      <selection activeCell="P15" sqref="P15"/>
    </sheetView>
  </sheetViews>
  <sheetFormatPr defaultRowHeight="16.5" x14ac:dyDescent="0.3"/>
  <cols>
    <col min="1" max="1" width="13.25" style="101" bestFit="1" customWidth="1"/>
    <col min="2" max="2" width="13" style="101" bestFit="1" customWidth="1"/>
    <col min="3" max="3" width="5.375" style="101" bestFit="1" customWidth="1"/>
    <col min="4" max="4" width="8.75" style="101" bestFit="1" customWidth="1"/>
    <col min="5" max="5" width="7" style="101" bestFit="1" customWidth="1"/>
    <col min="6" max="6" width="5.375" style="101" bestFit="1" customWidth="1"/>
    <col min="7" max="7" width="4" style="101" bestFit="1" customWidth="1"/>
    <col min="8" max="8" width="7.5" style="101" customWidth="1"/>
    <col min="9" max="9" width="9.125" style="101" bestFit="1" customWidth="1"/>
    <col min="10" max="10" width="11.875" style="101" bestFit="1" customWidth="1"/>
    <col min="11" max="11" width="18.625" style="101" bestFit="1" customWidth="1"/>
    <col min="12" max="12" width="7" style="101" bestFit="1" customWidth="1"/>
    <col min="13" max="13" width="33.375" style="101" bestFit="1" customWidth="1"/>
  </cols>
  <sheetData>
    <row r="1" spans="1:17" ht="30" customHeight="1" x14ac:dyDescent="0.3">
      <c r="A1" s="655" t="s">
        <v>0</v>
      </c>
      <c r="B1" s="656"/>
      <c r="C1" s="656"/>
      <c r="D1" s="656"/>
      <c r="E1" s="656"/>
      <c r="F1" s="656"/>
      <c r="G1" s="656"/>
      <c r="H1" s="656"/>
      <c r="I1" s="656"/>
      <c r="J1" s="656"/>
      <c r="K1" s="656"/>
      <c r="L1" s="656"/>
      <c r="M1" s="656"/>
    </row>
    <row r="2" spans="1:17" ht="17.25" customHeight="1" thickBot="1" x14ac:dyDescent="0.35">
      <c r="A2" s="697"/>
      <c r="B2" s="694"/>
      <c r="C2" s="694"/>
      <c r="D2" s="694"/>
      <c r="E2" s="694"/>
      <c r="F2" s="694"/>
      <c r="G2" s="99"/>
      <c r="H2" s="99"/>
      <c r="I2" s="99"/>
      <c r="J2" s="693" t="s">
        <v>1</v>
      </c>
      <c r="K2" s="694"/>
      <c r="L2" s="694"/>
      <c r="M2" s="694"/>
      <c r="N2" s="71"/>
      <c r="O2" s="71"/>
      <c r="P2" s="71"/>
    </row>
    <row r="3" spans="1:17" ht="17.25" customHeight="1" x14ac:dyDescent="0.3">
      <c r="A3" s="666" t="s">
        <v>2</v>
      </c>
      <c r="B3" s="678" t="s">
        <v>3</v>
      </c>
      <c r="C3" s="684" t="s">
        <v>4</v>
      </c>
      <c r="D3" s="685"/>
      <c r="E3" s="687" t="s">
        <v>5</v>
      </c>
      <c r="F3" s="682"/>
      <c r="G3" s="682"/>
      <c r="H3" s="682"/>
      <c r="I3" s="688"/>
      <c r="J3" s="681" t="s">
        <v>6</v>
      </c>
      <c r="K3" s="682"/>
      <c r="L3" s="683"/>
      <c r="M3" s="690" t="s">
        <v>7</v>
      </c>
    </row>
    <row r="4" spans="1:17" ht="14.45" customHeight="1" thickBot="1" x14ac:dyDescent="0.35">
      <c r="A4" s="667"/>
      <c r="B4" s="679"/>
      <c r="C4" s="686"/>
      <c r="D4" s="656"/>
      <c r="E4" s="669" t="s">
        <v>8</v>
      </c>
      <c r="F4" s="670"/>
      <c r="G4" s="671"/>
      <c r="H4" s="665" t="s">
        <v>9</v>
      </c>
      <c r="I4" s="660" t="s">
        <v>10</v>
      </c>
      <c r="J4" s="672" t="s">
        <v>11</v>
      </c>
      <c r="K4" s="662" t="s">
        <v>12</v>
      </c>
      <c r="L4" s="676" t="s">
        <v>13</v>
      </c>
      <c r="M4" s="691"/>
    </row>
    <row r="5" spans="1:17" ht="40.700000000000003" customHeight="1" thickTop="1" x14ac:dyDescent="0.3">
      <c r="A5" s="668"/>
      <c r="B5" s="680"/>
      <c r="C5" s="102" t="s">
        <v>14</v>
      </c>
      <c r="D5" s="103" t="s">
        <v>15</v>
      </c>
      <c r="E5" s="104" t="s">
        <v>16</v>
      </c>
      <c r="F5" s="105" t="s">
        <v>17</v>
      </c>
      <c r="G5" s="105" t="s">
        <v>18</v>
      </c>
      <c r="H5" s="663"/>
      <c r="I5" s="661"/>
      <c r="J5" s="673"/>
      <c r="K5" s="663"/>
      <c r="L5" s="677"/>
      <c r="M5" s="692"/>
    </row>
    <row r="6" spans="1:17" ht="20.65" customHeight="1" thickBot="1" x14ac:dyDescent="0.35">
      <c r="A6" s="695" t="s">
        <v>19</v>
      </c>
      <c r="B6" s="696"/>
      <c r="C6" s="106">
        <f>C7+C12+C15+C19+C24+C29+C34+C38</f>
        <v>0</v>
      </c>
      <c r="D6" s="107" t="e">
        <f t="shared" ref="D6:D42" si="0">K6/C6</f>
        <v>#DIV/0!</v>
      </c>
      <c r="E6" s="108">
        <f>E7+E12+E15+E19+E24+E29+E34+E38</f>
        <v>0</v>
      </c>
      <c r="F6" s="108">
        <f>F7+F12+F15+F19+F24+F29+F34+F38</f>
        <v>0</v>
      </c>
      <c r="G6" s="109">
        <f>F6+E6</f>
        <v>0</v>
      </c>
      <c r="H6" s="110">
        <f>H7+H12+H15+H19+H24+H29+H34+H38</f>
        <v>0</v>
      </c>
      <c r="I6" s="111" t="e">
        <f t="shared" ref="I6:I42" si="1">H6/G6</f>
        <v>#DIV/0!</v>
      </c>
      <c r="J6" s="112"/>
      <c r="K6" s="113"/>
      <c r="L6" s="114"/>
      <c r="M6" s="115"/>
      <c r="Q6" s="73"/>
    </row>
    <row r="7" spans="1:17" s="71" customFormat="1" ht="17.25" customHeight="1" thickTop="1" x14ac:dyDescent="0.3">
      <c r="A7" s="664" t="s">
        <v>20</v>
      </c>
      <c r="B7" s="90" t="s">
        <v>21</v>
      </c>
      <c r="C7" s="116"/>
      <c r="D7" s="117" t="e">
        <f t="shared" si="0"/>
        <v>#DIV/0!</v>
      </c>
      <c r="E7" s="118">
        <f>SUM(E8:E11)</f>
        <v>0</v>
      </c>
      <c r="F7" s="119">
        <f>SUM(F8:F11)</f>
        <v>0</v>
      </c>
      <c r="G7" s="120">
        <f>F7+E7</f>
        <v>0</v>
      </c>
      <c r="H7" s="121">
        <f>SUM(H8:H11)</f>
        <v>0</v>
      </c>
      <c r="I7" s="122" t="e">
        <f t="shared" si="1"/>
        <v>#DIV/0!</v>
      </c>
      <c r="J7" s="123"/>
      <c r="K7" s="124"/>
      <c r="L7" s="125"/>
      <c r="M7" s="126"/>
    </row>
    <row r="8" spans="1:17" s="71" customFormat="1" ht="16.899999999999999" customHeight="1" x14ac:dyDescent="0.3">
      <c r="A8" s="658"/>
      <c r="B8" s="91" t="s">
        <v>22</v>
      </c>
      <c r="C8" s="127"/>
      <c r="D8" s="128" t="e">
        <f t="shared" si="0"/>
        <v>#DIV/0!</v>
      </c>
      <c r="E8" s="129"/>
      <c r="F8" s="130"/>
      <c r="G8" s="131"/>
      <c r="H8" s="132"/>
      <c r="I8" s="133" t="e">
        <f t="shared" si="1"/>
        <v>#DIV/0!</v>
      </c>
      <c r="J8" s="134"/>
      <c r="K8" s="135"/>
      <c r="L8" s="136"/>
      <c r="M8" s="137"/>
    </row>
    <row r="9" spans="1:17" s="71" customFormat="1" ht="16.899999999999999" customHeight="1" x14ac:dyDescent="0.3">
      <c r="A9" s="658"/>
      <c r="B9" s="92" t="s">
        <v>23</v>
      </c>
      <c r="C9" s="138"/>
      <c r="D9" s="128" t="e">
        <f t="shared" si="0"/>
        <v>#DIV/0!</v>
      </c>
      <c r="E9" s="139"/>
      <c r="F9" s="140"/>
      <c r="G9" s="131"/>
      <c r="H9" s="141"/>
      <c r="I9" s="142" t="e">
        <f t="shared" si="1"/>
        <v>#DIV/0!</v>
      </c>
      <c r="J9" s="134"/>
      <c r="K9" s="135"/>
      <c r="L9" s="136"/>
      <c r="M9" s="143"/>
    </row>
    <row r="10" spans="1:17" s="71" customFormat="1" ht="16.899999999999999" customHeight="1" x14ac:dyDescent="0.3">
      <c r="A10" s="658"/>
      <c r="B10" s="92" t="s">
        <v>24</v>
      </c>
      <c r="C10" s="138"/>
      <c r="D10" s="128" t="e">
        <f t="shared" si="0"/>
        <v>#DIV/0!</v>
      </c>
      <c r="E10" s="139"/>
      <c r="F10" s="140"/>
      <c r="G10" s="131"/>
      <c r="H10" s="141"/>
      <c r="I10" s="142" t="e">
        <f t="shared" si="1"/>
        <v>#DIV/0!</v>
      </c>
      <c r="J10" s="134"/>
      <c r="K10" s="144"/>
      <c r="L10" s="136"/>
      <c r="M10" s="143"/>
    </row>
    <row r="11" spans="1:17" s="71" customFormat="1" ht="16.899999999999999" customHeight="1" x14ac:dyDescent="0.3">
      <c r="A11" s="659"/>
      <c r="B11" s="93" t="s">
        <v>25</v>
      </c>
      <c r="C11" s="145"/>
      <c r="D11" s="146" t="e">
        <f t="shared" si="0"/>
        <v>#DIV/0!</v>
      </c>
      <c r="E11" s="147"/>
      <c r="F11" s="148"/>
      <c r="G11" s="149"/>
      <c r="H11" s="150"/>
      <c r="I11" s="151" t="e">
        <f t="shared" si="1"/>
        <v>#DIV/0!</v>
      </c>
      <c r="J11" s="152"/>
      <c r="K11" s="153"/>
      <c r="L11" s="154"/>
      <c r="M11" s="155"/>
    </row>
    <row r="12" spans="1:17" s="71" customFormat="1" ht="16.899999999999999" customHeight="1" x14ac:dyDescent="0.3">
      <c r="A12" s="689" t="s">
        <v>26</v>
      </c>
      <c r="B12" s="94" t="s">
        <v>21</v>
      </c>
      <c r="C12" s="156"/>
      <c r="D12" s="117" t="e">
        <f t="shared" si="0"/>
        <v>#DIV/0!</v>
      </c>
      <c r="E12" s="157"/>
      <c r="F12" s="158"/>
      <c r="G12" s="159"/>
      <c r="H12" s="160"/>
      <c r="I12" s="161" t="e">
        <f t="shared" si="1"/>
        <v>#DIV/0!</v>
      </c>
      <c r="J12" s="162"/>
      <c r="K12" s="158"/>
      <c r="L12" s="163"/>
      <c r="M12" s="164"/>
    </row>
    <row r="13" spans="1:17" s="71" customFormat="1" ht="16.899999999999999" customHeight="1" x14ac:dyDescent="0.3">
      <c r="A13" s="658"/>
      <c r="B13" s="92" t="s">
        <v>27</v>
      </c>
      <c r="C13" s="138"/>
      <c r="D13" s="128" t="e">
        <f t="shared" si="0"/>
        <v>#DIV/0!</v>
      </c>
      <c r="E13" s="139"/>
      <c r="F13" s="140"/>
      <c r="G13" s="165"/>
      <c r="H13" s="141"/>
      <c r="I13" s="166" t="e">
        <f t="shared" si="1"/>
        <v>#DIV/0!</v>
      </c>
      <c r="J13" s="134"/>
      <c r="K13" s="144"/>
      <c r="L13" s="167"/>
      <c r="M13" s="168"/>
    </row>
    <row r="14" spans="1:17" s="71" customFormat="1" ht="16.899999999999999" customHeight="1" x14ac:dyDescent="0.3">
      <c r="A14" s="659"/>
      <c r="B14" s="95" t="s">
        <v>28</v>
      </c>
      <c r="C14" s="169"/>
      <c r="D14" s="146" t="e">
        <f t="shared" si="0"/>
        <v>#DIV/0!</v>
      </c>
      <c r="E14" s="170"/>
      <c r="F14" s="171"/>
      <c r="G14" s="172"/>
      <c r="H14" s="173"/>
      <c r="I14" s="166" t="e">
        <f t="shared" si="1"/>
        <v>#DIV/0!</v>
      </c>
      <c r="J14" s="174"/>
      <c r="K14" s="175"/>
      <c r="L14" s="176"/>
      <c r="M14" s="177"/>
    </row>
    <row r="15" spans="1:17" s="71" customFormat="1" ht="17.850000000000001" customHeight="1" x14ac:dyDescent="0.3">
      <c r="A15" s="657" t="s">
        <v>29</v>
      </c>
      <c r="B15" s="96" t="s">
        <v>21</v>
      </c>
      <c r="C15" s="178"/>
      <c r="D15" s="117" t="e">
        <f t="shared" si="0"/>
        <v>#DIV/0!</v>
      </c>
      <c r="E15" s="179"/>
      <c r="F15" s="180"/>
      <c r="G15" s="181"/>
      <c r="H15" s="182"/>
      <c r="I15" s="183" t="e">
        <f t="shared" si="1"/>
        <v>#DIV/0!</v>
      </c>
      <c r="J15" s="184"/>
      <c r="K15" s="185"/>
      <c r="L15" s="186"/>
      <c r="M15" s="187"/>
    </row>
    <row r="16" spans="1:17" s="71" customFormat="1" ht="16.899999999999999" customHeight="1" x14ac:dyDescent="0.3">
      <c r="A16" s="658"/>
      <c r="B16" s="92" t="s">
        <v>30</v>
      </c>
      <c r="C16" s="138"/>
      <c r="D16" s="128" t="e">
        <f t="shared" si="0"/>
        <v>#DIV/0!</v>
      </c>
      <c r="E16" s="139"/>
      <c r="F16" s="140"/>
      <c r="G16" s="165"/>
      <c r="H16" s="141"/>
      <c r="I16" s="166" t="e">
        <f t="shared" si="1"/>
        <v>#DIV/0!</v>
      </c>
      <c r="J16" s="188"/>
      <c r="K16" s="144"/>
      <c r="L16" s="167"/>
      <c r="M16" s="168"/>
    </row>
    <row r="17" spans="1:13" s="71" customFormat="1" ht="16.899999999999999" customHeight="1" x14ac:dyDescent="0.3">
      <c r="A17" s="658"/>
      <c r="B17" s="92" t="s">
        <v>31</v>
      </c>
      <c r="C17" s="138"/>
      <c r="D17" s="128" t="e">
        <f t="shared" si="0"/>
        <v>#DIV/0!</v>
      </c>
      <c r="E17" s="139"/>
      <c r="F17" s="140"/>
      <c r="G17" s="165"/>
      <c r="H17" s="141"/>
      <c r="I17" s="166" t="e">
        <f t="shared" si="1"/>
        <v>#DIV/0!</v>
      </c>
      <c r="J17" s="188"/>
      <c r="K17" s="144"/>
      <c r="L17" s="167"/>
      <c r="M17" s="168"/>
    </row>
    <row r="18" spans="1:13" s="71" customFormat="1" ht="16.899999999999999" customHeight="1" x14ac:dyDescent="0.3">
      <c r="A18" s="659"/>
      <c r="B18" s="93" t="s">
        <v>32</v>
      </c>
      <c r="C18" s="145"/>
      <c r="D18" s="146" t="e">
        <f t="shared" si="0"/>
        <v>#DIV/0!</v>
      </c>
      <c r="E18" s="147"/>
      <c r="F18" s="148"/>
      <c r="G18" s="149"/>
      <c r="H18" s="150"/>
      <c r="I18" s="151" t="e">
        <f t="shared" si="1"/>
        <v>#DIV/0!</v>
      </c>
      <c r="J18" s="189"/>
      <c r="K18" s="175"/>
      <c r="L18" s="176"/>
      <c r="M18" s="177"/>
    </row>
    <row r="19" spans="1:13" s="71" customFormat="1" ht="17.25" customHeight="1" x14ac:dyDescent="0.3">
      <c r="A19" s="657" t="s">
        <v>33</v>
      </c>
      <c r="B19" s="96" t="s">
        <v>21</v>
      </c>
      <c r="C19" s="178"/>
      <c r="D19" s="117" t="e">
        <f t="shared" si="0"/>
        <v>#DIV/0!</v>
      </c>
      <c r="E19" s="157"/>
      <c r="F19" s="158"/>
      <c r="G19" s="159"/>
      <c r="H19" s="160"/>
      <c r="I19" s="161" t="e">
        <f t="shared" si="1"/>
        <v>#DIV/0!</v>
      </c>
      <c r="J19" s="162"/>
      <c r="K19" s="185"/>
      <c r="L19" s="186"/>
      <c r="M19" s="187"/>
    </row>
    <row r="20" spans="1:13" s="71" customFormat="1" ht="16.899999999999999" customHeight="1" x14ac:dyDescent="0.3">
      <c r="A20" s="658"/>
      <c r="B20" s="92" t="s">
        <v>34</v>
      </c>
      <c r="C20" s="190"/>
      <c r="D20" s="128" t="e">
        <f t="shared" si="0"/>
        <v>#DIV/0!</v>
      </c>
      <c r="E20" s="191"/>
      <c r="F20" s="192"/>
      <c r="G20" s="193"/>
      <c r="H20" s="194"/>
      <c r="I20" s="166" t="e">
        <f t="shared" si="1"/>
        <v>#DIV/0!</v>
      </c>
      <c r="J20" s="195"/>
      <c r="K20" s="144"/>
      <c r="L20" s="167"/>
      <c r="M20" s="168"/>
    </row>
    <row r="21" spans="1:13" s="71" customFormat="1" ht="16.899999999999999" customHeight="1" x14ac:dyDescent="0.3">
      <c r="A21" s="658"/>
      <c r="B21" s="92" t="s">
        <v>35</v>
      </c>
      <c r="C21" s="190"/>
      <c r="D21" s="128" t="e">
        <f t="shared" si="0"/>
        <v>#DIV/0!</v>
      </c>
      <c r="E21" s="191"/>
      <c r="F21" s="192"/>
      <c r="G21" s="193"/>
      <c r="H21" s="194"/>
      <c r="I21" s="166" t="e">
        <f t="shared" si="1"/>
        <v>#DIV/0!</v>
      </c>
      <c r="J21" s="195"/>
      <c r="K21" s="144"/>
      <c r="L21" s="167"/>
      <c r="M21" s="168"/>
    </row>
    <row r="22" spans="1:13" s="71" customFormat="1" ht="16.899999999999999" customHeight="1" x14ac:dyDescent="0.3">
      <c r="A22" s="658"/>
      <c r="B22" s="92" t="s">
        <v>36</v>
      </c>
      <c r="C22" s="190"/>
      <c r="D22" s="128" t="e">
        <f t="shared" si="0"/>
        <v>#DIV/0!</v>
      </c>
      <c r="E22" s="191"/>
      <c r="F22" s="192"/>
      <c r="G22" s="193"/>
      <c r="H22" s="194"/>
      <c r="I22" s="166" t="e">
        <f t="shared" si="1"/>
        <v>#DIV/0!</v>
      </c>
      <c r="J22" s="195"/>
      <c r="K22" s="144"/>
      <c r="L22" s="167"/>
      <c r="M22" s="168"/>
    </row>
    <row r="23" spans="1:13" s="71" customFormat="1" ht="16.899999999999999" customHeight="1" x14ac:dyDescent="0.3">
      <c r="A23" s="659"/>
      <c r="B23" s="93" t="s">
        <v>37</v>
      </c>
      <c r="C23" s="196"/>
      <c r="D23" s="146" t="e">
        <f t="shared" si="0"/>
        <v>#DIV/0!</v>
      </c>
      <c r="E23" s="197"/>
      <c r="F23" s="198"/>
      <c r="G23" s="193"/>
      <c r="H23" s="199"/>
      <c r="I23" s="166" t="e">
        <f t="shared" si="1"/>
        <v>#DIV/0!</v>
      </c>
      <c r="J23" s="200"/>
      <c r="K23" s="175"/>
      <c r="L23" s="176"/>
      <c r="M23" s="177"/>
    </row>
    <row r="24" spans="1:13" s="71" customFormat="1" ht="17.25" customHeight="1" x14ac:dyDescent="0.3">
      <c r="A24" s="657" t="s">
        <v>38</v>
      </c>
      <c r="B24" s="96" t="s">
        <v>21</v>
      </c>
      <c r="C24" s="178"/>
      <c r="D24" s="117" t="e">
        <f t="shared" si="0"/>
        <v>#DIV/0!</v>
      </c>
      <c r="E24" s="179"/>
      <c r="F24" s="180"/>
      <c r="G24" s="181"/>
      <c r="H24" s="182"/>
      <c r="I24" s="183" t="e">
        <f t="shared" si="1"/>
        <v>#DIV/0!</v>
      </c>
      <c r="J24" s="184"/>
      <c r="K24" s="185"/>
      <c r="L24" s="186"/>
      <c r="M24" s="187"/>
    </row>
    <row r="25" spans="1:13" s="71" customFormat="1" ht="16.899999999999999" customHeight="1" x14ac:dyDescent="0.3">
      <c r="A25" s="658"/>
      <c r="B25" s="92" t="s">
        <v>39</v>
      </c>
      <c r="C25" s="138"/>
      <c r="D25" s="128" t="e">
        <f t="shared" si="0"/>
        <v>#DIV/0!</v>
      </c>
      <c r="E25" s="139"/>
      <c r="F25" s="140"/>
      <c r="G25" s="165"/>
      <c r="H25" s="141"/>
      <c r="I25" s="166" t="e">
        <f t="shared" si="1"/>
        <v>#DIV/0!</v>
      </c>
      <c r="J25" s="188"/>
      <c r="K25" s="144"/>
      <c r="L25" s="167"/>
      <c r="M25" s="168"/>
    </row>
    <row r="26" spans="1:13" s="71" customFormat="1" ht="16.899999999999999" customHeight="1" x14ac:dyDescent="0.3">
      <c r="A26" s="658"/>
      <c r="B26" s="92" t="s">
        <v>40</v>
      </c>
      <c r="C26" s="138"/>
      <c r="D26" s="128" t="e">
        <f t="shared" si="0"/>
        <v>#DIV/0!</v>
      </c>
      <c r="E26" s="139"/>
      <c r="F26" s="140"/>
      <c r="G26" s="165"/>
      <c r="H26" s="141"/>
      <c r="I26" s="166" t="e">
        <f t="shared" si="1"/>
        <v>#DIV/0!</v>
      </c>
      <c r="J26" s="188"/>
      <c r="K26" s="144"/>
      <c r="L26" s="167"/>
      <c r="M26" s="168"/>
    </row>
    <row r="27" spans="1:13" s="71" customFormat="1" ht="16.899999999999999" customHeight="1" x14ac:dyDescent="0.3">
      <c r="A27" s="658"/>
      <c r="B27" s="92" t="s">
        <v>41</v>
      </c>
      <c r="C27" s="138"/>
      <c r="D27" s="128" t="e">
        <f t="shared" si="0"/>
        <v>#DIV/0!</v>
      </c>
      <c r="E27" s="139"/>
      <c r="F27" s="140"/>
      <c r="G27" s="165"/>
      <c r="H27" s="141"/>
      <c r="I27" s="166" t="e">
        <f t="shared" si="1"/>
        <v>#DIV/0!</v>
      </c>
      <c r="J27" s="188"/>
      <c r="K27" s="144"/>
      <c r="L27" s="167"/>
      <c r="M27" s="168"/>
    </row>
    <row r="28" spans="1:13" s="71" customFormat="1" ht="16.899999999999999" customHeight="1" x14ac:dyDescent="0.3">
      <c r="A28" s="659"/>
      <c r="B28" s="93" t="s">
        <v>42</v>
      </c>
      <c r="C28" s="145"/>
      <c r="D28" s="146" t="e">
        <f t="shared" si="0"/>
        <v>#DIV/0!</v>
      </c>
      <c r="E28" s="201"/>
      <c r="F28" s="202"/>
      <c r="G28" s="165"/>
      <c r="H28" s="203"/>
      <c r="I28" s="166" t="e">
        <f t="shared" si="1"/>
        <v>#DIV/0!</v>
      </c>
      <c r="J28" s="204"/>
      <c r="K28" s="175"/>
      <c r="L28" s="176"/>
      <c r="M28" s="177"/>
    </row>
    <row r="29" spans="1:13" s="71" customFormat="1" ht="16.899999999999999" customHeight="1" x14ac:dyDescent="0.3">
      <c r="A29" s="657" t="s">
        <v>43</v>
      </c>
      <c r="B29" s="96" t="s">
        <v>21</v>
      </c>
      <c r="C29" s="178"/>
      <c r="D29" s="117" t="e">
        <f t="shared" si="0"/>
        <v>#DIV/0!</v>
      </c>
      <c r="E29" s="179"/>
      <c r="F29" s="180"/>
      <c r="G29" s="181"/>
      <c r="H29" s="182"/>
      <c r="I29" s="183" t="e">
        <f t="shared" si="1"/>
        <v>#DIV/0!</v>
      </c>
      <c r="J29" s="184"/>
      <c r="K29" s="180"/>
      <c r="L29" s="186"/>
      <c r="M29" s="187"/>
    </row>
    <row r="30" spans="1:13" s="71" customFormat="1" ht="16.899999999999999" customHeight="1" x14ac:dyDescent="0.3">
      <c r="A30" s="658"/>
      <c r="B30" s="92" t="s">
        <v>44</v>
      </c>
      <c r="C30" s="138"/>
      <c r="D30" s="128" t="e">
        <f t="shared" si="0"/>
        <v>#DIV/0!</v>
      </c>
      <c r="E30" s="139"/>
      <c r="F30" s="140"/>
      <c r="G30" s="165"/>
      <c r="H30" s="205"/>
      <c r="I30" s="166" t="e">
        <f t="shared" si="1"/>
        <v>#DIV/0!</v>
      </c>
      <c r="J30" s="188"/>
      <c r="K30" s="175"/>
      <c r="L30" s="167"/>
      <c r="M30" s="168"/>
    </row>
    <row r="31" spans="1:13" s="71" customFormat="1" ht="16.899999999999999" customHeight="1" x14ac:dyDescent="0.3">
      <c r="A31" s="658"/>
      <c r="B31" s="92" t="s">
        <v>45</v>
      </c>
      <c r="C31" s="138"/>
      <c r="D31" s="128" t="e">
        <f t="shared" si="0"/>
        <v>#DIV/0!</v>
      </c>
      <c r="E31" s="139"/>
      <c r="F31" s="140"/>
      <c r="G31" s="165"/>
      <c r="H31" s="205"/>
      <c r="I31" s="166" t="e">
        <f t="shared" si="1"/>
        <v>#DIV/0!</v>
      </c>
      <c r="J31" s="188"/>
      <c r="K31" s="144"/>
      <c r="L31" s="167"/>
      <c r="M31" s="168"/>
    </row>
    <row r="32" spans="1:13" s="71" customFormat="1" ht="16.899999999999999" customHeight="1" x14ac:dyDescent="0.3">
      <c r="A32" s="658"/>
      <c r="B32" s="92" t="s">
        <v>46</v>
      </c>
      <c r="C32" s="138"/>
      <c r="D32" s="128" t="e">
        <f t="shared" si="0"/>
        <v>#DIV/0!</v>
      </c>
      <c r="E32" s="139"/>
      <c r="F32" s="140"/>
      <c r="G32" s="165"/>
      <c r="H32" s="205"/>
      <c r="I32" s="166" t="e">
        <f t="shared" si="1"/>
        <v>#DIV/0!</v>
      </c>
      <c r="J32" s="188"/>
      <c r="K32" s="144"/>
      <c r="L32" s="167"/>
      <c r="M32" s="168"/>
    </row>
    <row r="33" spans="1:13" s="71" customFormat="1" ht="16.899999999999999" customHeight="1" x14ac:dyDescent="0.3">
      <c r="A33" s="659"/>
      <c r="B33" s="95" t="s">
        <v>47</v>
      </c>
      <c r="C33" s="169"/>
      <c r="D33" s="146" t="e">
        <f t="shared" si="0"/>
        <v>#DIV/0!</v>
      </c>
      <c r="E33" s="170"/>
      <c r="F33" s="171"/>
      <c r="G33" s="165"/>
      <c r="H33" s="206"/>
      <c r="I33" s="166" t="e">
        <f t="shared" si="1"/>
        <v>#DIV/0!</v>
      </c>
      <c r="J33" s="204"/>
      <c r="K33" s="175"/>
      <c r="L33" s="176"/>
      <c r="M33" s="177"/>
    </row>
    <row r="34" spans="1:13" s="71" customFormat="1" ht="18.600000000000001" customHeight="1" x14ac:dyDescent="0.3">
      <c r="A34" s="657" t="s">
        <v>48</v>
      </c>
      <c r="B34" s="96" t="s">
        <v>21</v>
      </c>
      <c r="C34" s="178"/>
      <c r="D34" s="117" t="e">
        <f t="shared" si="0"/>
        <v>#DIV/0!</v>
      </c>
      <c r="E34" s="179"/>
      <c r="F34" s="180"/>
      <c r="G34" s="181"/>
      <c r="H34" s="207"/>
      <c r="I34" s="183" t="e">
        <f t="shared" si="1"/>
        <v>#DIV/0!</v>
      </c>
      <c r="J34" s="184"/>
      <c r="K34" s="185"/>
      <c r="L34" s="186"/>
      <c r="M34" s="187"/>
    </row>
    <row r="35" spans="1:13" s="71" customFormat="1" ht="16.899999999999999" customHeight="1" x14ac:dyDescent="0.3">
      <c r="A35" s="658"/>
      <c r="B35" s="92" t="s">
        <v>49</v>
      </c>
      <c r="C35" s="138"/>
      <c r="D35" s="128" t="e">
        <f t="shared" si="0"/>
        <v>#DIV/0!</v>
      </c>
      <c r="E35" s="139"/>
      <c r="F35" s="140"/>
      <c r="G35" s="165"/>
      <c r="H35" s="205"/>
      <c r="I35" s="166" t="e">
        <f t="shared" si="1"/>
        <v>#DIV/0!</v>
      </c>
      <c r="J35" s="188"/>
      <c r="K35" s="144"/>
      <c r="L35" s="167"/>
      <c r="M35" s="168"/>
    </row>
    <row r="36" spans="1:13" s="71" customFormat="1" ht="16.899999999999999" customHeight="1" x14ac:dyDescent="0.3">
      <c r="A36" s="658"/>
      <c r="B36" s="92" t="s">
        <v>50</v>
      </c>
      <c r="C36" s="138"/>
      <c r="D36" s="128" t="e">
        <f t="shared" si="0"/>
        <v>#DIV/0!</v>
      </c>
      <c r="E36" s="139"/>
      <c r="F36" s="140"/>
      <c r="G36" s="165"/>
      <c r="H36" s="205"/>
      <c r="I36" s="166" t="e">
        <f t="shared" si="1"/>
        <v>#DIV/0!</v>
      </c>
      <c r="J36" s="188"/>
      <c r="K36" s="144"/>
      <c r="L36" s="167"/>
      <c r="M36" s="168"/>
    </row>
    <row r="37" spans="1:13" s="71" customFormat="1" ht="16.899999999999999" customHeight="1" x14ac:dyDescent="0.3">
      <c r="A37" s="659"/>
      <c r="B37" s="93" t="s">
        <v>51</v>
      </c>
      <c r="C37" s="145"/>
      <c r="D37" s="146" t="e">
        <f t="shared" si="0"/>
        <v>#DIV/0!</v>
      </c>
      <c r="E37" s="147"/>
      <c r="F37" s="148"/>
      <c r="G37" s="149"/>
      <c r="H37" s="150"/>
      <c r="I37" s="151" t="e">
        <f t="shared" si="1"/>
        <v>#DIV/0!</v>
      </c>
      <c r="J37" s="189"/>
      <c r="K37" s="153"/>
      <c r="L37" s="208"/>
      <c r="M37" s="155"/>
    </row>
    <row r="38" spans="1:13" s="71" customFormat="1" ht="17.25" customHeight="1" x14ac:dyDescent="0.3">
      <c r="A38" s="674" t="s">
        <v>52</v>
      </c>
      <c r="B38" s="94" t="s">
        <v>21</v>
      </c>
      <c r="C38" s="156"/>
      <c r="D38" s="117" t="e">
        <f t="shared" si="0"/>
        <v>#DIV/0!</v>
      </c>
      <c r="E38" s="157"/>
      <c r="F38" s="158"/>
      <c r="G38" s="159"/>
      <c r="H38" s="160"/>
      <c r="I38" s="161" t="e">
        <f t="shared" si="1"/>
        <v>#DIV/0!</v>
      </c>
      <c r="J38" s="162"/>
      <c r="K38" s="209"/>
      <c r="L38" s="163"/>
      <c r="M38" s="164"/>
    </row>
    <row r="39" spans="1:13" s="71" customFormat="1" ht="16.899999999999999" customHeight="1" x14ac:dyDescent="0.3">
      <c r="A39" s="658"/>
      <c r="B39" s="92" t="s">
        <v>53</v>
      </c>
      <c r="C39" s="138"/>
      <c r="D39" s="128" t="e">
        <f t="shared" si="0"/>
        <v>#DIV/0!</v>
      </c>
      <c r="E39" s="139"/>
      <c r="F39" s="140"/>
      <c r="G39" s="165"/>
      <c r="H39" s="141"/>
      <c r="I39" s="166" t="e">
        <f t="shared" si="1"/>
        <v>#DIV/0!</v>
      </c>
      <c r="J39" s="188"/>
      <c r="K39" s="144"/>
      <c r="L39" s="167"/>
      <c r="M39" s="168"/>
    </row>
    <row r="40" spans="1:13" s="71" customFormat="1" ht="16.899999999999999" customHeight="1" x14ac:dyDescent="0.3">
      <c r="A40" s="658"/>
      <c r="B40" s="92" t="s">
        <v>54</v>
      </c>
      <c r="C40" s="138"/>
      <c r="D40" s="128" t="e">
        <f t="shared" si="0"/>
        <v>#DIV/0!</v>
      </c>
      <c r="E40" s="139"/>
      <c r="F40" s="140"/>
      <c r="G40" s="165"/>
      <c r="H40" s="141"/>
      <c r="I40" s="166" t="e">
        <f t="shared" si="1"/>
        <v>#DIV/0!</v>
      </c>
      <c r="J40" s="188"/>
      <c r="K40" s="144"/>
      <c r="L40" s="167"/>
      <c r="M40" s="168"/>
    </row>
    <row r="41" spans="1:13" s="71" customFormat="1" ht="16.899999999999999" customHeight="1" x14ac:dyDescent="0.3">
      <c r="A41" s="658"/>
      <c r="B41" s="97" t="s">
        <v>55</v>
      </c>
      <c r="C41" s="210"/>
      <c r="D41" s="128" t="e">
        <f t="shared" si="0"/>
        <v>#DIV/0!</v>
      </c>
      <c r="E41" s="201"/>
      <c r="F41" s="202"/>
      <c r="G41" s="165"/>
      <c r="H41" s="203"/>
      <c r="I41" s="166" t="e">
        <f t="shared" si="1"/>
        <v>#DIV/0!</v>
      </c>
      <c r="J41" s="188"/>
      <c r="K41" s="144"/>
      <c r="L41" s="167"/>
      <c r="M41" s="168"/>
    </row>
    <row r="42" spans="1:13" s="71" customFormat="1" ht="16.899999999999999" customHeight="1" thickBot="1" x14ac:dyDescent="0.35">
      <c r="A42" s="675"/>
      <c r="B42" s="98" t="s">
        <v>56</v>
      </c>
      <c r="C42" s="211"/>
      <c r="D42" s="212" t="e">
        <f t="shared" si="0"/>
        <v>#DIV/0!</v>
      </c>
      <c r="E42" s="213"/>
      <c r="F42" s="214"/>
      <c r="G42" s="215"/>
      <c r="H42" s="216"/>
      <c r="I42" s="217" t="e">
        <f t="shared" si="1"/>
        <v>#DIV/0!</v>
      </c>
      <c r="J42" s="218"/>
      <c r="K42" s="219"/>
      <c r="L42" s="220"/>
      <c r="M42" s="221"/>
    </row>
    <row r="43" spans="1:13" x14ac:dyDescent="0.3">
      <c r="A43" s="62"/>
      <c r="B43" s="63"/>
      <c r="C43" s="64"/>
      <c r="D43" s="64"/>
      <c r="E43" s="64"/>
      <c r="F43" s="64"/>
      <c r="G43" s="64"/>
      <c r="H43" s="64"/>
      <c r="I43" s="64"/>
      <c r="J43" s="64"/>
      <c r="M43" s="31"/>
    </row>
    <row r="44" spans="1:13" x14ac:dyDescent="0.3">
      <c r="A44" s="62"/>
      <c r="B44" s="63"/>
      <c r="C44" s="64"/>
      <c r="D44" s="64"/>
      <c r="E44" s="64"/>
      <c r="F44" s="64"/>
      <c r="G44" s="64"/>
      <c r="H44" s="64"/>
      <c r="I44" s="64"/>
      <c r="J44" s="64"/>
      <c r="M44" s="31"/>
    </row>
    <row r="45" spans="1:13" x14ac:dyDescent="0.3">
      <c r="A45" s="62"/>
      <c r="B45" s="63"/>
      <c r="C45" s="64"/>
      <c r="D45" s="64"/>
      <c r="E45" s="64"/>
      <c r="F45" s="64"/>
      <c r="G45" s="64"/>
      <c r="H45" s="64"/>
      <c r="I45" s="64"/>
      <c r="J45" s="64"/>
      <c r="M45" s="31"/>
    </row>
  </sheetData>
  <mergeCells count="24">
    <mergeCell ref="A29:A33"/>
    <mergeCell ref="J4:J5"/>
    <mergeCell ref="A38:A42"/>
    <mergeCell ref="L4:L5"/>
    <mergeCell ref="A19:A23"/>
    <mergeCell ref="B3:B5"/>
    <mergeCell ref="J3:L3"/>
    <mergeCell ref="C3:D4"/>
    <mergeCell ref="A34:A37"/>
    <mergeCell ref="E3:I3"/>
    <mergeCell ref="A12:A14"/>
    <mergeCell ref="A6:B6"/>
    <mergeCell ref="A1:M1"/>
    <mergeCell ref="A24:A28"/>
    <mergeCell ref="I4:I5"/>
    <mergeCell ref="K4:K5"/>
    <mergeCell ref="A7:A11"/>
    <mergeCell ref="H4:H5"/>
    <mergeCell ref="A3:A5"/>
    <mergeCell ref="E4:G4"/>
    <mergeCell ref="A15:A18"/>
    <mergeCell ref="M3:M5"/>
    <mergeCell ref="J2:M2"/>
    <mergeCell ref="A2:F2"/>
  </mergeCells>
  <phoneticPr fontId="2" type="noConversion"/>
  <pageMargins left="7.874015748031496E-2" right="7.874015748031496E-2" top="0.23622047244094491" bottom="0.23622047244094491" header="0.31496062992125978" footer="0.11811023622047249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212"/>
  <sheetViews>
    <sheetView tabSelected="1" zoomScale="90" zoomScaleNormal="90" workbookViewId="0">
      <selection activeCell="AP11" sqref="AP11"/>
    </sheetView>
  </sheetViews>
  <sheetFormatPr defaultRowHeight="16.5" x14ac:dyDescent="0.3"/>
  <cols>
    <col min="4" max="4" width="19.75" style="101" customWidth="1"/>
    <col min="5" max="6" width="7.75" style="101" customWidth="1"/>
    <col min="7" max="7" width="9.125" style="101" hidden="1" customWidth="1"/>
    <col min="8" max="11" width="7.75" style="101" hidden="1" customWidth="1"/>
    <col min="12" max="16" width="9.125" style="101" hidden="1" customWidth="1"/>
    <col min="17" max="18" width="9.25" style="101" hidden="1" customWidth="1"/>
    <col min="19" max="21" width="9.125" style="101" hidden="1" customWidth="1"/>
    <col min="22" max="22" width="11.875" style="101" hidden="1" customWidth="1"/>
    <col min="23" max="34" width="9.125" style="101" hidden="1" customWidth="1"/>
    <col min="35" max="37" width="8.375" style="101" customWidth="1"/>
    <col min="38" max="38" width="7.375" style="101" customWidth="1"/>
    <col min="39" max="41" width="8.375" style="101" customWidth="1"/>
    <col min="42" max="42" width="8.125" style="101" customWidth="1"/>
    <col min="43" max="43" width="7.5" style="101" customWidth="1"/>
    <col min="44" max="44" width="9.125" style="101" customWidth="1"/>
    <col min="45" max="45" width="9.25" style="101" hidden="1" customWidth="1"/>
    <col min="46" max="46" width="9.125" style="101" customWidth="1"/>
    <col min="47" max="47" width="9.5" style="101" customWidth="1"/>
    <col min="48" max="48" width="8" style="101" customWidth="1"/>
    <col min="49" max="50" width="9.125" style="101" customWidth="1"/>
    <col min="51" max="51" width="9.125" style="101" hidden="1" customWidth="1"/>
    <col min="52" max="55" width="7.875" style="101" customWidth="1"/>
    <col min="56" max="60" width="8.25" style="101" customWidth="1"/>
    <col min="61" max="64" width="9.125" style="101" customWidth="1"/>
    <col min="65" max="65" width="8.25" style="101" customWidth="1"/>
    <col min="66" max="66" width="8.125" style="101" customWidth="1"/>
    <col min="67" max="67" width="8.75" style="101" customWidth="1"/>
    <col min="68" max="68" width="8.25" style="101" customWidth="1"/>
    <col min="69" max="69" width="6.75" style="101" customWidth="1"/>
    <col min="70" max="70" width="9" style="101" customWidth="1"/>
    <col min="71" max="74" width="9.125" style="101" hidden="1" customWidth="1"/>
    <col min="75" max="75" width="9.625" style="101" hidden="1" customWidth="1"/>
  </cols>
  <sheetData>
    <row r="1" spans="1:76" ht="25.5" customHeight="1" x14ac:dyDescent="0.3">
      <c r="A1" s="710" t="s">
        <v>57</v>
      </c>
      <c r="B1" s="711"/>
      <c r="C1" s="711"/>
      <c r="D1" s="656"/>
      <c r="E1" s="656"/>
      <c r="F1" s="656"/>
      <c r="G1" s="656"/>
      <c r="H1" s="656"/>
      <c r="I1" s="656"/>
      <c r="J1" s="656"/>
      <c r="K1" s="656"/>
      <c r="L1" s="656"/>
      <c r="M1" s="656"/>
      <c r="N1" s="656"/>
      <c r="O1" s="656"/>
      <c r="P1" s="656"/>
      <c r="Q1" s="656"/>
      <c r="R1" s="656"/>
      <c r="S1" s="656"/>
      <c r="T1" s="656"/>
      <c r="U1" s="656"/>
      <c r="V1" s="656"/>
      <c r="W1" s="656"/>
      <c r="X1" s="656"/>
      <c r="Y1" s="656"/>
      <c r="Z1" s="656"/>
      <c r="AA1" s="656"/>
      <c r="AB1" s="656"/>
      <c r="AC1" s="656"/>
      <c r="AD1" s="656"/>
      <c r="AE1" s="656"/>
      <c r="AF1" s="656"/>
      <c r="AG1" s="656"/>
      <c r="AH1" s="656"/>
      <c r="AI1" s="656"/>
      <c r="AJ1" s="656"/>
      <c r="AK1" s="656"/>
      <c r="AL1" s="656"/>
      <c r="AM1" s="656"/>
      <c r="AN1" s="656"/>
      <c r="AO1" s="656"/>
      <c r="AP1" s="656"/>
      <c r="AQ1" s="656"/>
      <c r="AR1" s="656"/>
      <c r="AS1" s="656"/>
      <c r="AT1" s="656"/>
      <c r="AU1" s="656"/>
      <c r="AV1" s="656"/>
      <c r="AW1" s="656"/>
      <c r="AX1" s="656"/>
      <c r="AY1" s="656"/>
      <c r="AZ1" s="656"/>
      <c r="BA1" s="656"/>
      <c r="BB1" s="656"/>
      <c r="BC1" s="656"/>
      <c r="BD1" s="656"/>
      <c r="BE1" s="656"/>
      <c r="BF1" s="656"/>
      <c r="BG1" s="656"/>
      <c r="BH1" s="656"/>
      <c r="BI1" s="656"/>
      <c r="BJ1" s="656"/>
      <c r="BK1" s="656"/>
      <c r="BL1" s="656"/>
      <c r="BM1" s="656"/>
      <c r="BN1" s="656"/>
      <c r="BO1" s="656"/>
      <c r="BP1" s="656"/>
      <c r="BS1" s="222"/>
      <c r="BT1" s="222"/>
      <c r="BU1" s="222"/>
      <c r="BV1" s="222"/>
      <c r="BW1" s="223"/>
    </row>
    <row r="2" spans="1:76" ht="17.25" customHeight="1" thickBot="1" x14ac:dyDescent="0.35">
      <c r="A2" s="770" t="s">
        <v>58</v>
      </c>
      <c r="B2" s="694"/>
      <c r="C2" s="694"/>
      <c r="D2" s="694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224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56"/>
      <c r="AK2" s="56"/>
      <c r="AL2" s="56"/>
      <c r="AM2" s="55"/>
      <c r="AN2" s="56"/>
      <c r="AO2" s="56"/>
      <c r="AP2" s="56"/>
      <c r="AQ2" s="56"/>
      <c r="AR2" s="56"/>
      <c r="AS2" s="693"/>
      <c r="AT2" s="694"/>
      <c r="AU2" s="694"/>
      <c r="AV2" s="694"/>
      <c r="AW2" s="694"/>
      <c r="AX2" s="694"/>
      <c r="AY2" s="694"/>
      <c r="AZ2" s="702"/>
      <c r="BA2" s="656"/>
      <c r="BO2" s="693" t="s">
        <v>1</v>
      </c>
      <c r="BP2" s="694"/>
      <c r="BQ2" s="694"/>
      <c r="BR2" s="694"/>
      <c r="BS2" s="225"/>
      <c r="BT2" s="225"/>
      <c r="BU2" s="702"/>
      <c r="BV2" s="656"/>
      <c r="BW2" s="656"/>
    </row>
    <row r="3" spans="1:76" ht="17.45" customHeight="1" thickBot="1" x14ac:dyDescent="0.35">
      <c r="A3" s="753" t="s">
        <v>2</v>
      </c>
      <c r="B3" s="723" t="s">
        <v>3</v>
      </c>
      <c r="C3" s="723" t="s">
        <v>59</v>
      </c>
      <c r="D3" s="723" t="s">
        <v>60</v>
      </c>
      <c r="E3" s="767" t="s">
        <v>61</v>
      </c>
      <c r="F3" s="810" t="s">
        <v>62</v>
      </c>
      <c r="G3" s="746" t="s">
        <v>63</v>
      </c>
      <c r="H3" s="805" t="s">
        <v>64</v>
      </c>
      <c r="I3" s="685"/>
      <c r="J3" s="685"/>
      <c r="K3" s="779"/>
      <c r="L3" s="778" t="s">
        <v>65</v>
      </c>
      <c r="M3" s="685"/>
      <c r="N3" s="685"/>
      <c r="O3" s="685"/>
      <c r="P3" s="779"/>
      <c r="Q3" s="809" t="s">
        <v>66</v>
      </c>
      <c r="R3" s="685"/>
      <c r="S3" s="685"/>
      <c r="T3" s="685"/>
      <c r="U3" s="685"/>
      <c r="V3" s="718"/>
      <c r="W3" s="787" t="s">
        <v>67</v>
      </c>
      <c r="X3" s="718"/>
      <c r="Y3" s="717" t="s">
        <v>68</v>
      </c>
      <c r="Z3" s="685"/>
      <c r="AA3" s="685"/>
      <c r="AB3" s="685"/>
      <c r="AC3" s="718"/>
      <c r="AD3" s="758" t="s">
        <v>69</v>
      </c>
      <c r="AE3" s="685"/>
      <c r="AF3" s="685"/>
      <c r="AG3" s="685"/>
      <c r="AH3" s="685"/>
      <c r="AI3" s="788" t="s">
        <v>70</v>
      </c>
      <c r="AJ3" s="760"/>
      <c r="AK3" s="760"/>
      <c r="AL3" s="760"/>
      <c r="AM3" s="760"/>
      <c r="AN3" s="760"/>
      <c r="AO3" s="760"/>
      <c r="AP3" s="760"/>
      <c r="AQ3" s="760"/>
      <c r="AR3" s="789"/>
      <c r="AS3" s="783" t="s">
        <v>71</v>
      </c>
      <c r="AT3" s="791" t="s">
        <v>72</v>
      </c>
      <c r="AU3" s="760"/>
      <c r="AV3" s="760"/>
      <c r="AW3" s="760"/>
      <c r="AX3" s="760"/>
      <c r="AY3" s="703" t="s">
        <v>73</v>
      </c>
      <c r="AZ3" s="759" t="s">
        <v>5</v>
      </c>
      <c r="BA3" s="760"/>
      <c r="BB3" s="760"/>
      <c r="BC3" s="760"/>
      <c r="BD3" s="760"/>
      <c r="BE3" s="760"/>
      <c r="BF3" s="760"/>
      <c r="BG3" s="760"/>
      <c r="BH3" s="760"/>
      <c r="BI3" s="760"/>
      <c r="BJ3" s="760"/>
      <c r="BK3" s="760"/>
      <c r="BL3" s="760"/>
      <c r="BM3" s="760"/>
      <c r="BN3" s="760"/>
      <c r="BO3" s="760"/>
      <c r="BP3" s="760"/>
      <c r="BQ3" s="760"/>
      <c r="BR3" s="760"/>
      <c r="BS3" s="760"/>
      <c r="BT3" s="760"/>
      <c r="BU3" s="760"/>
      <c r="BV3" s="760"/>
      <c r="BW3" s="761"/>
    </row>
    <row r="4" spans="1:76" ht="33.75" customHeight="1" thickBot="1" x14ac:dyDescent="0.35">
      <c r="A4" s="686"/>
      <c r="B4" s="724"/>
      <c r="C4" s="724"/>
      <c r="D4" s="724"/>
      <c r="E4" s="768"/>
      <c r="F4" s="811"/>
      <c r="G4" s="747"/>
      <c r="H4" s="806"/>
      <c r="I4" s="707"/>
      <c r="J4" s="707"/>
      <c r="K4" s="713"/>
      <c r="L4" s="707"/>
      <c r="M4" s="707"/>
      <c r="N4" s="707"/>
      <c r="O4" s="707"/>
      <c r="P4" s="713"/>
      <c r="Q4" s="719"/>
      <c r="R4" s="694"/>
      <c r="S4" s="694"/>
      <c r="T4" s="694"/>
      <c r="U4" s="694"/>
      <c r="V4" s="720"/>
      <c r="W4" s="694"/>
      <c r="X4" s="720"/>
      <c r="Y4" s="719"/>
      <c r="Z4" s="694"/>
      <c r="AA4" s="694"/>
      <c r="AB4" s="694"/>
      <c r="AC4" s="720"/>
      <c r="AD4" s="719"/>
      <c r="AE4" s="694"/>
      <c r="AF4" s="694"/>
      <c r="AG4" s="694"/>
      <c r="AH4" s="694"/>
      <c r="AI4" s="730" t="s">
        <v>74</v>
      </c>
      <c r="AJ4" s="682"/>
      <c r="AK4" s="682"/>
      <c r="AL4" s="688"/>
      <c r="AM4" s="803" t="s">
        <v>75</v>
      </c>
      <c r="AN4" s="707"/>
      <c r="AO4" s="707"/>
      <c r="AP4" s="707"/>
      <c r="AQ4" s="707"/>
      <c r="AR4" s="713"/>
      <c r="AS4" s="784"/>
      <c r="AT4" s="765" t="s">
        <v>76</v>
      </c>
      <c r="AU4" s="706" t="s">
        <v>77</v>
      </c>
      <c r="AV4" s="707"/>
      <c r="AW4" s="707"/>
      <c r="AX4" s="749" t="s">
        <v>78</v>
      </c>
      <c r="AY4" s="704"/>
      <c r="AZ4" s="716" t="s">
        <v>79</v>
      </c>
      <c r="BA4" s="707"/>
      <c r="BB4" s="707"/>
      <c r="BC4" s="713"/>
      <c r="BD4" s="716" t="s">
        <v>80</v>
      </c>
      <c r="BE4" s="707"/>
      <c r="BF4" s="707"/>
      <c r="BG4" s="707"/>
      <c r="BH4" s="713"/>
      <c r="BI4" s="807" t="s">
        <v>81</v>
      </c>
      <c r="BJ4" s="707"/>
      <c r="BK4" s="707"/>
      <c r="BL4" s="713"/>
      <c r="BM4" s="796" t="s">
        <v>75</v>
      </c>
      <c r="BN4" s="797"/>
      <c r="BO4" s="797"/>
      <c r="BP4" s="797"/>
      <c r="BQ4" s="797"/>
      <c r="BR4" s="798"/>
      <c r="BS4" s="795" t="s">
        <v>82</v>
      </c>
      <c r="BT4" s="707"/>
      <c r="BU4" s="707"/>
      <c r="BV4" s="707"/>
      <c r="BW4" s="713"/>
    </row>
    <row r="5" spans="1:76" ht="16.7" customHeight="1" thickBot="1" x14ac:dyDescent="0.35">
      <c r="A5" s="686"/>
      <c r="B5" s="724"/>
      <c r="C5" s="724"/>
      <c r="D5" s="724"/>
      <c r="E5" s="768"/>
      <c r="F5" s="811"/>
      <c r="G5" s="747"/>
      <c r="H5" s="804" t="s">
        <v>83</v>
      </c>
      <c r="I5" s="707"/>
      <c r="J5" s="713"/>
      <c r="K5" s="728" t="s">
        <v>84</v>
      </c>
      <c r="L5" s="808" t="s">
        <v>85</v>
      </c>
      <c r="M5" s="785" t="s">
        <v>83</v>
      </c>
      <c r="N5" s="682"/>
      <c r="O5" s="786"/>
      <c r="P5" s="728" t="s">
        <v>84</v>
      </c>
      <c r="Q5" s="708" t="s">
        <v>86</v>
      </c>
      <c r="R5" s="802" t="s">
        <v>83</v>
      </c>
      <c r="S5" s="707"/>
      <c r="T5" s="713"/>
      <c r="U5" s="762" t="s">
        <v>87</v>
      </c>
      <c r="V5" s="733" t="s">
        <v>10</v>
      </c>
      <c r="W5" s="782" t="s">
        <v>88</v>
      </c>
      <c r="X5" s="775" t="s">
        <v>89</v>
      </c>
      <c r="Y5" s="708" t="s">
        <v>86</v>
      </c>
      <c r="Z5" s="802" t="s">
        <v>83</v>
      </c>
      <c r="AA5" s="707"/>
      <c r="AB5" s="713"/>
      <c r="AC5" s="792" t="s">
        <v>87</v>
      </c>
      <c r="AD5" s="708" t="s">
        <v>86</v>
      </c>
      <c r="AE5" s="712" t="s">
        <v>83</v>
      </c>
      <c r="AF5" s="707"/>
      <c r="AG5" s="713"/>
      <c r="AH5" s="735" t="s">
        <v>87</v>
      </c>
      <c r="AI5" s="721" t="s">
        <v>83</v>
      </c>
      <c r="AJ5" s="670"/>
      <c r="AK5" s="722"/>
      <c r="AL5" s="776" t="s">
        <v>84</v>
      </c>
      <c r="AM5" s="741" t="s">
        <v>90</v>
      </c>
      <c r="AN5" s="781" t="s">
        <v>83</v>
      </c>
      <c r="AO5" s="670"/>
      <c r="AP5" s="671"/>
      <c r="AQ5" s="745" t="s">
        <v>91</v>
      </c>
      <c r="AR5" s="714" t="s">
        <v>10</v>
      </c>
      <c r="AS5" s="784"/>
      <c r="AT5" s="667"/>
      <c r="AU5" s="790" t="s">
        <v>83</v>
      </c>
      <c r="AV5" s="671"/>
      <c r="AW5" s="756" t="s">
        <v>84</v>
      </c>
      <c r="AX5" s="750"/>
      <c r="AY5" s="704"/>
      <c r="AZ5" s="737" t="s">
        <v>83</v>
      </c>
      <c r="BA5" s="670"/>
      <c r="BB5" s="671"/>
      <c r="BC5" s="764" t="s">
        <v>84</v>
      </c>
      <c r="BD5" s="774" t="s">
        <v>85</v>
      </c>
      <c r="BE5" s="701" t="s">
        <v>83</v>
      </c>
      <c r="BF5" s="670"/>
      <c r="BG5" s="671"/>
      <c r="BH5" s="801" t="s">
        <v>84</v>
      </c>
      <c r="BI5" s="752" t="s">
        <v>83</v>
      </c>
      <c r="BJ5" s="670"/>
      <c r="BK5" s="671"/>
      <c r="BL5" s="731" t="s">
        <v>84</v>
      </c>
      <c r="BM5" s="726" t="s">
        <v>92</v>
      </c>
      <c r="BN5" s="738" t="s">
        <v>83</v>
      </c>
      <c r="BO5" s="739"/>
      <c r="BP5" s="740"/>
      <c r="BQ5" s="772" t="s">
        <v>93</v>
      </c>
      <c r="BR5" s="793" t="s">
        <v>10</v>
      </c>
      <c r="BS5" s="771" t="s">
        <v>85</v>
      </c>
      <c r="BT5" s="780" t="s">
        <v>83</v>
      </c>
      <c r="BU5" s="671"/>
      <c r="BV5" s="780" t="s">
        <v>84</v>
      </c>
      <c r="BW5" s="799" t="s">
        <v>94</v>
      </c>
    </row>
    <row r="6" spans="1:76" ht="17.25" customHeight="1" thickBot="1" x14ac:dyDescent="0.35">
      <c r="A6" s="719"/>
      <c r="B6" s="725"/>
      <c r="C6" s="725"/>
      <c r="D6" s="725"/>
      <c r="E6" s="769"/>
      <c r="F6" s="812"/>
      <c r="G6" s="748"/>
      <c r="H6" s="226" t="s">
        <v>21</v>
      </c>
      <c r="I6" s="227" t="s">
        <v>95</v>
      </c>
      <c r="J6" s="227" t="s">
        <v>96</v>
      </c>
      <c r="K6" s="729"/>
      <c r="L6" s="713"/>
      <c r="M6" s="228" t="s">
        <v>21</v>
      </c>
      <c r="N6" s="227" t="s">
        <v>95</v>
      </c>
      <c r="O6" s="227" t="s">
        <v>96</v>
      </c>
      <c r="P6" s="729"/>
      <c r="Q6" s="709"/>
      <c r="R6" s="227" t="s">
        <v>97</v>
      </c>
      <c r="S6" s="227" t="s">
        <v>95</v>
      </c>
      <c r="T6" s="227" t="s">
        <v>96</v>
      </c>
      <c r="U6" s="763"/>
      <c r="V6" s="734"/>
      <c r="W6" s="709"/>
      <c r="X6" s="734"/>
      <c r="Y6" s="709"/>
      <c r="Z6" s="227" t="s">
        <v>97</v>
      </c>
      <c r="AA6" s="227" t="s">
        <v>95</v>
      </c>
      <c r="AB6" s="227" t="s">
        <v>96</v>
      </c>
      <c r="AC6" s="734"/>
      <c r="AD6" s="709"/>
      <c r="AE6" s="229" t="s">
        <v>97</v>
      </c>
      <c r="AF6" s="229" t="s">
        <v>95</v>
      </c>
      <c r="AG6" s="230" t="s">
        <v>96</v>
      </c>
      <c r="AH6" s="736"/>
      <c r="AI6" s="82" t="s">
        <v>21</v>
      </c>
      <c r="AJ6" s="231" t="s">
        <v>95</v>
      </c>
      <c r="AK6" s="232" t="s">
        <v>96</v>
      </c>
      <c r="AL6" s="777"/>
      <c r="AM6" s="713"/>
      <c r="AN6" s="233" t="s">
        <v>98</v>
      </c>
      <c r="AO6" s="233" t="s">
        <v>95</v>
      </c>
      <c r="AP6" s="233" t="s">
        <v>96</v>
      </c>
      <c r="AQ6" s="663"/>
      <c r="AR6" s="715"/>
      <c r="AS6" s="720"/>
      <c r="AT6" s="766"/>
      <c r="AU6" s="83" t="s">
        <v>95</v>
      </c>
      <c r="AV6" s="84" t="s">
        <v>96</v>
      </c>
      <c r="AW6" s="757"/>
      <c r="AX6" s="751"/>
      <c r="AY6" s="705"/>
      <c r="AZ6" s="234" t="s">
        <v>21</v>
      </c>
      <c r="BA6" s="235" t="s">
        <v>95</v>
      </c>
      <c r="BB6" s="235" t="s">
        <v>96</v>
      </c>
      <c r="BC6" s="729"/>
      <c r="BD6" s="673"/>
      <c r="BE6" s="236" t="s">
        <v>21</v>
      </c>
      <c r="BF6" s="237" t="s">
        <v>95</v>
      </c>
      <c r="BG6" s="238" t="s">
        <v>96</v>
      </c>
      <c r="BH6" s="757"/>
      <c r="BI6" s="89" t="s">
        <v>21</v>
      </c>
      <c r="BJ6" s="2" t="s">
        <v>95</v>
      </c>
      <c r="BK6" s="3" t="s">
        <v>96</v>
      </c>
      <c r="BL6" s="732"/>
      <c r="BM6" s="727"/>
      <c r="BN6" s="239" t="s">
        <v>97</v>
      </c>
      <c r="BO6" s="239" t="s">
        <v>95</v>
      </c>
      <c r="BP6" s="240" t="s">
        <v>96</v>
      </c>
      <c r="BQ6" s="773"/>
      <c r="BR6" s="794"/>
      <c r="BS6" s="713"/>
      <c r="BT6" s="241" t="s">
        <v>95</v>
      </c>
      <c r="BU6" s="241" t="s">
        <v>96</v>
      </c>
      <c r="BV6" s="663"/>
      <c r="BW6" s="729"/>
    </row>
    <row r="7" spans="1:76" ht="22.9" customHeight="1" thickBot="1" x14ac:dyDescent="0.35">
      <c r="A7" s="754" t="s">
        <v>19</v>
      </c>
      <c r="B7" s="696"/>
      <c r="C7" s="696"/>
      <c r="D7" s="696"/>
      <c r="E7" s="755"/>
      <c r="F7" s="242">
        <f>F8+F41+F61+F74+F108+F131+F155+F187</f>
        <v>5630</v>
      </c>
      <c r="G7" s="243">
        <f>L7/F7</f>
        <v>1.3499111900532859E-2</v>
      </c>
      <c r="H7" s="244">
        <f t="shared" ref="H7:U7" si="0">H8+H41+H61+H74+H108+H131+H155+H187</f>
        <v>5630</v>
      </c>
      <c r="I7" s="245">
        <f t="shared" si="0"/>
        <v>3782</v>
      </c>
      <c r="J7" s="245">
        <f t="shared" si="0"/>
        <v>1848</v>
      </c>
      <c r="K7" s="246">
        <f t="shared" si="0"/>
        <v>1106</v>
      </c>
      <c r="L7" s="247">
        <f t="shared" si="0"/>
        <v>76</v>
      </c>
      <c r="M7" s="248">
        <f t="shared" si="0"/>
        <v>0</v>
      </c>
      <c r="N7" s="245">
        <f t="shared" si="0"/>
        <v>0</v>
      </c>
      <c r="O7" s="245">
        <f t="shared" si="0"/>
        <v>0</v>
      </c>
      <c r="P7" s="249">
        <f t="shared" si="0"/>
        <v>0</v>
      </c>
      <c r="Q7" s="250">
        <f t="shared" si="0"/>
        <v>0</v>
      </c>
      <c r="R7" s="251">
        <f t="shared" si="0"/>
        <v>0</v>
      </c>
      <c r="S7" s="251">
        <f t="shared" si="0"/>
        <v>0</v>
      </c>
      <c r="T7" s="251">
        <f t="shared" si="0"/>
        <v>0</v>
      </c>
      <c r="U7" s="252">
        <f t="shared" si="0"/>
        <v>0</v>
      </c>
      <c r="V7" s="253">
        <f t="shared" ref="V7:V38" si="1">Q7/H7</f>
        <v>0</v>
      </c>
      <c r="W7" s="254">
        <f t="shared" ref="W7:AL7" si="2">W8+W41+W61+W74+W108+W131+W155+W187</f>
        <v>12547.3</v>
      </c>
      <c r="X7" s="255">
        <f t="shared" si="2"/>
        <v>0</v>
      </c>
      <c r="Y7" s="256">
        <f t="shared" si="2"/>
        <v>0</v>
      </c>
      <c r="Z7" s="251">
        <f t="shared" si="2"/>
        <v>0</v>
      </c>
      <c r="AA7" s="251">
        <f t="shared" si="2"/>
        <v>0</v>
      </c>
      <c r="AB7" s="251">
        <f t="shared" si="2"/>
        <v>0</v>
      </c>
      <c r="AC7" s="249">
        <f t="shared" si="2"/>
        <v>0</v>
      </c>
      <c r="AD7" s="256">
        <f t="shared" si="2"/>
        <v>0</v>
      </c>
      <c r="AE7" s="251">
        <f t="shared" si="2"/>
        <v>0</v>
      </c>
      <c r="AF7" s="251">
        <f t="shared" si="2"/>
        <v>0</v>
      </c>
      <c r="AG7" s="251">
        <f t="shared" si="2"/>
        <v>0</v>
      </c>
      <c r="AH7" s="251">
        <f t="shared" si="2"/>
        <v>0</v>
      </c>
      <c r="AI7" s="257">
        <f t="shared" si="2"/>
        <v>0</v>
      </c>
      <c r="AJ7" s="258">
        <f t="shared" si="2"/>
        <v>0</v>
      </c>
      <c r="AK7" s="259">
        <f t="shared" si="2"/>
        <v>0</v>
      </c>
      <c r="AL7" s="260">
        <f t="shared" si="2"/>
        <v>0</v>
      </c>
      <c r="AM7" s="261">
        <f t="shared" ref="AM7:AM70" si="3">AN7+AQ7</f>
        <v>0</v>
      </c>
      <c r="AN7" s="259">
        <f>AO7+AP7</f>
        <v>0</v>
      </c>
      <c r="AO7" s="262">
        <f>AO8+AO41+AO61+AO74+AO108+AO131+AO155+AO187</f>
        <v>0</v>
      </c>
      <c r="AP7" s="262">
        <f>AP8+AP41+AP61+AP74+AP108+AP131+AP155+AP187</f>
        <v>0</v>
      </c>
      <c r="AQ7" s="262">
        <f>AQ8+AQ41+AQ61+AQ74+AQ108+AQ131+AQ155+AQ187</f>
        <v>0</v>
      </c>
      <c r="AR7" s="263" t="e">
        <f t="shared" ref="AR7:AR70" si="4">AM7/AI7</f>
        <v>#DIV/0!</v>
      </c>
      <c r="AS7" s="264">
        <v>1.3819999999999999</v>
      </c>
      <c r="AT7" s="265">
        <f>AT8+AT41+AT61+AT74+AT108+AT131+AT155+AT187</f>
        <v>3725</v>
      </c>
      <c r="AU7" s="266">
        <f>AU8+AU41+AU61+AU74+AU108+AU131+AU155+AU187</f>
        <v>0</v>
      </c>
      <c r="AV7" s="266">
        <f>AV8+AV41+AV61+AV74+AV108+AV131+AV155+AV187</f>
        <v>0</v>
      </c>
      <c r="AW7" s="267">
        <f>AW8+AW41+AW61+AW74+AW108+AW131+AW155+AW187</f>
        <v>0</v>
      </c>
      <c r="AX7" s="268" t="e">
        <f t="shared" ref="AX7:AX70" si="5">AT7/AI7</f>
        <v>#DIV/0!</v>
      </c>
      <c r="AY7" s="269">
        <v>0.81200000000000006</v>
      </c>
      <c r="AZ7" s="270">
        <f>AZ8+AZ41+AZ61+AZ74+AZ108+AZ131+AZ155+AZ187</f>
        <v>0</v>
      </c>
      <c r="BA7" s="271">
        <f>BA8+BA41+BA61+BA74+BA108+BA131+BA155+BA187</f>
        <v>0</v>
      </c>
      <c r="BB7" s="262">
        <f>BB8+BB41+BB61+BB74+BB108+BB131+BB155+BB187</f>
        <v>0</v>
      </c>
      <c r="BC7" s="272">
        <f>BC8+BC41+BC61+BC74+BC108+BC131+BC155+BC187</f>
        <v>0</v>
      </c>
      <c r="BD7" s="273">
        <f t="shared" ref="BD7:BD38" si="6">BE7+BH7</f>
        <v>1348</v>
      </c>
      <c r="BE7" s="274">
        <f t="shared" ref="BE7:BL7" si="7">BE8+BE41+BE61+BE74+BE108+BE131+BE155+BE187</f>
        <v>986</v>
      </c>
      <c r="BF7" s="275">
        <f t="shared" si="7"/>
        <v>551</v>
      </c>
      <c r="BG7" s="275">
        <f t="shared" si="7"/>
        <v>435</v>
      </c>
      <c r="BH7" s="276">
        <f t="shared" si="7"/>
        <v>362</v>
      </c>
      <c r="BI7" s="277">
        <f t="shared" si="7"/>
        <v>1731</v>
      </c>
      <c r="BJ7" s="278">
        <f t="shared" si="7"/>
        <v>1064</v>
      </c>
      <c r="BK7" s="279">
        <f t="shared" si="7"/>
        <v>667</v>
      </c>
      <c r="BL7" s="280">
        <f t="shared" si="7"/>
        <v>608</v>
      </c>
      <c r="BM7" s="281">
        <f t="shared" ref="BM7:BM38" si="8">BN7+BQ7</f>
        <v>3813</v>
      </c>
      <c r="BN7" s="273">
        <f t="shared" ref="BN7:BN70" si="9">BO7+BP7</f>
        <v>3331</v>
      </c>
      <c r="BO7" s="275">
        <f>BO8+BO41+BO61+BO74+BO108+BO131+BO155+BO187</f>
        <v>2380</v>
      </c>
      <c r="BP7" s="275">
        <f>BP8+BP41+BP61+BP74+BP108+BP131+BP155+BP187</f>
        <v>951</v>
      </c>
      <c r="BQ7" s="275">
        <f>BQ8+BQ41+BQ61+BQ74+BQ108+BQ131+BQ155+BQ187</f>
        <v>482</v>
      </c>
      <c r="BR7" s="282">
        <f t="shared" ref="BR7:BR38" si="10">BM7/BI7</f>
        <v>2.2027729636048528</v>
      </c>
      <c r="BS7" s="283">
        <f>BS8+BS41+BS61+BS74+BS108+BS131+BS155+BS187</f>
        <v>0</v>
      </c>
      <c r="BT7" s="284">
        <f>BT8+BT41+BT61+BT74+BT108+BT131+BT155+BT187</f>
        <v>0</v>
      </c>
      <c r="BU7" s="285">
        <f>BU8+BU41+BU61+BU74+BU108+BU131+BU155+BU187</f>
        <v>0</v>
      </c>
      <c r="BV7" s="286">
        <f>BV8+BV41+BV61+BV74+BV108+BV131+BV155+BV187</f>
        <v>0</v>
      </c>
      <c r="BW7" s="287">
        <f t="shared" ref="BW7:BW38" si="11">BS7/BI7</f>
        <v>0</v>
      </c>
    </row>
    <row r="8" spans="1:76" ht="20.45" customHeight="1" thickTop="1" x14ac:dyDescent="0.3">
      <c r="A8" s="698" t="s">
        <v>99</v>
      </c>
      <c r="B8" s="699"/>
      <c r="C8" s="699"/>
      <c r="D8" s="699"/>
      <c r="E8" s="700"/>
      <c r="F8" s="72">
        <f>F9+F21+F28+F39</f>
        <v>970</v>
      </c>
      <c r="G8" s="288">
        <f>L8/F8</f>
        <v>0</v>
      </c>
      <c r="H8" s="289">
        <f t="shared" ref="H8:U8" si="12">H9+H21+H28+H39</f>
        <v>970</v>
      </c>
      <c r="I8" s="290">
        <f t="shared" si="12"/>
        <v>658</v>
      </c>
      <c r="J8" s="291">
        <f t="shared" si="12"/>
        <v>312</v>
      </c>
      <c r="K8" s="292">
        <f t="shared" si="12"/>
        <v>194</v>
      </c>
      <c r="L8" s="293">
        <f t="shared" si="12"/>
        <v>0</v>
      </c>
      <c r="M8" s="293">
        <f t="shared" si="12"/>
        <v>0</v>
      </c>
      <c r="N8" s="293">
        <f t="shared" si="12"/>
        <v>0</v>
      </c>
      <c r="O8" s="293">
        <f t="shared" si="12"/>
        <v>0</v>
      </c>
      <c r="P8" s="292">
        <f t="shared" si="12"/>
        <v>0</v>
      </c>
      <c r="Q8" s="294">
        <f t="shared" si="12"/>
        <v>0</v>
      </c>
      <c r="R8" s="295">
        <f t="shared" si="12"/>
        <v>0</v>
      </c>
      <c r="S8" s="295">
        <f t="shared" si="12"/>
        <v>0</v>
      </c>
      <c r="T8" s="295">
        <f t="shared" si="12"/>
        <v>0</v>
      </c>
      <c r="U8" s="295">
        <f t="shared" si="12"/>
        <v>0</v>
      </c>
      <c r="V8" s="296">
        <f t="shared" si="1"/>
        <v>0</v>
      </c>
      <c r="W8" s="297">
        <f t="shared" ref="W8:AL8" si="13">W9+W21+W28+W39</f>
        <v>2170.1000000000004</v>
      </c>
      <c r="X8" s="298">
        <f t="shared" si="13"/>
        <v>0</v>
      </c>
      <c r="Y8" s="299">
        <f t="shared" si="13"/>
        <v>0</v>
      </c>
      <c r="Z8" s="295">
        <f t="shared" si="13"/>
        <v>0</v>
      </c>
      <c r="AA8" s="295">
        <f t="shared" si="13"/>
        <v>0</v>
      </c>
      <c r="AB8" s="295">
        <f t="shared" si="13"/>
        <v>0</v>
      </c>
      <c r="AC8" s="300">
        <f t="shared" si="13"/>
        <v>0</v>
      </c>
      <c r="AD8" s="299">
        <f t="shared" si="13"/>
        <v>0</v>
      </c>
      <c r="AE8" s="295">
        <f t="shared" si="13"/>
        <v>0</v>
      </c>
      <c r="AF8" s="295">
        <f t="shared" si="13"/>
        <v>0</v>
      </c>
      <c r="AG8" s="295">
        <f t="shared" si="13"/>
        <v>0</v>
      </c>
      <c r="AH8" s="301">
        <f t="shared" si="13"/>
        <v>0</v>
      </c>
      <c r="AI8" s="302">
        <f t="shared" si="13"/>
        <v>0</v>
      </c>
      <c r="AJ8" s="298">
        <f t="shared" si="13"/>
        <v>0</v>
      </c>
      <c r="AK8" s="303">
        <f t="shared" si="13"/>
        <v>0</v>
      </c>
      <c r="AL8" s="304">
        <f t="shared" si="13"/>
        <v>0</v>
      </c>
      <c r="AM8" s="305">
        <f t="shared" si="3"/>
        <v>0</v>
      </c>
      <c r="AN8" s="306">
        <f>AO8+AP8</f>
        <v>0</v>
      </c>
      <c r="AO8" s="307">
        <f>AO9+AO21+AO28+AO39</f>
        <v>0</v>
      </c>
      <c r="AP8" s="307">
        <f>AP9+AP21+AP28+AP39</f>
        <v>0</v>
      </c>
      <c r="AQ8" s="307">
        <f>AQ9+AQ21+AQ28+AQ39</f>
        <v>0</v>
      </c>
      <c r="AR8" s="308" t="e">
        <f t="shared" si="4"/>
        <v>#DIV/0!</v>
      </c>
      <c r="AS8" s="309">
        <v>1.2629999999999999</v>
      </c>
      <c r="AT8" s="310">
        <f>AT9+AT21+AT28+AT39</f>
        <v>708</v>
      </c>
      <c r="AU8" s="311">
        <f>AU9+AU21+AU28+AU39</f>
        <v>0</v>
      </c>
      <c r="AV8" s="311">
        <f>AV9+AV21+AV28+AV39</f>
        <v>0</v>
      </c>
      <c r="AW8" s="312">
        <f>AW9+AW21+AW28+AW39</f>
        <v>0</v>
      </c>
      <c r="AX8" s="313" t="e">
        <f t="shared" si="5"/>
        <v>#DIV/0!</v>
      </c>
      <c r="AY8" s="314">
        <v>0.78600000000000003</v>
      </c>
      <c r="AZ8" s="315">
        <f>AZ9+AZ21+AZ28+AZ39</f>
        <v>0</v>
      </c>
      <c r="BA8" s="316">
        <f>BA9+BA21+BA28+BA39</f>
        <v>0</v>
      </c>
      <c r="BB8" s="317">
        <f>BB9+BB21+BB28+BB39</f>
        <v>0</v>
      </c>
      <c r="BC8" s="318">
        <f>BC9+BC21+BC28+BC39</f>
        <v>0</v>
      </c>
      <c r="BD8" s="319">
        <f t="shared" si="6"/>
        <v>206</v>
      </c>
      <c r="BE8" s="319">
        <f t="shared" ref="BE8:BE39" si="14">BF8+BG8</f>
        <v>127</v>
      </c>
      <c r="BF8" s="320">
        <f t="shared" ref="BF8:BL8" si="15">BF9+BF21+BF28+BF39</f>
        <v>59</v>
      </c>
      <c r="BG8" s="320">
        <f t="shared" si="15"/>
        <v>68</v>
      </c>
      <c r="BH8" s="321">
        <f t="shared" si="15"/>
        <v>79</v>
      </c>
      <c r="BI8" s="322">
        <f t="shared" si="15"/>
        <v>257</v>
      </c>
      <c r="BJ8" s="323">
        <f t="shared" si="15"/>
        <v>112</v>
      </c>
      <c r="BK8" s="311">
        <f t="shared" si="15"/>
        <v>145</v>
      </c>
      <c r="BL8" s="324">
        <f t="shared" si="15"/>
        <v>109</v>
      </c>
      <c r="BM8" s="325">
        <f t="shared" si="8"/>
        <v>734</v>
      </c>
      <c r="BN8" s="319">
        <f t="shared" si="9"/>
        <v>651</v>
      </c>
      <c r="BO8" s="320">
        <f>BO9+BO21+BO28+BO39</f>
        <v>492</v>
      </c>
      <c r="BP8" s="320">
        <f>BP9+BP21+BP28+BP39</f>
        <v>159</v>
      </c>
      <c r="BQ8" s="320">
        <f>BQ9+BQ21+BQ28+BQ39</f>
        <v>83</v>
      </c>
      <c r="BR8" s="326">
        <f t="shared" si="10"/>
        <v>2.8560311284046693</v>
      </c>
      <c r="BS8" s="327">
        <f t="shared" ref="BS8:BS39" si="16">BT8+BU8+BV8</f>
        <v>0</v>
      </c>
      <c r="BT8" s="328">
        <f>BT9+BT21+BT28+BT39</f>
        <v>0</v>
      </c>
      <c r="BU8" s="328">
        <f>BU9+BU21+BU28+BU39</f>
        <v>0</v>
      </c>
      <c r="BV8" s="328">
        <f>BV9+BV21+BV28+BV39</f>
        <v>0</v>
      </c>
      <c r="BW8" s="329">
        <f t="shared" si="11"/>
        <v>0</v>
      </c>
    </row>
    <row r="9" spans="1:76" ht="19.5" customHeight="1" x14ac:dyDescent="0.3">
      <c r="A9" s="4" t="s">
        <v>100</v>
      </c>
      <c r="B9" s="5" t="s">
        <v>22</v>
      </c>
      <c r="C9" s="5"/>
      <c r="D9" s="5" t="s">
        <v>21</v>
      </c>
      <c r="E9" s="6"/>
      <c r="F9" s="58">
        <f t="shared" ref="F9:U9" si="17">SUM(F10:F20)</f>
        <v>435</v>
      </c>
      <c r="G9" s="7">
        <f t="shared" si="17"/>
        <v>0</v>
      </c>
      <c r="H9" s="7">
        <f t="shared" si="17"/>
        <v>435</v>
      </c>
      <c r="I9" s="6">
        <f t="shared" si="17"/>
        <v>302</v>
      </c>
      <c r="J9" s="6">
        <f t="shared" si="17"/>
        <v>133</v>
      </c>
      <c r="K9" s="69">
        <f t="shared" si="17"/>
        <v>87</v>
      </c>
      <c r="L9" s="330">
        <f t="shared" si="17"/>
        <v>0</v>
      </c>
      <c r="M9" s="330">
        <f t="shared" si="17"/>
        <v>0</v>
      </c>
      <c r="N9" s="330">
        <f t="shared" si="17"/>
        <v>0</v>
      </c>
      <c r="O9" s="330">
        <f t="shared" si="17"/>
        <v>0</v>
      </c>
      <c r="P9" s="331">
        <f t="shared" si="17"/>
        <v>0</v>
      </c>
      <c r="Q9" s="332">
        <f t="shared" si="17"/>
        <v>0</v>
      </c>
      <c r="R9" s="333">
        <f t="shared" si="17"/>
        <v>0</v>
      </c>
      <c r="S9" s="333">
        <f t="shared" si="17"/>
        <v>0</v>
      </c>
      <c r="T9" s="333">
        <f t="shared" si="17"/>
        <v>0</v>
      </c>
      <c r="U9" s="333">
        <f t="shared" si="17"/>
        <v>0</v>
      </c>
      <c r="V9" s="334">
        <f t="shared" si="1"/>
        <v>0</v>
      </c>
      <c r="W9" s="335">
        <f t="shared" ref="W9:AL9" si="18">SUM(W10:W20)</f>
        <v>855.9</v>
      </c>
      <c r="X9" s="336">
        <f t="shared" si="18"/>
        <v>0</v>
      </c>
      <c r="Y9" s="332">
        <f t="shared" si="18"/>
        <v>0</v>
      </c>
      <c r="Z9" s="333">
        <f t="shared" si="18"/>
        <v>0</v>
      </c>
      <c r="AA9" s="333">
        <f t="shared" si="18"/>
        <v>0</v>
      </c>
      <c r="AB9" s="333">
        <f t="shared" si="18"/>
        <v>0</v>
      </c>
      <c r="AC9" s="337">
        <f t="shared" si="18"/>
        <v>0</v>
      </c>
      <c r="AD9" s="332">
        <f t="shared" si="18"/>
        <v>0</v>
      </c>
      <c r="AE9" s="333">
        <f t="shared" si="18"/>
        <v>0</v>
      </c>
      <c r="AF9" s="333">
        <f t="shared" si="18"/>
        <v>0</v>
      </c>
      <c r="AG9" s="333">
        <f t="shared" si="18"/>
        <v>0</v>
      </c>
      <c r="AH9" s="338">
        <f t="shared" si="18"/>
        <v>0</v>
      </c>
      <c r="AI9" s="339">
        <f t="shared" si="18"/>
        <v>0</v>
      </c>
      <c r="AJ9" s="340">
        <f t="shared" si="18"/>
        <v>0</v>
      </c>
      <c r="AK9" s="341">
        <f t="shared" si="18"/>
        <v>0</v>
      </c>
      <c r="AL9" s="342">
        <f t="shared" si="18"/>
        <v>0</v>
      </c>
      <c r="AM9" s="343">
        <f t="shared" si="3"/>
        <v>0</v>
      </c>
      <c r="AN9" s="344"/>
      <c r="AO9" s="345"/>
      <c r="AP9" s="345"/>
      <c r="AQ9" s="345"/>
      <c r="AR9" s="346" t="e">
        <f t="shared" si="4"/>
        <v>#DIV/0!</v>
      </c>
      <c r="AS9" s="347">
        <v>1.5740000000000001</v>
      </c>
      <c r="AT9" s="348">
        <f>SUM(AT10:AT20)</f>
        <v>334</v>
      </c>
      <c r="AU9" s="349">
        <f>SUM(AU10:AU20)</f>
        <v>0</v>
      </c>
      <c r="AV9" s="350">
        <f>SUM(AV10:AV20)</f>
        <v>0</v>
      </c>
      <c r="AW9" s="351">
        <f>SUM(AW10:AW20)</f>
        <v>0</v>
      </c>
      <c r="AX9" s="352" t="e">
        <f t="shared" si="5"/>
        <v>#DIV/0!</v>
      </c>
      <c r="AY9" s="353">
        <v>0.93200000000000005</v>
      </c>
      <c r="AZ9" s="354">
        <f>SUM(AZ10:AZ20)</f>
        <v>0</v>
      </c>
      <c r="BA9" s="340">
        <f>SUM(BA10:BA20)</f>
        <v>0</v>
      </c>
      <c r="BB9" s="340">
        <f>SUM(BB10:BB20)</f>
        <v>0</v>
      </c>
      <c r="BC9" s="355">
        <f>SUM(BC10:BC20)</f>
        <v>0</v>
      </c>
      <c r="BD9" s="356">
        <f t="shared" si="6"/>
        <v>78</v>
      </c>
      <c r="BE9" s="356">
        <f t="shared" si="14"/>
        <v>48</v>
      </c>
      <c r="BF9" s="357">
        <f t="shared" ref="BF9:BL9" si="19">SUM(BF10:BF20)</f>
        <v>29</v>
      </c>
      <c r="BG9" s="357">
        <f t="shared" si="19"/>
        <v>19</v>
      </c>
      <c r="BH9" s="358">
        <f t="shared" si="19"/>
        <v>30</v>
      </c>
      <c r="BI9" s="359">
        <f t="shared" si="19"/>
        <v>112</v>
      </c>
      <c r="BJ9" s="360">
        <f t="shared" si="19"/>
        <v>46</v>
      </c>
      <c r="BK9" s="361">
        <f t="shared" si="19"/>
        <v>66</v>
      </c>
      <c r="BL9" s="362">
        <f t="shared" si="19"/>
        <v>42</v>
      </c>
      <c r="BM9" s="363">
        <f t="shared" si="8"/>
        <v>352</v>
      </c>
      <c r="BN9" s="356">
        <f t="shared" si="9"/>
        <v>314</v>
      </c>
      <c r="BO9" s="364">
        <f>SUM(BO10:BO20)</f>
        <v>229</v>
      </c>
      <c r="BP9" s="364">
        <f>SUM(BP10:BP20)</f>
        <v>85</v>
      </c>
      <c r="BQ9" s="364">
        <f>SUM(BQ10:BQ20)</f>
        <v>38</v>
      </c>
      <c r="BR9" s="365">
        <f t="shared" si="10"/>
        <v>3.1428571428571428</v>
      </c>
      <c r="BS9" s="366">
        <f t="shared" si="16"/>
        <v>0</v>
      </c>
      <c r="BT9" s="367">
        <f>SUM(BT10:BT20)</f>
        <v>0</v>
      </c>
      <c r="BU9" s="367">
        <f>SUM(BU10:BU20)</f>
        <v>0</v>
      </c>
      <c r="BV9" s="367">
        <f>SUM(BV10:BV20)</f>
        <v>0</v>
      </c>
      <c r="BW9" s="368">
        <f t="shared" si="11"/>
        <v>0</v>
      </c>
      <c r="BX9" t="s">
        <v>22</v>
      </c>
    </row>
    <row r="10" spans="1:76" ht="16.899999999999999" customHeight="1" x14ac:dyDescent="0.3">
      <c r="A10" s="8" t="s">
        <v>100</v>
      </c>
      <c r="B10" s="9" t="s">
        <v>22</v>
      </c>
      <c r="C10" s="9" t="s">
        <v>101</v>
      </c>
      <c r="D10" s="36" t="s">
        <v>102</v>
      </c>
      <c r="E10" s="10" t="s">
        <v>103</v>
      </c>
      <c r="F10" s="59">
        <v>50</v>
      </c>
      <c r="G10" s="369">
        <f t="shared" ref="G10:G20" si="20">L10/F10</f>
        <v>0</v>
      </c>
      <c r="H10" s="370">
        <v>50</v>
      </c>
      <c r="I10" s="371">
        <v>35</v>
      </c>
      <c r="J10" s="371">
        <v>15</v>
      </c>
      <c r="K10" s="372">
        <v>10</v>
      </c>
      <c r="L10" s="373">
        <f t="shared" ref="L10:L20" si="21">N10+O10+P10</f>
        <v>0</v>
      </c>
      <c r="M10" s="373">
        <f t="shared" ref="M10:M20" si="22">N10+O10</f>
        <v>0</v>
      </c>
      <c r="N10" s="374">
        <f t="shared" ref="N10:N20" si="23">AA10+AF10</f>
        <v>0</v>
      </c>
      <c r="O10" s="374">
        <f t="shared" ref="O10:O20" si="24">AB10+AG10</f>
        <v>0</v>
      </c>
      <c r="P10" s="375">
        <f t="shared" ref="P10:P20" si="25">AC10+AH10</f>
        <v>0</v>
      </c>
      <c r="Q10" s="376">
        <f t="shared" ref="Q10:Q20" si="26">R10+U10</f>
        <v>0</v>
      </c>
      <c r="R10" s="374">
        <f t="shared" ref="R10:R20" si="27">S10+T10</f>
        <v>0</v>
      </c>
      <c r="S10" s="377"/>
      <c r="T10" s="377"/>
      <c r="U10" s="377"/>
      <c r="V10" s="378">
        <f t="shared" si="1"/>
        <v>0</v>
      </c>
      <c r="W10" s="379">
        <v>91.6</v>
      </c>
      <c r="X10" s="380"/>
      <c r="Y10" s="376">
        <f t="shared" ref="Y10:Y20" si="28">Z10+AC10</f>
        <v>0</v>
      </c>
      <c r="Z10" s="374">
        <f t="shared" ref="Z10:Z20" si="29">AA10+AB10</f>
        <v>0</v>
      </c>
      <c r="AA10" s="381"/>
      <c r="AB10" s="381"/>
      <c r="AC10" s="382"/>
      <c r="AD10" s="376">
        <f t="shared" ref="AD10:AD20" si="30">AE10+AH10</f>
        <v>0</v>
      </c>
      <c r="AE10" s="374">
        <f t="shared" ref="AE10:AE20" si="31">AF10+AG10</f>
        <v>0</v>
      </c>
      <c r="AF10" s="381"/>
      <c r="AG10" s="381"/>
      <c r="AH10" s="383"/>
      <c r="AI10" s="384">
        <f t="shared" ref="AI10:AI20" si="32">AJ10+AK10</f>
        <v>0</v>
      </c>
      <c r="AJ10" s="385"/>
      <c r="AK10" s="386"/>
      <c r="AL10" s="387"/>
      <c r="AM10" s="388">
        <f t="shared" si="3"/>
        <v>0</v>
      </c>
      <c r="AN10" s="389"/>
      <c r="AO10" s="390"/>
      <c r="AP10" s="390"/>
      <c r="AQ10" s="390"/>
      <c r="AR10" s="346" t="e">
        <f t="shared" si="4"/>
        <v>#DIV/0!</v>
      </c>
      <c r="AS10" s="391"/>
      <c r="AT10" s="392">
        <v>33</v>
      </c>
      <c r="AU10" s="11"/>
      <c r="AV10" s="48"/>
      <c r="AW10" s="52"/>
      <c r="AX10" s="393" t="e">
        <f t="shared" si="5"/>
        <v>#DIV/0!</v>
      </c>
      <c r="AY10" s="74">
        <v>339</v>
      </c>
      <c r="AZ10" s="394">
        <f t="shared" ref="AZ10:AZ20" si="33">BA10+BB10</f>
        <v>0</v>
      </c>
      <c r="BA10" s="395"/>
      <c r="BB10" s="396"/>
      <c r="BC10" s="397"/>
      <c r="BD10" s="398">
        <f t="shared" si="6"/>
        <v>15</v>
      </c>
      <c r="BE10" s="399">
        <f t="shared" si="14"/>
        <v>8</v>
      </c>
      <c r="BF10" s="400">
        <v>7</v>
      </c>
      <c r="BG10" s="400">
        <v>1</v>
      </c>
      <c r="BH10" s="401">
        <v>7</v>
      </c>
      <c r="BI10" s="402">
        <f t="shared" ref="BI10:BI20" si="34">SUM(BJ10:BK10)</f>
        <v>16</v>
      </c>
      <c r="BJ10" s="403">
        <v>9</v>
      </c>
      <c r="BK10" s="404">
        <v>7</v>
      </c>
      <c r="BL10" s="405">
        <v>8</v>
      </c>
      <c r="BM10" s="406">
        <f t="shared" si="8"/>
        <v>28</v>
      </c>
      <c r="BN10" s="407">
        <f t="shared" si="9"/>
        <v>24</v>
      </c>
      <c r="BO10" s="12">
        <v>20</v>
      </c>
      <c r="BP10" s="12">
        <v>4</v>
      </c>
      <c r="BQ10" s="12">
        <v>4</v>
      </c>
      <c r="BR10" s="408">
        <f t="shared" si="10"/>
        <v>1.75</v>
      </c>
      <c r="BS10" s="409">
        <f t="shared" si="16"/>
        <v>0</v>
      </c>
      <c r="BT10" s="410"/>
      <c r="BU10" s="411"/>
      <c r="BV10" s="411"/>
      <c r="BW10" s="412">
        <f t="shared" si="11"/>
        <v>0</v>
      </c>
    </row>
    <row r="11" spans="1:76" ht="16.899999999999999" customHeight="1" x14ac:dyDescent="0.3">
      <c r="A11" s="8" t="s">
        <v>100</v>
      </c>
      <c r="B11" s="9" t="s">
        <v>22</v>
      </c>
      <c r="C11" s="9" t="s">
        <v>104</v>
      </c>
      <c r="D11" s="36" t="s">
        <v>105</v>
      </c>
      <c r="E11" s="10" t="s">
        <v>103</v>
      </c>
      <c r="F11" s="59">
        <v>50</v>
      </c>
      <c r="G11" s="369">
        <f t="shared" si="20"/>
        <v>0</v>
      </c>
      <c r="H11" s="370">
        <v>50</v>
      </c>
      <c r="I11" s="371">
        <v>35</v>
      </c>
      <c r="J11" s="371">
        <v>15</v>
      </c>
      <c r="K11" s="372">
        <v>10</v>
      </c>
      <c r="L11" s="373">
        <f t="shared" si="21"/>
        <v>0</v>
      </c>
      <c r="M11" s="373">
        <f t="shared" si="22"/>
        <v>0</v>
      </c>
      <c r="N11" s="374">
        <f t="shared" si="23"/>
        <v>0</v>
      </c>
      <c r="O11" s="374">
        <f t="shared" si="24"/>
        <v>0</v>
      </c>
      <c r="P11" s="375">
        <f t="shared" si="25"/>
        <v>0</v>
      </c>
      <c r="Q11" s="376">
        <f t="shared" si="26"/>
        <v>0</v>
      </c>
      <c r="R11" s="374">
        <f t="shared" si="27"/>
        <v>0</v>
      </c>
      <c r="S11" s="377"/>
      <c r="T11" s="377"/>
      <c r="U11" s="377"/>
      <c r="V11" s="378">
        <f t="shared" si="1"/>
        <v>0</v>
      </c>
      <c r="W11" s="379">
        <v>84.5</v>
      </c>
      <c r="X11" s="380"/>
      <c r="Y11" s="376">
        <f t="shared" si="28"/>
        <v>0</v>
      </c>
      <c r="Z11" s="374">
        <f t="shared" si="29"/>
        <v>0</v>
      </c>
      <c r="AA11" s="381"/>
      <c r="AB11" s="381"/>
      <c r="AC11" s="382"/>
      <c r="AD11" s="376">
        <f t="shared" si="30"/>
        <v>0</v>
      </c>
      <c r="AE11" s="374">
        <f t="shared" si="31"/>
        <v>0</v>
      </c>
      <c r="AF11" s="381"/>
      <c r="AG11" s="381"/>
      <c r="AH11" s="383"/>
      <c r="AI11" s="384">
        <f t="shared" si="32"/>
        <v>0</v>
      </c>
      <c r="AJ11" s="385"/>
      <c r="AK11" s="386"/>
      <c r="AL11" s="387"/>
      <c r="AM11" s="388">
        <f t="shared" si="3"/>
        <v>0</v>
      </c>
      <c r="AN11" s="389"/>
      <c r="AO11" s="390"/>
      <c r="AP11" s="390"/>
      <c r="AQ11" s="390"/>
      <c r="AR11" s="346" t="e">
        <f t="shared" si="4"/>
        <v>#DIV/0!</v>
      </c>
      <c r="AS11" s="391"/>
      <c r="AT11" s="392">
        <v>35</v>
      </c>
      <c r="AU11" s="11"/>
      <c r="AV11" s="48"/>
      <c r="AW11" s="52"/>
      <c r="AX11" s="393" t="e">
        <f t="shared" si="5"/>
        <v>#DIV/0!</v>
      </c>
      <c r="AY11" s="74">
        <v>219</v>
      </c>
      <c r="AZ11" s="394">
        <f t="shared" si="33"/>
        <v>0</v>
      </c>
      <c r="BA11" s="395"/>
      <c r="BB11" s="396"/>
      <c r="BC11" s="397"/>
      <c r="BD11" s="398">
        <f t="shared" si="6"/>
        <v>13</v>
      </c>
      <c r="BE11" s="399">
        <f t="shared" si="14"/>
        <v>11</v>
      </c>
      <c r="BF11" s="400">
        <v>5</v>
      </c>
      <c r="BG11" s="400">
        <v>6</v>
      </c>
      <c r="BH11" s="401">
        <v>2</v>
      </c>
      <c r="BI11" s="402">
        <f t="shared" si="34"/>
        <v>19</v>
      </c>
      <c r="BJ11" s="403">
        <v>7</v>
      </c>
      <c r="BK11" s="404">
        <v>12</v>
      </c>
      <c r="BL11" s="405">
        <v>3</v>
      </c>
      <c r="BM11" s="406">
        <f t="shared" si="8"/>
        <v>25</v>
      </c>
      <c r="BN11" s="407">
        <f t="shared" si="9"/>
        <v>23</v>
      </c>
      <c r="BO11" s="12">
        <v>13</v>
      </c>
      <c r="BP11" s="12">
        <v>10</v>
      </c>
      <c r="BQ11" s="12">
        <v>2</v>
      </c>
      <c r="BR11" s="408">
        <f t="shared" si="10"/>
        <v>1.3157894736842106</v>
      </c>
      <c r="BS11" s="409">
        <f t="shared" si="16"/>
        <v>0</v>
      </c>
      <c r="BT11" s="410"/>
      <c r="BU11" s="411"/>
      <c r="BV11" s="411"/>
      <c r="BW11" s="412">
        <f t="shared" si="11"/>
        <v>0</v>
      </c>
    </row>
    <row r="12" spans="1:76" ht="16.899999999999999" customHeight="1" x14ac:dyDescent="0.3">
      <c r="A12" s="8" t="s">
        <v>100</v>
      </c>
      <c r="B12" s="9" t="s">
        <v>22</v>
      </c>
      <c r="C12" s="9" t="s">
        <v>106</v>
      </c>
      <c r="D12" s="37" t="s">
        <v>107</v>
      </c>
      <c r="E12" s="10" t="s">
        <v>103</v>
      </c>
      <c r="F12" s="59">
        <v>25</v>
      </c>
      <c r="G12" s="369">
        <f t="shared" si="20"/>
        <v>0</v>
      </c>
      <c r="H12" s="370">
        <v>25</v>
      </c>
      <c r="I12" s="371">
        <v>17</v>
      </c>
      <c r="J12" s="371">
        <v>8</v>
      </c>
      <c r="K12" s="372">
        <v>5</v>
      </c>
      <c r="L12" s="373">
        <f t="shared" si="21"/>
        <v>0</v>
      </c>
      <c r="M12" s="373">
        <f t="shared" si="22"/>
        <v>0</v>
      </c>
      <c r="N12" s="374">
        <f t="shared" si="23"/>
        <v>0</v>
      </c>
      <c r="O12" s="374">
        <f t="shared" si="24"/>
        <v>0</v>
      </c>
      <c r="P12" s="375">
        <f t="shared" si="25"/>
        <v>0</v>
      </c>
      <c r="Q12" s="376">
        <f t="shared" si="26"/>
        <v>0</v>
      </c>
      <c r="R12" s="374">
        <f t="shared" si="27"/>
        <v>0</v>
      </c>
      <c r="S12" s="377"/>
      <c r="T12" s="377"/>
      <c r="U12" s="377"/>
      <c r="V12" s="378">
        <f t="shared" si="1"/>
        <v>0</v>
      </c>
      <c r="W12" s="379">
        <v>79.5</v>
      </c>
      <c r="X12" s="380"/>
      <c r="Y12" s="376">
        <f t="shared" si="28"/>
        <v>0</v>
      </c>
      <c r="Z12" s="374">
        <f t="shared" si="29"/>
        <v>0</v>
      </c>
      <c r="AA12" s="381"/>
      <c r="AB12" s="381"/>
      <c r="AC12" s="382"/>
      <c r="AD12" s="376">
        <f t="shared" si="30"/>
        <v>0</v>
      </c>
      <c r="AE12" s="374">
        <f t="shared" si="31"/>
        <v>0</v>
      </c>
      <c r="AF12" s="381"/>
      <c r="AG12" s="381"/>
      <c r="AH12" s="383"/>
      <c r="AI12" s="384">
        <f t="shared" si="32"/>
        <v>0</v>
      </c>
      <c r="AJ12" s="385"/>
      <c r="AK12" s="386"/>
      <c r="AL12" s="387"/>
      <c r="AM12" s="388">
        <f t="shared" si="3"/>
        <v>0</v>
      </c>
      <c r="AN12" s="389"/>
      <c r="AO12" s="390"/>
      <c r="AP12" s="390"/>
      <c r="AQ12" s="390"/>
      <c r="AR12" s="346" t="e">
        <f t="shared" si="4"/>
        <v>#DIV/0!</v>
      </c>
      <c r="AS12" s="391"/>
      <c r="AT12" s="392">
        <v>21</v>
      </c>
      <c r="AU12" s="11"/>
      <c r="AV12" s="48"/>
      <c r="AW12" s="52"/>
      <c r="AX12" s="393" t="e">
        <f t="shared" si="5"/>
        <v>#DIV/0!</v>
      </c>
      <c r="AY12" s="74">
        <v>12</v>
      </c>
      <c r="AZ12" s="394">
        <f t="shared" si="33"/>
        <v>0</v>
      </c>
      <c r="BA12" s="395"/>
      <c r="BB12" s="396"/>
      <c r="BC12" s="397"/>
      <c r="BD12" s="398">
        <f t="shared" si="6"/>
        <v>2</v>
      </c>
      <c r="BE12" s="399">
        <f t="shared" si="14"/>
        <v>1</v>
      </c>
      <c r="BF12" s="400">
        <v>1</v>
      </c>
      <c r="BG12" s="400">
        <v>0</v>
      </c>
      <c r="BH12" s="401">
        <v>1</v>
      </c>
      <c r="BI12" s="402">
        <f t="shared" si="34"/>
        <v>4</v>
      </c>
      <c r="BJ12" s="403">
        <v>2</v>
      </c>
      <c r="BK12" s="404">
        <v>2</v>
      </c>
      <c r="BL12" s="405">
        <v>2</v>
      </c>
      <c r="BM12" s="406">
        <f t="shared" si="8"/>
        <v>19</v>
      </c>
      <c r="BN12" s="407">
        <f t="shared" si="9"/>
        <v>18</v>
      </c>
      <c r="BO12" s="12">
        <v>15</v>
      </c>
      <c r="BP12" s="12">
        <v>3</v>
      </c>
      <c r="BQ12" s="12">
        <v>1</v>
      </c>
      <c r="BR12" s="408">
        <f t="shared" si="10"/>
        <v>4.75</v>
      </c>
      <c r="BS12" s="409">
        <f t="shared" si="16"/>
        <v>0</v>
      </c>
      <c r="BT12" s="410"/>
      <c r="BU12" s="411"/>
      <c r="BV12" s="411"/>
      <c r="BW12" s="412">
        <f t="shared" si="11"/>
        <v>0</v>
      </c>
    </row>
    <row r="13" spans="1:76" ht="16.899999999999999" customHeight="1" x14ac:dyDescent="0.3">
      <c r="A13" s="8" t="s">
        <v>100</v>
      </c>
      <c r="B13" s="9" t="s">
        <v>22</v>
      </c>
      <c r="C13" s="9" t="s">
        <v>108</v>
      </c>
      <c r="D13" s="36" t="s">
        <v>109</v>
      </c>
      <c r="E13" s="10" t="s">
        <v>103</v>
      </c>
      <c r="F13" s="59">
        <v>50</v>
      </c>
      <c r="G13" s="369">
        <f t="shared" si="20"/>
        <v>0</v>
      </c>
      <c r="H13" s="370">
        <v>50</v>
      </c>
      <c r="I13" s="371">
        <v>35</v>
      </c>
      <c r="J13" s="371">
        <v>15</v>
      </c>
      <c r="K13" s="372">
        <v>10</v>
      </c>
      <c r="L13" s="373">
        <f t="shared" si="21"/>
        <v>0</v>
      </c>
      <c r="M13" s="373">
        <f t="shared" si="22"/>
        <v>0</v>
      </c>
      <c r="N13" s="374">
        <f t="shared" si="23"/>
        <v>0</v>
      </c>
      <c r="O13" s="374">
        <f t="shared" si="24"/>
        <v>0</v>
      </c>
      <c r="P13" s="375">
        <f t="shared" si="25"/>
        <v>0</v>
      </c>
      <c r="Q13" s="376">
        <f t="shared" si="26"/>
        <v>0</v>
      </c>
      <c r="R13" s="374">
        <f t="shared" si="27"/>
        <v>0</v>
      </c>
      <c r="S13" s="377"/>
      <c r="T13" s="377"/>
      <c r="U13" s="377"/>
      <c r="V13" s="378">
        <f t="shared" si="1"/>
        <v>0</v>
      </c>
      <c r="W13" s="379">
        <v>85.3</v>
      </c>
      <c r="X13" s="380"/>
      <c r="Y13" s="376">
        <f t="shared" si="28"/>
        <v>0</v>
      </c>
      <c r="Z13" s="374">
        <f t="shared" si="29"/>
        <v>0</v>
      </c>
      <c r="AA13" s="381"/>
      <c r="AB13" s="381"/>
      <c r="AC13" s="382"/>
      <c r="AD13" s="376">
        <f t="shared" si="30"/>
        <v>0</v>
      </c>
      <c r="AE13" s="374">
        <f t="shared" si="31"/>
        <v>0</v>
      </c>
      <c r="AF13" s="381"/>
      <c r="AG13" s="381"/>
      <c r="AH13" s="383"/>
      <c r="AI13" s="384">
        <f t="shared" si="32"/>
        <v>0</v>
      </c>
      <c r="AJ13" s="385"/>
      <c r="AK13" s="386"/>
      <c r="AL13" s="387"/>
      <c r="AM13" s="388">
        <f t="shared" si="3"/>
        <v>0</v>
      </c>
      <c r="AN13" s="389"/>
      <c r="AO13" s="390"/>
      <c r="AP13" s="390"/>
      <c r="AQ13" s="390"/>
      <c r="AR13" s="346" t="e">
        <f t="shared" si="4"/>
        <v>#DIV/0!</v>
      </c>
      <c r="AS13" s="391"/>
      <c r="AT13" s="392">
        <v>45</v>
      </c>
      <c r="AU13" s="11"/>
      <c r="AV13" s="48"/>
      <c r="AW13" s="52"/>
      <c r="AX13" s="393" t="e">
        <f t="shared" si="5"/>
        <v>#DIV/0!</v>
      </c>
      <c r="AY13" s="74">
        <v>241</v>
      </c>
      <c r="AZ13" s="394">
        <f t="shared" si="33"/>
        <v>0</v>
      </c>
      <c r="BA13" s="395"/>
      <c r="BB13" s="396"/>
      <c r="BC13" s="397"/>
      <c r="BD13" s="398">
        <f t="shared" si="6"/>
        <v>3</v>
      </c>
      <c r="BE13" s="399">
        <f t="shared" si="14"/>
        <v>0</v>
      </c>
      <c r="BF13" s="400">
        <v>0</v>
      </c>
      <c r="BG13" s="400">
        <v>0</v>
      </c>
      <c r="BH13" s="401">
        <v>3</v>
      </c>
      <c r="BI13" s="402">
        <f t="shared" si="34"/>
        <v>8</v>
      </c>
      <c r="BJ13" s="403">
        <v>2</v>
      </c>
      <c r="BK13" s="404">
        <v>6</v>
      </c>
      <c r="BL13" s="405">
        <v>4</v>
      </c>
      <c r="BM13" s="406">
        <f t="shared" si="8"/>
        <v>55</v>
      </c>
      <c r="BN13" s="407">
        <f t="shared" si="9"/>
        <v>48</v>
      </c>
      <c r="BO13" s="12">
        <v>31</v>
      </c>
      <c r="BP13" s="12">
        <v>17</v>
      </c>
      <c r="BQ13" s="12">
        <v>7</v>
      </c>
      <c r="BR13" s="408">
        <f t="shared" si="10"/>
        <v>6.875</v>
      </c>
      <c r="BS13" s="409">
        <f t="shared" si="16"/>
        <v>0</v>
      </c>
      <c r="BT13" s="410"/>
      <c r="BU13" s="411"/>
      <c r="BV13" s="411"/>
      <c r="BW13" s="412">
        <f t="shared" si="11"/>
        <v>0</v>
      </c>
    </row>
    <row r="14" spans="1:76" ht="16.899999999999999" customHeight="1" x14ac:dyDescent="0.3">
      <c r="A14" s="8" t="s">
        <v>100</v>
      </c>
      <c r="B14" s="9" t="s">
        <v>22</v>
      </c>
      <c r="C14" s="9" t="s">
        <v>110</v>
      </c>
      <c r="D14" s="36" t="s">
        <v>111</v>
      </c>
      <c r="E14" s="10" t="s">
        <v>103</v>
      </c>
      <c r="F14" s="59">
        <v>25</v>
      </c>
      <c r="G14" s="369">
        <f t="shared" si="20"/>
        <v>0</v>
      </c>
      <c r="H14" s="370">
        <v>25</v>
      </c>
      <c r="I14" s="371">
        <v>17</v>
      </c>
      <c r="J14" s="371">
        <v>8</v>
      </c>
      <c r="K14" s="372">
        <v>5</v>
      </c>
      <c r="L14" s="373">
        <f t="shared" si="21"/>
        <v>0</v>
      </c>
      <c r="M14" s="373">
        <f t="shared" si="22"/>
        <v>0</v>
      </c>
      <c r="N14" s="374">
        <f t="shared" si="23"/>
        <v>0</v>
      </c>
      <c r="O14" s="374">
        <f t="shared" si="24"/>
        <v>0</v>
      </c>
      <c r="P14" s="375">
        <f t="shared" si="25"/>
        <v>0</v>
      </c>
      <c r="Q14" s="376">
        <f t="shared" si="26"/>
        <v>0</v>
      </c>
      <c r="R14" s="374">
        <f t="shared" si="27"/>
        <v>0</v>
      </c>
      <c r="S14" s="377"/>
      <c r="T14" s="377"/>
      <c r="U14" s="377"/>
      <c r="V14" s="378">
        <f t="shared" si="1"/>
        <v>0</v>
      </c>
      <c r="W14" s="379">
        <v>62.2</v>
      </c>
      <c r="X14" s="380"/>
      <c r="Y14" s="376">
        <f t="shared" si="28"/>
        <v>0</v>
      </c>
      <c r="Z14" s="374">
        <f t="shared" si="29"/>
        <v>0</v>
      </c>
      <c r="AA14" s="381"/>
      <c r="AB14" s="381"/>
      <c r="AC14" s="382"/>
      <c r="AD14" s="376">
        <f t="shared" si="30"/>
        <v>0</v>
      </c>
      <c r="AE14" s="374">
        <f t="shared" si="31"/>
        <v>0</v>
      </c>
      <c r="AF14" s="381"/>
      <c r="AG14" s="381"/>
      <c r="AH14" s="383"/>
      <c r="AI14" s="384">
        <f t="shared" si="32"/>
        <v>0</v>
      </c>
      <c r="AJ14" s="385"/>
      <c r="AK14" s="386"/>
      <c r="AL14" s="387"/>
      <c r="AM14" s="388">
        <f t="shared" si="3"/>
        <v>0</v>
      </c>
      <c r="AN14" s="389"/>
      <c r="AO14" s="390"/>
      <c r="AP14" s="390"/>
      <c r="AQ14" s="390"/>
      <c r="AR14" s="346" t="e">
        <f t="shared" si="4"/>
        <v>#DIV/0!</v>
      </c>
      <c r="AS14" s="391"/>
      <c r="AT14" s="392">
        <v>15</v>
      </c>
      <c r="AU14" s="11"/>
      <c r="AV14" s="48"/>
      <c r="AW14" s="52"/>
      <c r="AX14" s="393" t="e">
        <f t="shared" si="5"/>
        <v>#DIV/0!</v>
      </c>
      <c r="AY14" s="74">
        <v>441</v>
      </c>
      <c r="AZ14" s="394">
        <f t="shared" si="33"/>
        <v>0</v>
      </c>
      <c r="BA14" s="395"/>
      <c r="BB14" s="396"/>
      <c r="BC14" s="397"/>
      <c r="BD14" s="398">
        <f t="shared" si="6"/>
        <v>8</v>
      </c>
      <c r="BE14" s="399">
        <f t="shared" si="14"/>
        <v>5</v>
      </c>
      <c r="BF14" s="400">
        <v>1</v>
      </c>
      <c r="BG14" s="400">
        <v>4</v>
      </c>
      <c r="BH14" s="401">
        <v>3</v>
      </c>
      <c r="BI14" s="402">
        <f t="shared" si="34"/>
        <v>8</v>
      </c>
      <c r="BJ14" s="403">
        <v>2</v>
      </c>
      <c r="BK14" s="404">
        <v>6</v>
      </c>
      <c r="BL14" s="405">
        <v>4</v>
      </c>
      <c r="BM14" s="406">
        <f t="shared" si="8"/>
        <v>15</v>
      </c>
      <c r="BN14" s="407">
        <f t="shared" si="9"/>
        <v>13</v>
      </c>
      <c r="BO14" s="12">
        <v>9</v>
      </c>
      <c r="BP14" s="12">
        <v>4</v>
      </c>
      <c r="BQ14" s="12">
        <v>2</v>
      </c>
      <c r="BR14" s="408">
        <f t="shared" si="10"/>
        <v>1.875</v>
      </c>
      <c r="BS14" s="409">
        <f t="shared" si="16"/>
        <v>0</v>
      </c>
      <c r="BT14" s="410"/>
      <c r="BU14" s="411"/>
      <c r="BV14" s="411"/>
      <c r="BW14" s="412">
        <f t="shared" si="11"/>
        <v>0</v>
      </c>
    </row>
    <row r="15" spans="1:76" ht="16.899999999999999" customHeight="1" x14ac:dyDescent="0.3">
      <c r="A15" s="8" t="s">
        <v>100</v>
      </c>
      <c r="B15" s="9" t="s">
        <v>22</v>
      </c>
      <c r="C15" s="9" t="s">
        <v>112</v>
      </c>
      <c r="D15" s="36" t="s">
        <v>113</v>
      </c>
      <c r="E15" s="10" t="s">
        <v>103</v>
      </c>
      <c r="F15" s="59">
        <v>50</v>
      </c>
      <c r="G15" s="369">
        <f t="shared" si="20"/>
        <v>0</v>
      </c>
      <c r="H15" s="370">
        <v>50</v>
      </c>
      <c r="I15" s="371">
        <v>35</v>
      </c>
      <c r="J15" s="371">
        <v>15</v>
      </c>
      <c r="K15" s="372">
        <v>10</v>
      </c>
      <c r="L15" s="373">
        <f t="shared" si="21"/>
        <v>0</v>
      </c>
      <c r="M15" s="373">
        <f t="shared" si="22"/>
        <v>0</v>
      </c>
      <c r="N15" s="374">
        <f t="shared" si="23"/>
        <v>0</v>
      </c>
      <c r="O15" s="374">
        <f t="shared" si="24"/>
        <v>0</v>
      </c>
      <c r="P15" s="375">
        <f t="shared" si="25"/>
        <v>0</v>
      </c>
      <c r="Q15" s="376">
        <f t="shared" si="26"/>
        <v>0</v>
      </c>
      <c r="R15" s="374">
        <f t="shared" si="27"/>
        <v>0</v>
      </c>
      <c r="S15" s="377"/>
      <c r="T15" s="377"/>
      <c r="U15" s="377"/>
      <c r="V15" s="378">
        <f t="shared" si="1"/>
        <v>0</v>
      </c>
      <c r="W15" s="379">
        <v>94</v>
      </c>
      <c r="X15" s="380"/>
      <c r="Y15" s="376">
        <f t="shared" si="28"/>
        <v>0</v>
      </c>
      <c r="Z15" s="374">
        <f t="shared" si="29"/>
        <v>0</v>
      </c>
      <c r="AA15" s="381"/>
      <c r="AB15" s="381"/>
      <c r="AC15" s="382"/>
      <c r="AD15" s="376">
        <f t="shared" si="30"/>
        <v>0</v>
      </c>
      <c r="AE15" s="374">
        <f t="shared" si="31"/>
        <v>0</v>
      </c>
      <c r="AF15" s="381"/>
      <c r="AG15" s="381"/>
      <c r="AH15" s="383"/>
      <c r="AI15" s="384">
        <f t="shared" si="32"/>
        <v>0</v>
      </c>
      <c r="AJ15" s="385"/>
      <c r="AK15" s="386"/>
      <c r="AL15" s="387"/>
      <c r="AM15" s="388">
        <f t="shared" si="3"/>
        <v>0</v>
      </c>
      <c r="AN15" s="389"/>
      <c r="AO15" s="390"/>
      <c r="AP15" s="390"/>
      <c r="AQ15" s="390"/>
      <c r="AR15" s="346" t="e">
        <f t="shared" si="4"/>
        <v>#DIV/0!</v>
      </c>
      <c r="AS15" s="391"/>
      <c r="AT15" s="392">
        <v>44</v>
      </c>
      <c r="AU15" s="11"/>
      <c r="AV15" s="48"/>
      <c r="AW15" s="52"/>
      <c r="AX15" s="393" t="e">
        <f t="shared" si="5"/>
        <v>#DIV/0!</v>
      </c>
      <c r="AY15" s="74">
        <v>156</v>
      </c>
      <c r="AZ15" s="394">
        <f t="shared" si="33"/>
        <v>0</v>
      </c>
      <c r="BA15" s="395"/>
      <c r="BB15" s="396"/>
      <c r="BC15" s="397"/>
      <c r="BD15" s="398">
        <f t="shared" si="6"/>
        <v>4</v>
      </c>
      <c r="BE15" s="399">
        <f t="shared" si="14"/>
        <v>1</v>
      </c>
      <c r="BF15" s="400">
        <v>1</v>
      </c>
      <c r="BG15" s="400">
        <v>0</v>
      </c>
      <c r="BH15" s="401">
        <v>3</v>
      </c>
      <c r="BI15" s="402">
        <f t="shared" si="34"/>
        <v>9</v>
      </c>
      <c r="BJ15" s="403">
        <v>3</v>
      </c>
      <c r="BK15" s="404">
        <v>6</v>
      </c>
      <c r="BL15" s="405">
        <v>4</v>
      </c>
      <c r="BM15" s="406">
        <f t="shared" si="8"/>
        <v>29</v>
      </c>
      <c r="BN15" s="407">
        <f t="shared" si="9"/>
        <v>27</v>
      </c>
      <c r="BO15" s="12">
        <v>20</v>
      </c>
      <c r="BP15" s="12">
        <v>7</v>
      </c>
      <c r="BQ15" s="12">
        <v>2</v>
      </c>
      <c r="BR15" s="408">
        <f t="shared" si="10"/>
        <v>3.2222222222222223</v>
      </c>
      <c r="BS15" s="409">
        <f t="shared" si="16"/>
        <v>0</v>
      </c>
      <c r="BT15" s="410"/>
      <c r="BU15" s="411"/>
      <c r="BV15" s="411"/>
      <c r="BW15" s="412">
        <f t="shared" si="11"/>
        <v>0</v>
      </c>
    </row>
    <row r="16" spans="1:76" ht="16.899999999999999" customHeight="1" x14ac:dyDescent="0.3">
      <c r="A16" s="8" t="s">
        <v>100</v>
      </c>
      <c r="B16" s="9" t="s">
        <v>22</v>
      </c>
      <c r="C16" s="9" t="s">
        <v>110</v>
      </c>
      <c r="D16" s="36" t="s">
        <v>114</v>
      </c>
      <c r="E16" s="10" t="s">
        <v>103</v>
      </c>
      <c r="F16" s="59">
        <v>25</v>
      </c>
      <c r="G16" s="369">
        <f t="shared" si="20"/>
        <v>0</v>
      </c>
      <c r="H16" s="370">
        <v>25</v>
      </c>
      <c r="I16" s="371">
        <v>17</v>
      </c>
      <c r="J16" s="371">
        <v>8</v>
      </c>
      <c r="K16" s="372">
        <v>5</v>
      </c>
      <c r="L16" s="373">
        <f t="shared" si="21"/>
        <v>0</v>
      </c>
      <c r="M16" s="373">
        <f t="shared" si="22"/>
        <v>0</v>
      </c>
      <c r="N16" s="374">
        <f t="shared" si="23"/>
        <v>0</v>
      </c>
      <c r="O16" s="374">
        <f t="shared" si="24"/>
        <v>0</v>
      </c>
      <c r="P16" s="375">
        <f t="shared" si="25"/>
        <v>0</v>
      </c>
      <c r="Q16" s="376">
        <f t="shared" si="26"/>
        <v>0</v>
      </c>
      <c r="R16" s="374">
        <f t="shared" si="27"/>
        <v>0</v>
      </c>
      <c r="S16" s="377"/>
      <c r="T16" s="377"/>
      <c r="U16" s="377"/>
      <c r="V16" s="378">
        <f t="shared" si="1"/>
        <v>0</v>
      </c>
      <c r="W16" s="379">
        <v>78.2</v>
      </c>
      <c r="X16" s="380"/>
      <c r="Y16" s="376">
        <f t="shared" si="28"/>
        <v>0</v>
      </c>
      <c r="Z16" s="374">
        <f t="shared" si="29"/>
        <v>0</v>
      </c>
      <c r="AA16" s="381"/>
      <c r="AB16" s="381"/>
      <c r="AC16" s="382"/>
      <c r="AD16" s="376">
        <f t="shared" si="30"/>
        <v>0</v>
      </c>
      <c r="AE16" s="374">
        <f t="shared" si="31"/>
        <v>0</v>
      </c>
      <c r="AF16" s="381"/>
      <c r="AG16" s="381"/>
      <c r="AH16" s="383"/>
      <c r="AI16" s="384">
        <f t="shared" si="32"/>
        <v>0</v>
      </c>
      <c r="AJ16" s="385"/>
      <c r="AK16" s="386"/>
      <c r="AL16" s="387"/>
      <c r="AM16" s="388">
        <f t="shared" si="3"/>
        <v>0</v>
      </c>
      <c r="AN16" s="389"/>
      <c r="AO16" s="390"/>
      <c r="AP16" s="390"/>
      <c r="AQ16" s="390"/>
      <c r="AR16" s="346" t="e">
        <f t="shared" si="4"/>
        <v>#DIV/0!</v>
      </c>
      <c r="AS16" s="391"/>
      <c r="AT16" s="392">
        <v>20</v>
      </c>
      <c r="AU16" s="11"/>
      <c r="AV16" s="48"/>
      <c r="AW16" s="52"/>
      <c r="AX16" s="393" t="e">
        <f t="shared" si="5"/>
        <v>#DIV/0!</v>
      </c>
      <c r="AY16" s="74">
        <v>281</v>
      </c>
      <c r="AZ16" s="394">
        <f t="shared" si="33"/>
        <v>0</v>
      </c>
      <c r="BA16" s="395"/>
      <c r="BB16" s="396"/>
      <c r="BC16" s="397"/>
      <c r="BD16" s="398">
        <f t="shared" si="6"/>
        <v>3</v>
      </c>
      <c r="BE16" s="399">
        <f t="shared" si="14"/>
        <v>1</v>
      </c>
      <c r="BF16" s="400">
        <v>0</v>
      </c>
      <c r="BG16" s="400">
        <v>1</v>
      </c>
      <c r="BH16" s="401">
        <v>2</v>
      </c>
      <c r="BI16" s="402">
        <f t="shared" si="34"/>
        <v>4</v>
      </c>
      <c r="BJ16" s="403">
        <v>1</v>
      </c>
      <c r="BK16" s="404">
        <v>3</v>
      </c>
      <c r="BL16" s="405">
        <v>3</v>
      </c>
      <c r="BM16" s="406">
        <f t="shared" si="8"/>
        <v>14</v>
      </c>
      <c r="BN16" s="407">
        <f t="shared" si="9"/>
        <v>11</v>
      </c>
      <c r="BO16" s="12">
        <v>7</v>
      </c>
      <c r="BP16" s="12">
        <v>4</v>
      </c>
      <c r="BQ16" s="12">
        <v>3</v>
      </c>
      <c r="BR16" s="408">
        <f t="shared" si="10"/>
        <v>3.5</v>
      </c>
      <c r="BS16" s="409">
        <f t="shared" si="16"/>
        <v>0</v>
      </c>
      <c r="BT16" s="410"/>
      <c r="BU16" s="411"/>
      <c r="BV16" s="411"/>
      <c r="BW16" s="412">
        <f t="shared" si="11"/>
        <v>0</v>
      </c>
    </row>
    <row r="17" spans="1:76" ht="16.899999999999999" customHeight="1" x14ac:dyDescent="0.3">
      <c r="A17" s="8" t="s">
        <v>100</v>
      </c>
      <c r="B17" s="9" t="s">
        <v>22</v>
      </c>
      <c r="C17" s="9" t="s">
        <v>115</v>
      </c>
      <c r="D17" s="36" t="s">
        <v>116</v>
      </c>
      <c r="E17" s="10" t="s">
        <v>103</v>
      </c>
      <c r="F17" s="59">
        <v>60</v>
      </c>
      <c r="G17" s="369">
        <f t="shared" si="20"/>
        <v>0</v>
      </c>
      <c r="H17" s="370">
        <v>60</v>
      </c>
      <c r="I17" s="371">
        <v>42</v>
      </c>
      <c r="J17" s="371">
        <v>18</v>
      </c>
      <c r="K17" s="372">
        <v>12</v>
      </c>
      <c r="L17" s="373">
        <f t="shared" si="21"/>
        <v>0</v>
      </c>
      <c r="M17" s="373">
        <f t="shared" si="22"/>
        <v>0</v>
      </c>
      <c r="N17" s="374">
        <f t="shared" si="23"/>
        <v>0</v>
      </c>
      <c r="O17" s="374">
        <f t="shared" si="24"/>
        <v>0</v>
      </c>
      <c r="P17" s="375">
        <f t="shared" si="25"/>
        <v>0</v>
      </c>
      <c r="Q17" s="376">
        <f t="shared" si="26"/>
        <v>0</v>
      </c>
      <c r="R17" s="374">
        <f t="shared" si="27"/>
        <v>0</v>
      </c>
      <c r="S17" s="377"/>
      <c r="T17" s="377"/>
      <c r="U17" s="377"/>
      <c r="V17" s="378">
        <f t="shared" si="1"/>
        <v>0</v>
      </c>
      <c r="W17" s="379">
        <v>76.5</v>
      </c>
      <c r="X17" s="380"/>
      <c r="Y17" s="376">
        <f t="shared" si="28"/>
        <v>0</v>
      </c>
      <c r="Z17" s="374">
        <f t="shared" si="29"/>
        <v>0</v>
      </c>
      <c r="AA17" s="381"/>
      <c r="AB17" s="381"/>
      <c r="AC17" s="382"/>
      <c r="AD17" s="376">
        <f t="shared" si="30"/>
        <v>0</v>
      </c>
      <c r="AE17" s="374">
        <f t="shared" si="31"/>
        <v>0</v>
      </c>
      <c r="AF17" s="381"/>
      <c r="AG17" s="381"/>
      <c r="AH17" s="383"/>
      <c r="AI17" s="384">
        <f t="shared" si="32"/>
        <v>0</v>
      </c>
      <c r="AJ17" s="385"/>
      <c r="AK17" s="386"/>
      <c r="AL17" s="387"/>
      <c r="AM17" s="388">
        <f t="shared" si="3"/>
        <v>0</v>
      </c>
      <c r="AN17" s="389"/>
      <c r="AO17" s="390"/>
      <c r="AP17" s="390"/>
      <c r="AQ17" s="390"/>
      <c r="AR17" s="346" t="e">
        <f t="shared" si="4"/>
        <v>#DIV/0!</v>
      </c>
      <c r="AS17" s="391"/>
      <c r="AT17" s="392">
        <v>55</v>
      </c>
      <c r="AU17" s="11"/>
      <c r="AV17" s="48"/>
      <c r="AW17" s="52"/>
      <c r="AX17" s="393" t="e">
        <f t="shared" si="5"/>
        <v>#DIV/0!</v>
      </c>
      <c r="AY17" s="74">
        <v>168</v>
      </c>
      <c r="AZ17" s="394">
        <f t="shared" si="33"/>
        <v>0</v>
      </c>
      <c r="BA17" s="395"/>
      <c r="BB17" s="396"/>
      <c r="BC17" s="397"/>
      <c r="BD17" s="398">
        <f t="shared" si="6"/>
        <v>2</v>
      </c>
      <c r="BE17" s="399">
        <f t="shared" si="14"/>
        <v>1</v>
      </c>
      <c r="BF17" s="400">
        <v>1</v>
      </c>
      <c r="BG17" s="400">
        <v>0</v>
      </c>
      <c r="BH17" s="401">
        <v>1</v>
      </c>
      <c r="BI17" s="402">
        <f t="shared" si="34"/>
        <v>10</v>
      </c>
      <c r="BJ17" s="403">
        <v>3</v>
      </c>
      <c r="BK17" s="404">
        <v>7</v>
      </c>
      <c r="BL17" s="405">
        <v>3</v>
      </c>
      <c r="BM17" s="406">
        <f t="shared" si="8"/>
        <v>113</v>
      </c>
      <c r="BN17" s="407">
        <f t="shared" si="9"/>
        <v>100</v>
      </c>
      <c r="BO17" s="12">
        <v>76</v>
      </c>
      <c r="BP17" s="12">
        <v>24</v>
      </c>
      <c r="BQ17" s="12">
        <v>13</v>
      </c>
      <c r="BR17" s="408">
        <f t="shared" si="10"/>
        <v>11.3</v>
      </c>
      <c r="BS17" s="409">
        <f t="shared" si="16"/>
        <v>0</v>
      </c>
      <c r="BT17" s="410"/>
      <c r="BU17" s="411"/>
      <c r="BV17" s="411"/>
      <c r="BW17" s="412">
        <f t="shared" si="11"/>
        <v>0</v>
      </c>
    </row>
    <row r="18" spans="1:76" ht="16.899999999999999" customHeight="1" x14ac:dyDescent="0.3">
      <c r="A18" s="8" t="s">
        <v>100</v>
      </c>
      <c r="B18" s="9" t="s">
        <v>22</v>
      </c>
      <c r="C18" s="9" t="s">
        <v>117</v>
      </c>
      <c r="D18" s="36" t="s">
        <v>118</v>
      </c>
      <c r="E18" s="10" t="s">
        <v>103</v>
      </c>
      <c r="F18" s="59">
        <v>50</v>
      </c>
      <c r="G18" s="369">
        <f t="shared" si="20"/>
        <v>0</v>
      </c>
      <c r="H18" s="370">
        <v>50</v>
      </c>
      <c r="I18" s="371">
        <v>35</v>
      </c>
      <c r="J18" s="371">
        <v>15</v>
      </c>
      <c r="K18" s="372">
        <v>10</v>
      </c>
      <c r="L18" s="373">
        <f t="shared" si="21"/>
        <v>0</v>
      </c>
      <c r="M18" s="373">
        <f t="shared" si="22"/>
        <v>0</v>
      </c>
      <c r="N18" s="374">
        <f t="shared" si="23"/>
        <v>0</v>
      </c>
      <c r="O18" s="374">
        <f t="shared" si="24"/>
        <v>0</v>
      </c>
      <c r="P18" s="375">
        <f t="shared" si="25"/>
        <v>0</v>
      </c>
      <c r="Q18" s="376">
        <f t="shared" si="26"/>
        <v>0</v>
      </c>
      <c r="R18" s="374">
        <f t="shared" si="27"/>
        <v>0</v>
      </c>
      <c r="S18" s="377"/>
      <c r="T18" s="377"/>
      <c r="U18" s="377"/>
      <c r="V18" s="378">
        <f t="shared" si="1"/>
        <v>0</v>
      </c>
      <c r="W18" s="379">
        <v>80.099999999999994</v>
      </c>
      <c r="X18" s="380"/>
      <c r="Y18" s="376">
        <f t="shared" si="28"/>
        <v>0</v>
      </c>
      <c r="Z18" s="374">
        <f t="shared" si="29"/>
        <v>0</v>
      </c>
      <c r="AA18" s="381"/>
      <c r="AB18" s="381"/>
      <c r="AC18" s="382"/>
      <c r="AD18" s="376">
        <f t="shared" si="30"/>
        <v>0</v>
      </c>
      <c r="AE18" s="374">
        <f t="shared" si="31"/>
        <v>0</v>
      </c>
      <c r="AF18" s="381"/>
      <c r="AG18" s="381"/>
      <c r="AH18" s="383"/>
      <c r="AI18" s="384">
        <f t="shared" si="32"/>
        <v>0</v>
      </c>
      <c r="AJ18" s="385"/>
      <c r="AK18" s="386"/>
      <c r="AL18" s="387"/>
      <c r="AM18" s="388">
        <f t="shared" si="3"/>
        <v>0</v>
      </c>
      <c r="AN18" s="389"/>
      <c r="AO18" s="390"/>
      <c r="AP18" s="390"/>
      <c r="AQ18" s="390"/>
      <c r="AR18" s="346" t="e">
        <f t="shared" si="4"/>
        <v>#DIV/0!</v>
      </c>
      <c r="AS18" s="391"/>
      <c r="AT18" s="392">
        <v>33</v>
      </c>
      <c r="AU18" s="11"/>
      <c r="AV18" s="48"/>
      <c r="AW18" s="52"/>
      <c r="AX18" s="393" t="e">
        <f t="shared" si="5"/>
        <v>#DIV/0!</v>
      </c>
      <c r="AY18" s="74">
        <v>319</v>
      </c>
      <c r="AZ18" s="394">
        <f t="shared" si="33"/>
        <v>0</v>
      </c>
      <c r="BA18" s="395"/>
      <c r="BB18" s="396"/>
      <c r="BC18" s="397"/>
      <c r="BD18" s="398">
        <f t="shared" si="6"/>
        <v>15</v>
      </c>
      <c r="BE18" s="399">
        <f t="shared" si="14"/>
        <v>12</v>
      </c>
      <c r="BF18" s="400">
        <v>9</v>
      </c>
      <c r="BG18" s="400">
        <v>3</v>
      </c>
      <c r="BH18" s="401">
        <v>3</v>
      </c>
      <c r="BI18" s="402">
        <f t="shared" si="34"/>
        <v>20</v>
      </c>
      <c r="BJ18" s="403">
        <v>11</v>
      </c>
      <c r="BK18" s="404">
        <v>9</v>
      </c>
      <c r="BL18" s="405">
        <v>4</v>
      </c>
      <c r="BM18" s="406">
        <f t="shared" si="8"/>
        <v>32</v>
      </c>
      <c r="BN18" s="407">
        <f t="shared" si="9"/>
        <v>30</v>
      </c>
      <c r="BO18" s="12">
        <v>22</v>
      </c>
      <c r="BP18" s="12">
        <v>8</v>
      </c>
      <c r="BQ18" s="12">
        <v>2</v>
      </c>
      <c r="BR18" s="408">
        <f t="shared" si="10"/>
        <v>1.6</v>
      </c>
      <c r="BS18" s="409">
        <f t="shared" si="16"/>
        <v>0</v>
      </c>
      <c r="BT18" s="410"/>
      <c r="BU18" s="411"/>
      <c r="BV18" s="411"/>
      <c r="BW18" s="412">
        <f t="shared" si="11"/>
        <v>0</v>
      </c>
    </row>
    <row r="19" spans="1:76" ht="16.899999999999999" customHeight="1" x14ac:dyDescent="0.3">
      <c r="A19" s="8" t="s">
        <v>100</v>
      </c>
      <c r="B19" s="9" t="s">
        <v>22</v>
      </c>
      <c r="C19" s="9" t="s">
        <v>112</v>
      </c>
      <c r="D19" s="38" t="s">
        <v>119</v>
      </c>
      <c r="E19" s="10" t="s">
        <v>103</v>
      </c>
      <c r="F19" s="59">
        <v>25</v>
      </c>
      <c r="G19" s="369">
        <f t="shared" si="20"/>
        <v>0</v>
      </c>
      <c r="H19" s="370">
        <v>25</v>
      </c>
      <c r="I19" s="371">
        <v>17</v>
      </c>
      <c r="J19" s="371">
        <v>8</v>
      </c>
      <c r="K19" s="372">
        <v>5</v>
      </c>
      <c r="L19" s="373">
        <f t="shared" si="21"/>
        <v>0</v>
      </c>
      <c r="M19" s="373">
        <f t="shared" si="22"/>
        <v>0</v>
      </c>
      <c r="N19" s="374">
        <f t="shared" si="23"/>
        <v>0</v>
      </c>
      <c r="O19" s="374">
        <f t="shared" si="24"/>
        <v>0</v>
      </c>
      <c r="P19" s="375">
        <f t="shared" si="25"/>
        <v>0</v>
      </c>
      <c r="Q19" s="376">
        <f t="shared" si="26"/>
        <v>0</v>
      </c>
      <c r="R19" s="374">
        <f t="shared" si="27"/>
        <v>0</v>
      </c>
      <c r="S19" s="377"/>
      <c r="T19" s="377"/>
      <c r="U19" s="377"/>
      <c r="V19" s="378">
        <f t="shared" si="1"/>
        <v>0</v>
      </c>
      <c r="W19" s="379">
        <v>60.5</v>
      </c>
      <c r="X19" s="380"/>
      <c r="Y19" s="376">
        <f t="shared" si="28"/>
        <v>0</v>
      </c>
      <c r="Z19" s="374">
        <f t="shared" si="29"/>
        <v>0</v>
      </c>
      <c r="AA19" s="381"/>
      <c r="AB19" s="381"/>
      <c r="AC19" s="382"/>
      <c r="AD19" s="376">
        <f t="shared" si="30"/>
        <v>0</v>
      </c>
      <c r="AE19" s="374">
        <f t="shared" si="31"/>
        <v>0</v>
      </c>
      <c r="AF19" s="381"/>
      <c r="AG19" s="381"/>
      <c r="AH19" s="383"/>
      <c r="AI19" s="384">
        <f t="shared" si="32"/>
        <v>0</v>
      </c>
      <c r="AJ19" s="385"/>
      <c r="AK19" s="386"/>
      <c r="AL19" s="387"/>
      <c r="AM19" s="388">
        <f t="shared" si="3"/>
        <v>0</v>
      </c>
      <c r="AN19" s="389"/>
      <c r="AO19" s="390"/>
      <c r="AP19" s="390"/>
      <c r="AQ19" s="390"/>
      <c r="AR19" s="346" t="e">
        <f t="shared" si="4"/>
        <v>#DIV/0!</v>
      </c>
      <c r="AS19" s="391"/>
      <c r="AT19" s="392">
        <v>15</v>
      </c>
      <c r="AU19" s="11"/>
      <c r="AV19" s="48"/>
      <c r="AW19" s="52"/>
      <c r="AX19" s="393" t="e">
        <f t="shared" si="5"/>
        <v>#DIV/0!</v>
      </c>
      <c r="AY19" s="74">
        <v>489</v>
      </c>
      <c r="AZ19" s="394">
        <f t="shared" si="33"/>
        <v>0</v>
      </c>
      <c r="BA19" s="395"/>
      <c r="BB19" s="396"/>
      <c r="BC19" s="397"/>
      <c r="BD19" s="398">
        <f t="shared" si="6"/>
        <v>8</v>
      </c>
      <c r="BE19" s="399">
        <f t="shared" si="14"/>
        <v>5</v>
      </c>
      <c r="BF19" s="400">
        <v>2</v>
      </c>
      <c r="BG19" s="400">
        <v>3</v>
      </c>
      <c r="BH19" s="401">
        <v>3</v>
      </c>
      <c r="BI19" s="402">
        <f t="shared" si="34"/>
        <v>8</v>
      </c>
      <c r="BJ19" s="403">
        <v>3</v>
      </c>
      <c r="BK19" s="404">
        <v>5</v>
      </c>
      <c r="BL19" s="405">
        <v>4</v>
      </c>
      <c r="BM19" s="406">
        <f t="shared" si="8"/>
        <v>12</v>
      </c>
      <c r="BN19" s="407">
        <f t="shared" si="9"/>
        <v>12</v>
      </c>
      <c r="BO19" s="12">
        <v>8</v>
      </c>
      <c r="BP19" s="12">
        <v>4</v>
      </c>
      <c r="BQ19" s="12">
        <v>0</v>
      </c>
      <c r="BR19" s="408">
        <f t="shared" si="10"/>
        <v>1.5</v>
      </c>
      <c r="BS19" s="409">
        <f t="shared" si="16"/>
        <v>0</v>
      </c>
      <c r="BT19" s="410"/>
      <c r="BU19" s="411"/>
      <c r="BV19" s="411"/>
      <c r="BW19" s="412">
        <f t="shared" si="11"/>
        <v>0</v>
      </c>
    </row>
    <row r="20" spans="1:76" ht="16.899999999999999" customHeight="1" x14ac:dyDescent="0.3">
      <c r="A20" s="8" t="s">
        <v>100</v>
      </c>
      <c r="B20" s="9" t="s">
        <v>22</v>
      </c>
      <c r="C20" s="9" t="s">
        <v>110</v>
      </c>
      <c r="D20" s="36" t="s">
        <v>120</v>
      </c>
      <c r="E20" s="10" t="s">
        <v>103</v>
      </c>
      <c r="F20" s="59">
        <v>25</v>
      </c>
      <c r="G20" s="369">
        <f t="shared" si="20"/>
        <v>0</v>
      </c>
      <c r="H20" s="370">
        <v>25</v>
      </c>
      <c r="I20" s="371">
        <v>17</v>
      </c>
      <c r="J20" s="371">
        <v>8</v>
      </c>
      <c r="K20" s="372">
        <v>5</v>
      </c>
      <c r="L20" s="373">
        <f t="shared" si="21"/>
        <v>0</v>
      </c>
      <c r="M20" s="373">
        <f t="shared" si="22"/>
        <v>0</v>
      </c>
      <c r="N20" s="374">
        <f t="shared" si="23"/>
        <v>0</v>
      </c>
      <c r="O20" s="374">
        <f t="shared" si="24"/>
        <v>0</v>
      </c>
      <c r="P20" s="375">
        <f t="shared" si="25"/>
        <v>0</v>
      </c>
      <c r="Q20" s="376">
        <f t="shared" si="26"/>
        <v>0</v>
      </c>
      <c r="R20" s="374">
        <f t="shared" si="27"/>
        <v>0</v>
      </c>
      <c r="S20" s="377"/>
      <c r="T20" s="377"/>
      <c r="U20" s="377"/>
      <c r="V20" s="378">
        <f t="shared" si="1"/>
        <v>0</v>
      </c>
      <c r="W20" s="379">
        <v>63.5</v>
      </c>
      <c r="X20" s="380"/>
      <c r="Y20" s="376">
        <f t="shared" si="28"/>
        <v>0</v>
      </c>
      <c r="Z20" s="374">
        <f t="shared" si="29"/>
        <v>0</v>
      </c>
      <c r="AA20" s="381"/>
      <c r="AB20" s="381"/>
      <c r="AC20" s="382"/>
      <c r="AD20" s="376">
        <f t="shared" si="30"/>
        <v>0</v>
      </c>
      <c r="AE20" s="374">
        <f t="shared" si="31"/>
        <v>0</v>
      </c>
      <c r="AF20" s="381"/>
      <c r="AG20" s="381"/>
      <c r="AH20" s="383"/>
      <c r="AI20" s="384">
        <f t="shared" si="32"/>
        <v>0</v>
      </c>
      <c r="AJ20" s="385"/>
      <c r="AK20" s="386"/>
      <c r="AL20" s="387"/>
      <c r="AM20" s="388">
        <f t="shared" si="3"/>
        <v>0</v>
      </c>
      <c r="AN20" s="389"/>
      <c r="AO20" s="390"/>
      <c r="AP20" s="390"/>
      <c r="AQ20" s="390"/>
      <c r="AR20" s="346" t="e">
        <f t="shared" si="4"/>
        <v>#DIV/0!</v>
      </c>
      <c r="AS20" s="391"/>
      <c r="AT20" s="392">
        <v>18</v>
      </c>
      <c r="AU20" s="11"/>
      <c r="AV20" s="48"/>
      <c r="AW20" s="52"/>
      <c r="AX20" s="393" t="e">
        <f t="shared" si="5"/>
        <v>#DIV/0!</v>
      </c>
      <c r="AY20" s="74">
        <v>142</v>
      </c>
      <c r="AZ20" s="394">
        <f t="shared" si="33"/>
        <v>0</v>
      </c>
      <c r="BA20" s="395"/>
      <c r="BB20" s="396"/>
      <c r="BC20" s="397"/>
      <c r="BD20" s="398">
        <f t="shared" si="6"/>
        <v>5</v>
      </c>
      <c r="BE20" s="399">
        <f t="shared" si="14"/>
        <v>3</v>
      </c>
      <c r="BF20" s="400">
        <v>2</v>
      </c>
      <c r="BG20" s="400">
        <v>1</v>
      </c>
      <c r="BH20" s="401">
        <v>2</v>
      </c>
      <c r="BI20" s="402">
        <f t="shared" si="34"/>
        <v>6</v>
      </c>
      <c r="BJ20" s="403">
        <v>3</v>
      </c>
      <c r="BK20" s="404">
        <v>3</v>
      </c>
      <c r="BL20" s="405">
        <v>3</v>
      </c>
      <c r="BM20" s="406">
        <f t="shared" si="8"/>
        <v>10</v>
      </c>
      <c r="BN20" s="407">
        <f t="shared" si="9"/>
        <v>8</v>
      </c>
      <c r="BO20" s="12">
        <v>8</v>
      </c>
      <c r="BP20" s="12">
        <v>0</v>
      </c>
      <c r="BQ20" s="12">
        <v>2</v>
      </c>
      <c r="BR20" s="408">
        <f t="shared" si="10"/>
        <v>1.6666666666666667</v>
      </c>
      <c r="BS20" s="409">
        <f t="shared" si="16"/>
        <v>0</v>
      </c>
      <c r="BT20" s="410"/>
      <c r="BU20" s="411"/>
      <c r="BV20" s="411"/>
      <c r="BW20" s="412">
        <f t="shared" si="11"/>
        <v>0</v>
      </c>
    </row>
    <row r="21" spans="1:76" ht="16.899999999999999" customHeight="1" x14ac:dyDescent="0.3">
      <c r="A21" s="4" t="s">
        <v>100</v>
      </c>
      <c r="B21" s="100" t="s">
        <v>23</v>
      </c>
      <c r="C21" s="5"/>
      <c r="D21" s="13" t="s">
        <v>21</v>
      </c>
      <c r="E21" s="6"/>
      <c r="F21" s="58">
        <f t="shared" ref="F21:U21" si="35">SUM(F22:F27)</f>
        <v>225</v>
      </c>
      <c r="G21" s="7">
        <f t="shared" si="35"/>
        <v>0</v>
      </c>
      <c r="H21" s="7">
        <f t="shared" si="35"/>
        <v>225</v>
      </c>
      <c r="I21" s="7">
        <f t="shared" si="35"/>
        <v>153</v>
      </c>
      <c r="J21" s="7">
        <f t="shared" si="35"/>
        <v>72</v>
      </c>
      <c r="K21" s="69">
        <f t="shared" si="35"/>
        <v>45</v>
      </c>
      <c r="L21" s="413">
        <f t="shared" si="35"/>
        <v>0</v>
      </c>
      <c r="M21" s="413">
        <f t="shared" si="35"/>
        <v>0</v>
      </c>
      <c r="N21" s="413">
        <f t="shared" si="35"/>
        <v>0</v>
      </c>
      <c r="O21" s="413">
        <f t="shared" si="35"/>
        <v>0</v>
      </c>
      <c r="P21" s="414">
        <f t="shared" si="35"/>
        <v>0</v>
      </c>
      <c r="Q21" s="415">
        <f t="shared" si="35"/>
        <v>0</v>
      </c>
      <c r="R21" s="416">
        <f t="shared" si="35"/>
        <v>0</v>
      </c>
      <c r="S21" s="416">
        <f t="shared" si="35"/>
        <v>0</v>
      </c>
      <c r="T21" s="416">
        <f t="shared" si="35"/>
        <v>0</v>
      </c>
      <c r="U21" s="416">
        <f t="shared" si="35"/>
        <v>0</v>
      </c>
      <c r="V21" s="334">
        <f t="shared" si="1"/>
        <v>0</v>
      </c>
      <c r="W21" s="335">
        <f t="shared" ref="W21:AI21" si="36">SUM(W22:W27)</f>
        <v>447.5</v>
      </c>
      <c r="X21" s="413">
        <f t="shared" si="36"/>
        <v>0</v>
      </c>
      <c r="Y21" s="415">
        <f t="shared" si="36"/>
        <v>0</v>
      </c>
      <c r="Z21" s="416">
        <f t="shared" si="36"/>
        <v>0</v>
      </c>
      <c r="AA21" s="416">
        <f t="shared" si="36"/>
        <v>0</v>
      </c>
      <c r="AB21" s="416">
        <f t="shared" si="36"/>
        <v>0</v>
      </c>
      <c r="AC21" s="417">
        <f t="shared" si="36"/>
        <v>0</v>
      </c>
      <c r="AD21" s="415">
        <f t="shared" si="36"/>
        <v>0</v>
      </c>
      <c r="AE21" s="416">
        <f t="shared" si="36"/>
        <v>0</v>
      </c>
      <c r="AF21" s="416">
        <f t="shared" si="36"/>
        <v>0</v>
      </c>
      <c r="AG21" s="416">
        <f t="shared" si="36"/>
        <v>0</v>
      </c>
      <c r="AH21" s="418">
        <f t="shared" si="36"/>
        <v>0</v>
      </c>
      <c r="AI21" s="419">
        <f t="shared" si="36"/>
        <v>0</v>
      </c>
      <c r="AJ21" s="420"/>
      <c r="AK21" s="421"/>
      <c r="AL21" s="422"/>
      <c r="AM21" s="420">
        <f t="shared" si="3"/>
        <v>0</v>
      </c>
      <c r="AN21" s="344"/>
      <c r="AO21" s="423"/>
      <c r="AP21" s="423"/>
      <c r="AQ21" s="423"/>
      <c r="AR21" s="346" t="e">
        <f t="shared" si="4"/>
        <v>#DIV/0!</v>
      </c>
      <c r="AS21" s="424">
        <v>0.97499999999999998</v>
      </c>
      <c r="AT21" s="425">
        <f>SUM(AT22:AT27)</f>
        <v>155</v>
      </c>
      <c r="AU21" s="426"/>
      <c r="AV21" s="349"/>
      <c r="AW21" s="351"/>
      <c r="AX21" s="352" t="e">
        <f t="shared" si="5"/>
        <v>#DIV/0!</v>
      </c>
      <c r="AY21" s="427">
        <v>0.66700000000000004</v>
      </c>
      <c r="AZ21" s="354">
        <f>SUM(AZ22:AZ27)</f>
        <v>0</v>
      </c>
      <c r="BA21" s="340"/>
      <c r="BB21" s="340"/>
      <c r="BC21" s="355"/>
      <c r="BD21" s="356">
        <f t="shared" si="6"/>
        <v>58</v>
      </c>
      <c r="BE21" s="356">
        <f t="shared" si="14"/>
        <v>35</v>
      </c>
      <c r="BF21" s="357">
        <f t="shared" ref="BF21:BL21" si="37">SUM(BF22:BF27)</f>
        <v>12</v>
      </c>
      <c r="BG21" s="357">
        <f t="shared" si="37"/>
        <v>23</v>
      </c>
      <c r="BH21" s="358">
        <f t="shared" si="37"/>
        <v>23</v>
      </c>
      <c r="BI21" s="428">
        <f t="shared" si="37"/>
        <v>59</v>
      </c>
      <c r="BJ21" s="429">
        <f t="shared" si="37"/>
        <v>21</v>
      </c>
      <c r="BK21" s="430">
        <f t="shared" si="37"/>
        <v>38</v>
      </c>
      <c r="BL21" s="431">
        <f t="shared" si="37"/>
        <v>29</v>
      </c>
      <c r="BM21" s="363">
        <f t="shared" si="8"/>
        <v>138</v>
      </c>
      <c r="BN21" s="356">
        <f t="shared" si="9"/>
        <v>124</v>
      </c>
      <c r="BO21" s="357">
        <f>SUM(BO22:BO27)</f>
        <v>100</v>
      </c>
      <c r="BP21" s="357">
        <f>SUM(BP22:BP27)</f>
        <v>24</v>
      </c>
      <c r="BQ21" s="357">
        <f>SUM(BQ22:BQ27)</f>
        <v>14</v>
      </c>
      <c r="BR21" s="432">
        <f t="shared" si="10"/>
        <v>2.3389830508474576</v>
      </c>
      <c r="BS21" s="366">
        <f t="shared" si="16"/>
        <v>0</v>
      </c>
      <c r="BT21" s="367">
        <f>SUM(BT22:BT27)</f>
        <v>0</v>
      </c>
      <c r="BU21" s="367">
        <f>SUM(BU22:BU27)</f>
        <v>0</v>
      </c>
      <c r="BV21" s="367">
        <f>SUM(BV22:BV27)</f>
        <v>0</v>
      </c>
      <c r="BW21" s="368">
        <f t="shared" si="11"/>
        <v>0</v>
      </c>
      <c r="BX21" t="s">
        <v>23</v>
      </c>
    </row>
    <row r="22" spans="1:76" ht="16.899999999999999" customHeight="1" x14ac:dyDescent="0.3">
      <c r="A22" s="8" t="s">
        <v>100</v>
      </c>
      <c r="B22" s="25" t="s">
        <v>23</v>
      </c>
      <c r="C22" s="14" t="s">
        <v>106</v>
      </c>
      <c r="D22" s="39" t="s">
        <v>121</v>
      </c>
      <c r="E22" s="15" t="s">
        <v>103</v>
      </c>
      <c r="F22" s="59">
        <v>50</v>
      </c>
      <c r="G22" s="369">
        <f t="shared" ref="G22:G27" si="38">L22/F22</f>
        <v>0</v>
      </c>
      <c r="H22" s="370">
        <v>50</v>
      </c>
      <c r="I22" s="371">
        <v>35</v>
      </c>
      <c r="J22" s="371">
        <v>15</v>
      </c>
      <c r="K22" s="372">
        <v>10</v>
      </c>
      <c r="L22" s="373">
        <f t="shared" ref="L22:L27" si="39">N22+O22+P22</f>
        <v>0</v>
      </c>
      <c r="M22" s="373">
        <f t="shared" ref="M22:M27" si="40">N22+O22</f>
        <v>0</v>
      </c>
      <c r="N22" s="374">
        <f t="shared" ref="N22:P27" si="41">AA22+AF22</f>
        <v>0</v>
      </c>
      <c r="O22" s="374">
        <f t="shared" si="41"/>
        <v>0</v>
      </c>
      <c r="P22" s="375">
        <f t="shared" si="41"/>
        <v>0</v>
      </c>
      <c r="Q22" s="376">
        <f t="shared" ref="Q22:Q27" si="42">R22+U22</f>
        <v>0</v>
      </c>
      <c r="R22" s="374">
        <f t="shared" ref="R22:R27" si="43">S22+T22</f>
        <v>0</v>
      </c>
      <c r="S22" s="377"/>
      <c r="T22" s="377"/>
      <c r="U22" s="377"/>
      <c r="V22" s="378">
        <f t="shared" si="1"/>
        <v>0</v>
      </c>
      <c r="W22" s="379">
        <v>88</v>
      </c>
      <c r="X22" s="380"/>
      <c r="Y22" s="376">
        <f t="shared" ref="Y22:Y27" si="44">Z22+AC22</f>
        <v>0</v>
      </c>
      <c r="Z22" s="374">
        <f t="shared" ref="Z22:Z27" si="45">AA22+AB22</f>
        <v>0</v>
      </c>
      <c r="AA22" s="381"/>
      <c r="AB22" s="381"/>
      <c r="AC22" s="382"/>
      <c r="AD22" s="376">
        <f t="shared" ref="AD22:AD27" si="46">AE22+AH22</f>
        <v>0</v>
      </c>
      <c r="AE22" s="374">
        <f t="shared" ref="AE22:AE27" si="47">AF22+AG22</f>
        <v>0</v>
      </c>
      <c r="AF22" s="381"/>
      <c r="AG22" s="381"/>
      <c r="AH22" s="383"/>
      <c r="AI22" s="433">
        <f t="shared" ref="AI22:AI27" si="48">AJ22+AK22</f>
        <v>0</v>
      </c>
      <c r="AJ22" s="385"/>
      <c r="AK22" s="386"/>
      <c r="AL22" s="387"/>
      <c r="AM22" s="434">
        <f t="shared" si="3"/>
        <v>0</v>
      </c>
      <c r="AN22" s="389"/>
      <c r="AO22" s="435"/>
      <c r="AP22" s="435"/>
      <c r="AQ22" s="435"/>
      <c r="AR22" s="346" t="e">
        <f t="shared" si="4"/>
        <v>#DIV/0!</v>
      </c>
      <c r="AS22" s="436"/>
      <c r="AT22" s="392">
        <v>40</v>
      </c>
      <c r="AU22" s="49"/>
      <c r="AV22" s="16"/>
      <c r="AW22" s="52"/>
      <c r="AX22" s="393" t="e">
        <f t="shared" si="5"/>
        <v>#DIV/0!</v>
      </c>
      <c r="AY22" s="77">
        <v>181</v>
      </c>
      <c r="AZ22" s="437">
        <f t="shared" ref="AZ22:AZ27" si="49">BA22+BB22</f>
        <v>0</v>
      </c>
      <c r="BA22" s="85"/>
      <c r="BB22" s="48"/>
      <c r="BC22" s="86"/>
      <c r="BD22" s="398">
        <f t="shared" si="6"/>
        <v>8</v>
      </c>
      <c r="BE22" s="399">
        <f t="shared" si="14"/>
        <v>2</v>
      </c>
      <c r="BF22" s="400">
        <v>0</v>
      </c>
      <c r="BG22" s="400">
        <v>2</v>
      </c>
      <c r="BH22" s="401">
        <v>6</v>
      </c>
      <c r="BI22" s="402">
        <f t="shared" ref="BI22:BI27" si="50">SUM(BJ22:BK22)</f>
        <v>7</v>
      </c>
      <c r="BJ22" s="403">
        <v>2</v>
      </c>
      <c r="BK22" s="404">
        <v>5</v>
      </c>
      <c r="BL22" s="405">
        <v>7</v>
      </c>
      <c r="BM22" s="406">
        <f t="shared" si="8"/>
        <v>40</v>
      </c>
      <c r="BN22" s="407">
        <f t="shared" si="9"/>
        <v>38</v>
      </c>
      <c r="BO22" s="12">
        <v>30</v>
      </c>
      <c r="BP22" s="12">
        <v>8</v>
      </c>
      <c r="BQ22" s="12">
        <v>2</v>
      </c>
      <c r="BR22" s="408">
        <f t="shared" si="10"/>
        <v>5.7142857142857144</v>
      </c>
      <c r="BS22" s="409">
        <f t="shared" si="16"/>
        <v>0</v>
      </c>
      <c r="BT22" s="410"/>
      <c r="BU22" s="411"/>
      <c r="BV22" s="411"/>
      <c r="BW22" s="412">
        <f t="shared" si="11"/>
        <v>0</v>
      </c>
    </row>
    <row r="23" spans="1:76" ht="16.899999999999999" customHeight="1" x14ac:dyDescent="0.3">
      <c r="A23" s="8" t="s">
        <v>100</v>
      </c>
      <c r="B23" s="25" t="s">
        <v>23</v>
      </c>
      <c r="C23" s="14" t="s">
        <v>122</v>
      </c>
      <c r="D23" s="39" t="s">
        <v>123</v>
      </c>
      <c r="E23" s="15" t="s">
        <v>103</v>
      </c>
      <c r="F23" s="59">
        <v>25</v>
      </c>
      <c r="G23" s="369">
        <f t="shared" si="38"/>
        <v>0</v>
      </c>
      <c r="H23" s="370">
        <v>25</v>
      </c>
      <c r="I23" s="371">
        <v>16</v>
      </c>
      <c r="J23" s="371">
        <v>9</v>
      </c>
      <c r="K23" s="372">
        <v>5</v>
      </c>
      <c r="L23" s="373">
        <f t="shared" si="39"/>
        <v>0</v>
      </c>
      <c r="M23" s="373">
        <f t="shared" si="40"/>
        <v>0</v>
      </c>
      <c r="N23" s="374">
        <f t="shared" si="41"/>
        <v>0</v>
      </c>
      <c r="O23" s="374">
        <f t="shared" si="41"/>
        <v>0</v>
      </c>
      <c r="P23" s="375">
        <f t="shared" si="41"/>
        <v>0</v>
      </c>
      <c r="Q23" s="376">
        <f t="shared" si="42"/>
        <v>0</v>
      </c>
      <c r="R23" s="374">
        <f t="shared" si="43"/>
        <v>0</v>
      </c>
      <c r="S23" s="377"/>
      <c r="T23" s="377"/>
      <c r="U23" s="377"/>
      <c r="V23" s="378">
        <f t="shared" si="1"/>
        <v>0</v>
      </c>
      <c r="W23" s="379">
        <v>62.4</v>
      </c>
      <c r="X23" s="380"/>
      <c r="Y23" s="376">
        <f t="shared" si="44"/>
        <v>0</v>
      </c>
      <c r="Z23" s="374">
        <f t="shared" si="45"/>
        <v>0</v>
      </c>
      <c r="AA23" s="381"/>
      <c r="AB23" s="381"/>
      <c r="AC23" s="382"/>
      <c r="AD23" s="376">
        <f t="shared" si="46"/>
        <v>0</v>
      </c>
      <c r="AE23" s="374">
        <f t="shared" si="47"/>
        <v>0</v>
      </c>
      <c r="AF23" s="381"/>
      <c r="AG23" s="381"/>
      <c r="AH23" s="383"/>
      <c r="AI23" s="433">
        <f t="shared" si="48"/>
        <v>0</v>
      </c>
      <c r="AJ23" s="385"/>
      <c r="AK23" s="386"/>
      <c r="AL23" s="387"/>
      <c r="AM23" s="434">
        <f t="shared" si="3"/>
        <v>0</v>
      </c>
      <c r="AN23" s="389"/>
      <c r="AO23" s="435"/>
      <c r="AP23" s="435"/>
      <c r="AQ23" s="435"/>
      <c r="AR23" s="346" t="e">
        <f t="shared" si="4"/>
        <v>#DIV/0!</v>
      </c>
      <c r="AS23" s="436"/>
      <c r="AT23" s="392">
        <v>22</v>
      </c>
      <c r="AU23" s="49"/>
      <c r="AV23" s="16"/>
      <c r="AW23" s="52"/>
      <c r="AX23" s="393" t="e">
        <f t="shared" si="5"/>
        <v>#DIV/0!</v>
      </c>
      <c r="AY23" s="77">
        <v>369</v>
      </c>
      <c r="AZ23" s="437">
        <f t="shared" si="49"/>
        <v>0</v>
      </c>
      <c r="BA23" s="85"/>
      <c r="BB23" s="48"/>
      <c r="BC23" s="86"/>
      <c r="BD23" s="398">
        <f t="shared" si="6"/>
        <v>1</v>
      </c>
      <c r="BE23" s="399">
        <f t="shared" si="14"/>
        <v>0</v>
      </c>
      <c r="BF23" s="400">
        <v>-3</v>
      </c>
      <c r="BG23" s="400">
        <v>3</v>
      </c>
      <c r="BH23" s="401">
        <v>1</v>
      </c>
      <c r="BI23" s="402">
        <f t="shared" si="50"/>
        <v>3</v>
      </c>
      <c r="BJ23" s="403">
        <v>-2</v>
      </c>
      <c r="BK23" s="404">
        <v>5</v>
      </c>
      <c r="BL23" s="405">
        <v>2</v>
      </c>
      <c r="BM23" s="406">
        <f t="shared" si="8"/>
        <v>20</v>
      </c>
      <c r="BN23" s="407">
        <f t="shared" si="9"/>
        <v>16</v>
      </c>
      <c r="BO23" s="12">
        <v>13</v>
      </c>
      <c r="BP23" s="12">
        <v>3</v>
      </c>
      <c r="BQ23" s="12">
        <v>4</v>
      </c>
      <c r="BR23" s="408">
        <f t="shared" si="10"/>
        <v>6.666666666666667</v>
      </c>
      <c r="BS23" s="409">
        <f t="shared" si="16"/>
        <v>0</v>
      </c>
      <c r="BT23" s="410"/>
      <c r="BU23" s="411"/>
      <c r="BV23" s="411"/>
      <c r="BW23" s="412">
        <f t="shared" si="11"/>
        <v>0</v>
      </c>
    </row>
    <row r="24" spans="1:76" ht="16.899999999999999" customHeight="1" x14ac:dyDescent="0.3">
      <c r="A24" s="8" t="s">
        <v>100</v>
      </c>
      <c r="B24" s="25" t="s">
        <v>23</v>
      </c>
      <c r="C24" s="14" t="s">
        <v>110</v>
      </c>
      <c r="D24" s="39" t="s">
        <v>124</v>
      </c>
      <c r="E24" s="15" t="s">
        <v>103</v>
      </c>
      <c r="F24" s="59">
        <v>25</v>
      </c>
      <c r="G24" s="369">
        <f t="shared" si="38"/>
        <v>0</v>
      </c>
      <c r="H24" s="370">
        <v>25</v>
      </c>
      <c r="I24" s="371">
        <v>16</v>
      </c>
      <c r="J24" s="371">
        <v>9</v>
      </c>
      <c r="K24" s="372">
        <v>5</v>
      </c>
      <c r="L24" s="373">
        <f t="shared" si="39"/>
        <v>0</v>
      </c>
      <c r="M24" s="373">
        <f t="shared" si="40"/>
        <v>0</v>
      </c>
      <c r="N24" s="374">
        <f t="shared" si="41"/>
        <v>0</v>
      </c>
      <c r="O24" s="374">
        <f t="shared" si="41"/>
        <v>0</v>
      </c>
      <c r="P24" s="375">
        <f t="shared" si="41"/>
        <v>0</v>
      </c>
      <c r="Q24" s="376">
        <f t="shared" si="42"/>
        <v>0</v>
      </c>
      <c r="R24" s="374">
        <f t="shared" si="43"/>
        <v>0</v>
      </c>
      <c r="S24" s="377"/>
      <c r="T24" s="377"/>
      <c r="U24" s="377"/>
      <c r="V24" s="378">
        <f t="shared" si="1"/>
        <v>0</v>
      </c>
      <c r="W24" s="379">
        <v>87.6</v>
      </c>
      <c r="X24" s="380"/>
      <c r="Y24" s="376">
        <f t="shared" si="44"/>
        <v>0</v>
      </c>
      <c r="Z24" s="374">
        <f t="shared" si="45"/>
        <v>0</v>
      </c>
      <c r="AA24" s="381"/>
      <c r="AB24" s="381"/>
      <c r="AC24" s="382"/>
      <c r="AD24" s="376">
        <f t="shared" si="46"/>
        <v>0</v>
      </c>
      <c r="AE24" s="374">
        <f t="shared" si="47"/>
        <v>0</v>
      </c>
      <c r="AF24" s="381"/>
      <c r="AG24" s="381"/>
      <c r="AH24" s="383"/>
      <c r="AI24" s="433">
        <f t="shared" si="48"/>
        <v>0</v>
      </c>
      <c r="AJ24" s="385"/>
      <c r="AK24" s="386"/>
      <c r="AL24" s="387"/>
      <c r="AM24" s="434">
        <f t="shared" si="3"/>
        <v>0</v>
      </c>
      <c r="AN24" s="389"/>
      <c r="AO24" s="435"/>
      <c r="AP24" s="435"/>
      <c r="AQ24" s="435"/>
      <c r="AR24" s="346" t="e">
        <f t="shared" si="4"/>
        <v>#DIV/0!</v>
      </c>
      <c r="AS24" s="436"/>
      <c r="AT24" s="392">
        <v>14</v>
      </c>
      <c r="AU24" s="49"/>
      <c r="AV24" s="16"/>
      <c r="AW24" s="52"/>
      <c r="AX24" s="393" t="e">
        <f t="shared" si="5"/>
        <v>#DIV/0!</v>
      </c>
      <c r="AY24" s="77">
        <v>416</v>
      </c>
      <c r="AZ24" s="437">
        <f t="shared" si="49"/>
        <v>0</v>
      </c>
      <c r="BA24" s="85"/>
      <c r="BB24" s="48"/>
      <c r="BC24" s="86"/>
      <c r="BD24" s="398">
        <f t="shared" si="6"/>
        <v>9</v>
      </c>
      <c r="BE24" s="399">
        <f t="shared" si="14"/>
        <v>8</v>
      </c>
      <c r="BF24" s="400">
        <v>3</v>
      </c>
      <c r="BG24" s="400">
        <v>5</v>
      </c>
      <c r="BH24" s="401">
        <v>1</v>
      </c>
      <c r="BI24" s="402">
        <f t="shared" si="50"/>
        <v>11</v>
      </c>
      <c r="BJ24" s="403">
        <v>4</v>
      </c>
      <c r="BK24" s="404">
        <v>7</v>
      </c>
      <c r="BL24" s="405">
        <v>2</v>
      </c>
      <c r="BM24" s="406">
        <f t="shared" si="8"/>
        <v>19</v>
      </c>
      <c r="BN24" s="407">
        <f t="shared" si="9"/>
        <v>18</v>
      </c>
      <c r="BO24" s="12">
        <v>16</v>
      </c>
      <c r="BP24" s="12">
        <v>2</v>
      </c>
      <c r="BQ24" s="12">
        <v>1</v>
      </c>
      <c r="BR24" s="408">
        <f t="shared" si="10"/>
        <v>1.7272727272727273</v>
      </c>
      <c r="BS24" s="409">
        <f t="shared" si="16"/>
        <v>0</v>
      </c>
      <c r="BT24" s="410"/>
      <c r="BU24" s="411"/>
      <c r="BV24" s="411"/>
      <c r="BW24" s="412">
        <f t="shared" si="11"/>
        <v>0</v>
      </c>
    </row>
    <row r="25" spans="1:76" ht="16.899999999999999" customHeight="1" x14ac:dyDescent="0.3">
      <c r="A25" s="8" t="s">
        <v>100</v>
      </c>
      <c r="B25" s="25" t="s">
        <v>23</v>
      </c>
      <c r="C25" s="14" t="s">
        <v>110</v>
      </c>
      <c r="D25" s="39" t="s">
        <v>125</v>
      </c>
      <c r="E25" s="15" t="s">
        <v>103</v>
      </c>
      <c r="F25" s="59">
        <v>25</v>
      </c>
      <c r="G25" s="369">
        <f t="shared" si="38"/>
        <v>0</v>
      </c>
      <c r="H25" s="370">
        <v>25</v>
      </c>
      <c r="I25" s="371">
        <v>16</v>
      </c>
      <c r="J25" s="371">
        <v>9</v>
      </c>
      <c r="K25" s="372">
        <v>5</v>
      </c>
      <c r="L25" s="373">
        <f t="shared" si="39"/>
        <v>0</v>
      </c>
      <c r="M25" s="373">
        <f t="shared" si="40"/>
        <v>0</v>
      </c>
      <c r="N25" s="374">
        <f t="shared" si="41"/>
        <v>0</v>
      </c>
      <c r="O25" s="374">
        <f t="shared" si="41"/>
        <v>0</v>
      </c>
      <c r="P25" s="375">
        <f t="shared" si="41"/>
        <v>0</v>
      </c>
      <c r="Q25" s="376">
        <f t="shared" si="42"/>
        <v>0</v>
      </c>
      <c r="R25" s="374">
        <f t="shared" si="43"/>
        <v>0</v>
      </c>
      <c r="S25" s="377"/>
      <c r="T25" s="377"/>
      <c r="U25" s="377"/>
      <c r="V25" s="378">
        <f t="shared" si="1"/>
        <v>0</v>
      </c>
      <c r="W25" s="379">
        <v>65.099999999999994</v>
      </c>
      <c r="X25" s="380"/>
      <c r="Y25" s="376">
        <f t="shared" si="44"/>
        <v>0</v>
      </c>
      <c r="Z25" s="374">
        <f t="shared" si="45"/>
        <v>0</v>
      </c>
      <c r="AA25" s="381"/>
      <c r="AB25" s="381"/>
      <c r="AC25" s="382"/>
      <c r="AD25" s="376">
        <f t="shared" si="46"/>
        <v>0</v>
      </c>
      <c r="AE25" s="374">
        <f t="shared" si="47"/>
        <v>0</v>
      </c>
      <c r="AF25" s="381"/>
      <c r="AG25" s="381"/>
      <c r="AH25" s="383"/>
      <c r="AI25" s="433">
        <f t="shared" si="48"/>
        <v>0</v>
      </c>
      <c r="AJ25" s="385"/>
      <c r="AK25" s="386"/>
      <c r="AL25" s="387"/>
      <c r="AM25" s="434">
        <f t="shared" si="3"/>
        <v>0</v>
      </c>
      <c r="AN25" s="389"/>
      <c r="AO25" s="435"/>
      <c r="AP25" s="435"/>
      <c r="AQ25" s="435"/>
      <c r="AR25" s="346" t="e">
        <f t="shared" si="4"/>
        <v>#DIV/0!</v>
      </c>
      <c r="AS25" s="436"/>
      <c r="AT25" s="392">
        <v>15</v>
      </c>
      <c r="AU25" s="49"/>
      <c r="AV25" s="16"/>
      <c r="AW25" s="52"/>
      <c r="AX25" s="393" t="e">
        <f t="shared" si="5"/>
        <v>#DIV/0!</v>
      </c>
      <c r="AY25" s="77">
        <v>59</v>
      </c>
      <c r="AZ25" s="437">
        <f t="shared" si="49"/>
        <v>0</v>
      </c>
      <c r="BA25" s="85"/>
      <c r="BB25" s="48"/>
      <c r="BC25" s="86"/>
      <c r="BD25" s="398">
        <f t="shared" si="6"/>
        <v>8</v>
      </c>
      <c r="BE25" s="399">
        <f t="shared" si="14"/>
        <v>6</v>
      </c>
      <c r="BF25" s="400">
        <v>4</v>
      </c>
      <c r="BG25" s="400">
        <v>2</v>
      </c>
      <c r="BH25" s="401">
        <v>2</v>
      </c>
      <c r="BI25" s="402">
        <f t="shared" si="50"/>
        <v>9</v>
      </c>
      <c r="BJ25" s="403">
        <v>5</v>
      </c>
      <c r="BK25" s="404">
        <v>4</v>
      </c>
      <c r="BL25" s="405">
        <v>3</v>
      </c>
      <c r="BM25" s="406">
        <f t="shared" si="8"/>
        <v>11</v>
      </c>
      <c r="BN25" s="407">
        <f t="shared" si="9"/>
        <v>8</v>
      </c>
      <c r="BO25" s="12">
        <v>7</v>
      </c>
      <c r="BP25" s="12">
        <v>1</v>
      </c>
      <c r="BQ25" s="12">
        <v>3</v>
      </c>
      <c r="BR25" s="408">
        <f t="shared" si="10"/>
        <v>1.2222222222222223</v>
      </c>
      <c r="BS25" s="409">
        <f t="shared" si="16"/>
        <v>0</v>
      </c>
      <c r="BT25" s="410"/>
      <c r="BU25" s="411"/>
      <c r="BV25" s="438"/>
      <c r="BW25" s="412">
        <f t="shared" si="11"/>
        <v>0</v>
      </c>
    </row>
    <row r="26" spans="1:76" ht="16.899999999999999" customHeight="1" x14ac:dyDescent="0.3">
      <c r="A26" s="8" t="s">
        <v>100</v>
      </c>
      <c r="B26" s="25" t="s">
        <v>23</v>
      </c>
      <c r="C26" s="14" t="s">
        <v>122</v>
      </c>
      <c r="D26" s="39" t="s">
        <v>126</v>
      </c>
      <c r="E26" s="15" t="s">
        <v>103</v>
      </c>
      <c r="F26" s="59">
        <v>50</v>
      </c>
      <c r="G26" s="369">
        <f t="shared" si="38"/>
        <v>0</v>
      </c>
      <c r="H26" s="370">
        <v>50</v>
      </c>
      <c r="I26" s="371">
        <v>35</v>
      </c>
      <c r="J26" s="371">
        <v>15</v>
      </c>
      <c r="K26" s="372">
        <v>10</v>
      </c>
      <c r="L26" s="373">
        <f t="shared" si="39"/>
        <v>0</v>
      </c>
      <c r="M26" s="373">
        <f t="shared" si="40"/>
        <v>0</v>
      </c>
      <c r="N26" s="374">
        <f t="shared" si="41"/>
        <v>0</v>
      </c>
      <c r="O26" s="374">
        <f t="shared" si="41"/>
        <v>0</v>
      </c>
      <c r="P26" s="375">
        <f t="shared" si="41"/>
        <v>0</v>
      </c>
      <c r="Q26" s="376">
        <f t="shared" si="42"/>
        <v>0</v>
      </c>
      <c r="R26" s="374">
        <f t="shared" si="43"/>
        <v>0</v>
      </c>
      <c r="S26" s="377"/>
      <c r="T26" s="377"/>
      <c r="U26" s="377"/>
      <c r="V26" s="378">
        <f t="shared" si="1"/>
        <v>0</v>
      </c>
      <c r="W26" s="379">
        <v>57.8</v>
      </c>
      <c r="X26" s="380"/>
      <c r="Y26" s="376">
        <f t="shared" si="44"/>
        <v>0</v>
      </c>
      <c r="Z26" s="374">
        <f t="shared" si="45"/>
        <v>0</v>
      </c>
      <c r="AA26" s="381"/>
      <c r="AB26" s="381"/>
      <c r="AC26" s="382"/>
      <c r="AD26" s="376">
        <f t="shared" si="46"/>
        <v>0</v>
      </c>
      <c r="AE26" s="374">
        <f t="shared" si="47"/>
        <v>0</v>
      </c>
      <c r="AF26" s="381"/>
      <c r="AG26" s="381"/>
      <c r="AH26" s="383"/>
      <c r="AI26" s="433">
        <f t="shared" si="48"/>
        <v>0</v>
      </c>
      <c r="AJ26" s="385"/>
      <c r="AK26" s="386"/>
      <c r="AL26" s="387"/>
      <c r="AM26" s="434">
        <f t="shared" si="3"/>
        <v>0</v>
      </c>
      <c r="AN26" s="389"/>
      <c r="AO26" s="435"/>
      <c r="AP26" s="435"/>
      <c r="AQ26" s="435"/>
      <c r="AR26" s="346" t="e">
        <f t="shared" si="4"/>
        <v>#DIV/0!</v>
      </c>
      <c r="AS26" s="436"/>
      <c r="AT26" s="392">
        <v>29</v>
      </c>
      <c r="AU26" s="49"/>
      <c r="AV26" s="16"/>
      <c r="AW26" s="52"/>
      <c r="AX26" s="393" t="e">
        <f t="shared" si="5"/>
        <v>#DIV/0!</v>
      </c>
      <c r="AY26" s="77">
        <v>472</v>
      </c>
      <c r="AZ26" s="437">
        <f t="shared" si="49"/>
        <v>0</v>
      </c>
      <c r="BA26" s="85"/>
      <c r="BB26" s="48"/>
      <c r="BC26" s="86"/>
      <c r="BD26" s="398">
        <f t="shared" si="6"/>
        <v>19</v>
      </c>
      <c r="BE26" s="399">
        <f t="shared" si="14"/>
        <v>14</v>
      </c>
      <c r="BF26" s="400">
        <v>9</v>
      </c>
      <c r="BG26" s="400">
        <v>5</v>
      </c>
      <c r="BH26" s="401">
        <v>5</v>
      </c>
      <c r="BI26" s="402">
        <f t="shared" si="50"/>
        <v>19</v>
      </c>
      <c r="BJ26" s="403">
        <v>11</v>
      </c>
      <c r="BK26" s="404">
        <v>8</v>
      </c>
      <c r="BL26" s="405">
        <v>6</v>
      </c>
      <c r="BM26" s="406">
        <f t="shared" si="8"/>
        <v>20</v>
      </c>
      <c r="BN26" s="407">
        <f t="shared" si="9"/>
        <v>19</v>
      </c>
      <c r="BO26" s="12">
        <v>18</v>
      </c>
      <c r="BP26" s="12">
        <v>1</v>
      </c>
      <c r="BQ26" s="12">
        <v>1</v>
      </c>
      <c r="BR26" s="408">
        <f t="shared" si="10"/>
        <v>1.0526315789473684</v>
      </c>
      <c r="BS26" s="409">
        <f t="shared" si="16"/>
        <v>0</v>
      </c>
      <c r="BT26" s="410"/>
      <c r="BU26" s="411"/>
      <c r="BV26" s="438"/>
      <c r="BW26" s="412">
        <f t="shared" si="11"/>
        <v>0</v>
      </c>
    </row>
    <row r="27" spans="1:76" ht="16.899999999999999" customHeight="1" x14ac:dyDescent="0.3">
      <c r="A27" s="8" t="s">
        <v>100</v>
      </c>
      <c r="B27" s="25" t="s">
        <v>23</v>
      </c>
      <c r="C27" s="14" t="s">
        <v>127</v>
      </c>
      <c r="D27" s="39" t="s">
        <v>128</v>
      </c>
      <c r="E27" s="15" t="s">
        <v>103</v>
      </c>
      <c r="F27" s="59">
        <v>50</v>
      </c>
      <c r="G27" s="369">
        <f t="shared" si="38"/>
        <v>0</v>
      </c>
      <c r="H27" s="370">
        <v>50</v>
      </c>
      <c r="I27" s="371">
        <v>35</v>
      </c>
      <c r="J27" s="371">
        <v>15</v>
      </c>
      <c r="K27" s="372">
        <v>10</v>
      </c>
      <c r="L27" s="373">
        <f t="shared" si="39"/>
        <v>0</v>
      </c>
      <c r="M27" s="373">
        <f t="shared" si="40"/>
        <v>0</v>
      </c>
      <c r="N27" s="374">
        <f t="shared" si="41"/>
        <v>0</v>
      </c>
      <c r="O27" s="374">
        <f t="shared" si="41"/>
        <v>0</v>
      </c>
      <c r="P27" s="375">
        <f t="shared" si="41"/>
        <v>0</v>
      </c>
      <c r="Q27" s="376">
        <f t="shared" si="42"/>
        <v>0</v>
      </c>
      <c r="R27" s="374">
        <f t="shared" si="43"/>
        <v>0</v>
      </c>
      <c r="S27" s="377"/>
      <c r="T27" s="377"/>
      <c r="U27" s="377"/>
      <c r="V27" s="378">
        <f t="shared" si="1"/>
        <v>0</v>
      </c>
      <c r="W27" s="379">
        <v>86.6</v>
      </c>
      <c r="X27" s="380"/>
      <c r="Y27" s="376">
        <f t="shared" si="44"/>
        <v>0</v>
      </c>
      <c r="Z27" s="374">
        <f t="shared" si="45"/>
        <v>0</v>
      </c>
      <c r="AA27" s="381"/>
      <c r="AB27" s="381"/>
      <c r="AC27" s="382"/>
      <c r="AD27" s="376">
        <f t="shared" si="46"/>
        <v>0</v>
      </c>
      <c r="AE27" s="374">
        <f t="shared" si="47"/>
        <v>0</v>
      </c>
      <c r="AF27" s="381"/>
      <c r="AG27" s="381"/>
      <c r="AH27" s="383"/>
      <c r="AI27" s="433">
        <f t="shared" si="48"/>
        <v>0</v>
      </c>
      <c r="AJ27" s="385"/>
      <c r="AK27" s="386"/>
      <c r="AL27" s="387"/>
      <c r="AM27" s="434">
        <f t="shared" si="3"/>
        <v>0</v>
      </c>
      <c r="AN27" s="389"/>
      <c r="AO27" s="435"/>
      <c r="AP27" s="435"/>
      <c r="AQ27" s="435"/>
      <c r="AR27" s="346" t="e">
        <f t="shared" si="4"/>
        <v>#DIV/0!</v>
      </c>
      <c r="AS27" s="436"/>
      <c r="AT27" s="392">
        <v>35</v>
      </c>
      <c r="AU27" s="49"/>
      <c r="AV27" s="16"/>
      <c r="AW27" s="52"/>
      <c r="AX27" s="393" t="e">
        <f t="shared" si="5"/>
        <v>#DIV/0!</v>
      </c>
      <c r="AY27" s="77">
        <v>473</v>
      </c>
      <c r="AZ27" s="437">
        <f t="shared" si="49"/>
        <v>0</v>
      </c>
      <c r="BA27" s="85"/>
      <c r="BB27" s="48"/>
      <c r="BC27" s="86"/>
      <c r="BD27" s="398">
        <f t="shared" si="6"/>
        <v>13</v>
      </c>
      <c r="BE27" s="399">
        <f t="shared" si="14"/>
        <v>5</v>
      </c>
      <c r="BF27" s="400">
        <v>-1</v>
      </c>
      <c r="BG27" s="400">
        <v>6</v>
      </c>
      <c r="BH27" s="401">
        <v>8</v>
      </c>
      <c r="BI27" s="402">
        <f t="shared" si="50"/>
        <v>10</v>
      </c>
      <c r="BJ27" s="403">
        <v>1</v>
      </c>
      <c r="BK27" s="404">
        <v>9</v>
      </c>
      <c r="BL27" s="405">
        <v>9</v>
      </c>
      <c r="BM27" s="406">
        <f t="shared" si="8"/>
        <v>28</v>
      </c>
      <c r="BN27" s="407">
        <f t="shared" si="9"/>
        <v>25</v>
      </c>
      <c r="BO27" s="12">
        <v>16</v>
      </c>
      <c r="BP27" s="12">
        <v>9</v>
      </c>
      <c r="BQ27" s="12">
        <v>3</v>
      </c>
      <c r="BR27" s="408">
        <f t="shared" si="10"/>
        <v>2.8</v>
      </c>
      <c r="BS27" s="409">
        <f t="shared" si="16"/>
        <v>0</v>
      </c>
      <c r="BT27" s="410"/>
      <c r="BU27" s="439"/>
      <c r="BV27" s="439"/>
      <c r="BW27" s="412">
        <f t="shared" si="11"/>
        <v>0</v>
      </c>
    </row>
    <row r="28" spans="1:76" ht="16.899999999999999" customHeight="1" x14ac:dyDescent="0.3">
      <c r="A28" s="4" t="s">
        <v>100</v>
      </c>
      <c r="B28" s="5" t="s">
        <v>24</v>
      </c>
      <c r="C28" s="5"/>
      <c r="D28" s="17" t="s">
        <v>21</v>
      </c>
      <c r="E28" s="6"/>
      <c r="F28" s="58">
        <f t="shared" ref="F28:U28" si="51">SUM(F29:F38)</f>
        <v>285</v>
      </c>
      <c r="G28" s="7">
        <f t="shared" si="51"/>
        <v>0</v>
      </c>
      <c r="H28" s="7">
        <f t="shared" si="51"/>
        <v>285</v>
      </c>
      <c r="I28" s="65">
        <f t="shared" si="51"/>
        <v>187</v>
      </c>
      <c r="J28" s="65">
        <f t="shared" si="51"/>
        <v>98</v>
      </c>
      <c r="K28" s="70">
        <f t="shared" si="51"/>
        <v>57</v>
      </c>
      <c r="L28" s="413">
        <f t="shared" si="51"/>
        <v>0</v>
      </c>
      <c r="M28" s="413">
        <f t="shared" si="51"/>
        <v>0</v>
      </c>
      <c r="N28" s="413">
        <f t="shared" si="51"/>
        <v>0</v>
      </c>
      <c r="O28" s="413">
        <f t="shared" si="51"/>
        <v>0</v>
      </c>
      <c r="P28" s="414">
        <f t="shared" si="51"/>
        <v>0</v>
      </c>
      <c r="Q28" s="415">
        <f t="shared" si="51"/>
        <v>0</v>
      </c>
      <c r="R28" s="416">
        <f t="shared" si="51"/>
        <v>0</v>
      </c>
      <c r="S28" s="416">
        <f t="shared" si="51"/>
        <v>0</v>
      </c>
      <c r="T28" s="416">
        <f t="shared" si="51"/>
        <v>0</v>
      </c>
      <c r="U28" s="416">
        <f t="shared" si="51"/>
        <v>0</v>
      </c>
      <c r="V28" s="334">
        <f t="shared" si="1"/>
        <v>0</v>
      </c>
      <c r="W28" s="335">
        <f t="shared" ref="W28:AI28" si="52">SUM(W29:W38)</f>
        <v>782.30000000000007</v>
      </c>
      <c r="X28" s="413">
        <f t="shared" si="52"/>
        <v>0</v>
      </c>
      <c r="Y28" s="415">
        <f t="shared" si="52"/>
        <v>0</v>
      </c>
      <c r="Z28" s="416">
        <f t="shared" si="52"/>
        <v>0</v>
      </c>
      <c r="AA28" s="416">
        <f t="shared" si="52"/>
        <v>0</v>
      </c>
      <c r="AB28" s="416">
        <f t="shared" si="52"/>
        <v>0</v>
      </c>
      <c r="AC28" s="417">
        <f t="shared" si="52"/>
        <v>0</v>
      </c>
      <c r="AD28" s="415">
        <f t="shared" si="52"/>
        <v>0</v>
      </c>
      <c r="AE28" s="416">
        <f t="shared" si="52"/>
        <v>0</v>
      </c>
      <c r="AF28" s="416">
        <f t="shared" si="52"/>
        <v>0</v>
      </c>
      <c r="AG28" s="416">
        <f t="shared" si="52"/>
        <v>0</v>
      </c>
      <c r="AH28" s="418">
        <f t="shared" si="52"/>
        <v>0</v>
      </c>
      <c r="AI28" s="339">
        <f t="shared" si="52"/>
        <v>0</v>
      </c>
      <c r="AJ28" s="340"/>
      <c r="AK28" s="341"/>
      <c r="AL28" s="342"/>
      <c r="AM28" s="420">
        <f t="shared" si="3"/>
        <v>0</v>
      </c>
      <c r="AN28" s="344"/>
      <c r="AO28" s="440"/>
      <c r="AP28" s="440"/>
      <c r="AQ28" s="440"/>
      <c r="AR28" s="346" t="e">
        <f t="shared" si="4"/>
        <v>#DIV/0!</v>
      </c>
      <c r="AS28" s="424">
        <v>1.054</v>
      </c>
      <c r="AT28" s="441">
        <f>SUM(AT29:AT38)</f>
        <v>210</v>
      </c>
      <c r="AU28" s="442"/>
      <c r="AV28" s="443"/>
      <c r="AW28" s="444"/>
      <c r="AX28" s="352" t="e">
        <f t="shared" si="5"/>
        <v>#DIV/0!</v>
      </c>
      <c r="AY28" s="427">
        <v>0.67400000000000004</v>
      </c>
      <c r="AZ28" s="354">
        <f>SUM(AZ29:AZ38)</f>
        <v>0</v>
      </c>
      <c r="BA28" s="340"/>
      <c r="BB28" s="340"/>
      <c r="BC28" s="355"/>
      <c r="BD28" s="356">
        <f t="shared" si="6"/>
        <v>62</v>
      </c>
      <c r="BE28" s="445">
        <f t="shared" si="14"/>
        <v>39</v>
      </c>
      <c r="BF28" s="446">
        <f t="shared" ref="BF28:BL28" si="53">SUM(BF29:BF38)</f>
        <v>16</v>
      </c>
      <c r="BG28" s="446">
        <f t="shared" si="53"/>
        <v>23</v>
      </c>
      <c r="BH28" s="447">
        <f t="shared" si="53"/>
        <v>23</v>
      </c>
      <c r="BI28" s="359">
        <f t="shared" si="53"/>
        <v>73</v>
      </c>
      <c r="BJ28" s="360">
        <f t="shared" si="53"/>
        <v>37</v>
      </c>
      <c r="BK28" s="361">
        <f t="shared" si="53"/>
        <v>36</v>
      </c>
      <c r="BL28" s="362">
        <f t="shared" si="53"/>
        <v>33</v>
      </c>
      <c r="BM28" s="363">
        <f t="shared" si="8"/>
        <v>239</v>
      </c>
      <c r="BN28" s="356">
        <f t="shared" si="9"/>
        <v>208</v>
      </c>
      <c r="BO28" s="446">
        <f>SUM(BO29:BO38)</f>
        <v>158</v>
      </c>
      <c r="BP28" s="446">
        <f>SUM(BP29:BP38)</f>
        <v>50</v>
      </c>
      <c r="BQ28" s="446">
        <f>SUM(BQ29:BQ38)</f>
        <v>31</v>
      </c>
      <c r="BR28" s="432">
        <f t="shared" si="10"/>
        <v>3.2739726027397262</v>
      </c>
      <c r="BS28" s="366">
        <f t="shared" si="16"/>
        <v>0</v>
      </c>
      <c r="BT28" s="367">
        <f>SUM(BT29:BT38)</f>
        <v>0</v>
      </c>
      <c r="BU28" s="367">
        <f>SUM(BU29:BU38)</f>
        <v>0</v>
      </c>
      <c r="BV28" s="367">
        <f>SUM(BV29:BV38)</f>
        <v>0</v>
      </c>
      <c r="BW28" s="368">
        <f t="shared" si="11"/>
        <v>0</v>
      </c>
      <c r="BX28" t="s">
        <v>24</v>
      </c>
    </row>
    <row r="29" spans="1:76" ht="16.899999999999999" customHeight="1" x14ac:dyDescent="0.3">
      <c r="A29" s="8" t="s">
        <v>100</v>
      </c>
      <c r="B29" s="9" t="s">
        <v>24</v>
      </c>
      <c r="C29" s="14" t="s">
        <v>53</v>
      </c>
      <c r="D29" s="40" t="s">
        <v>129</v>
      </c>
      <c r="E29" s="15" t="s">
        <v>103</v>
      </c>
      <c r="F29" s="59">
        <v>25</v>
      </c>
      <c r="G29" s="369">
        <f t="shared" ref="G29:G38" si="54">L29/F29</f>
        <v>0</v>
      </c>
      <c r="H29" s="370">
        <v>25</v>
      </c>
      <c r="I29" s="371">
        <v>17</v>
      </c>
      <c r="J29" s="371">
        <v>8</v>
      </c>
      <c r="K29" s="372">
        <v>5</v>
      </c>
      <c r="L29" s="373">
        <f t="shared" ref="L29:L38" si="55">N29+O29+P29</f>
        <v>0</v>
      </c>
      <c r="M29" s="373">
        <f t="shared" ref="M29:M38" si="56">N29+O29</f>
        <v>0</v>
      </c>
      <c r="N29" s="374">
        <f t="shared" ref="N29:N38" si="57">AA29+AF29</f>
        <v>0</v>
      </c>
      <c r="O29" s="374">
        <f t="shared" ref="O29:O38" si="58">AB29+AG29</f>
        <v>0</v>
      </c>
      <c r="P29" s="375">
        <f t="shared" ref="P29:P38" si="59">AC29+AH29</f>
        <v>0</v>
      </c>
      <c r="Q29" s="376">
        <f t="shared" ref="Q29:Q38" si="60">R29+U29</f>
        <v>0</v>
      </c>
      <c r="R29" s="374">
        <f t="shared" ref="R29:R38" si="61">S29+T29</f>
        <v>0</v>
      </c>
      <c r="S29" s="377"/>
      <c r="T29" s="377"/>
      <c r="U29" s="377"/>
      <c r="V29" s="378">
        <f t="shared" si="1"/>
        <v>0</v>
      </c>
      <c r="W29" s="379">
        <v>62.7</v>
      </c>
      <c r="X29" s="380"/>
      <c r="Y29" s="376">
        <f t="shared" ref="Y29:Y38" si="62">Z29+AC29</f>
        <v>0</v>
      </c>
      <c r="Z29" s="374">
        <f t="shared" ref="Z29:Z38" si="63">AA29+AB29</f>
        <v>0</v>
      </c>
      <c r="AA29" s="381"/>
      <c r="AB29" s="381"/>
      <c r="AC29" s="382"/>
      <c r="AD29" s="376">
        <f t="shared" ref="AD29:AD38" si="64">AE29+AH29</f>
        <v>0</v>
      </c>
      <c r="AE29" s="374">
        <f t="shared" ref="AE29:AE38" si="65">AF29+AG29</f>
        <v>0</v>
      </c>
      <c r="AF29" s="381"/>
      <c r="AG29" s="381"/>
      <c r="AH29" s="383"/>
      <c r="AI29" s="433">
        <f t="shared" ref="AI29:AI38" si="66">AJ29+AK29</f>
        <v>0</v>
      </c>
      <c r="AJ29" s="385"/>
      <c r="AK29" s="386"/>
      <c r="AL29" s="387"/>
      <c r="AM29" s="434">
        <f t="shared" si="3"/>
        <v>0</v>
      </c>
      <c r="AN29" s="389"/>
      <c r="AO29" s="435"/>
      <c r="AP29" s="435"/>
      <c r="AQ29" s="435"/>
      <c r="AR29" s="346" t="e">
        <f t="shared" si="4"/>
        <v>#DIV/0!</v>
      </c>
      <c r="AS29" s="436"/>
      <c r="AT29" s="392">
        <v>11</v>
      </c>
      <c r="AU29" s="49"/>
      <c r="AV29" s="48"/>
      <c r="AW29" s="52"/>
      <c r="AX29" s="393" t="e">
        <f t="shared" si="5"/>
        <v>#DIV/0!</v>
      </c>
      <c r="AY29" s="74">
        <v>151</v>
      </c>
      <c r="AZ29" s="437">
        <f t="shared" ref="AZ29:AZ40" si="67">BA29+BB29</f>
        <v>0</v>
      </c>
      <c r="BA29" s="85"/>
      <c r="BB29" s="48"/>
      <c r="BC29" s="86"/>
      <c r="BD29" s="398">
        <f t="shared" si="6"/>
        <v>13</v>
      </c>
      <c r="BE29" s="399">
        <f t="shared" si="14"/>
        <v>9</v>
      </c>
      <c r="BF29" s="400">
        <v>5</v>
      </c>
      <c r="BG29" s="400">
        <v>4</v>
      </c>
      <c r="BH29" s="401">
        <v>4</v>
      </c>
      <c r="BI29" s="402">
        <f t="shared" ref="BI29:BI38" si="68">SUM(BJ29:BK29)</f>
        <v>12</v>
      </c>
      <c r="BJ29" s="403">
        <v>7</v>
      </c>
      <c r="BK29" s="404">
        <v>5</v>
      </c>
      <c r="BL29" s="405">
        <v>5</v>
      </c>
      <c r="BM29" s="406">
        <f t="shared" si="8"/>
        <v>23</v>
      </c>
      <c r="BN29" s="407">
        <f t="shared" si="9"/>
        <v>20</v>
      </c>
      <c r="BO29" s="12">
        <v>14</v>
      </c>
      <c r="BP29" s="12">
        <v>6</v>
      </c>
      <c r="BQ29" s="12">
        <v>3</v>
      </c>
      <c r="BR29" s="408">
        <f t="shared" si="10"/>
        <v>1.9166666666666667</v>
      </c>
      <c r="BS29" s="409">
        <f t="shared" si="16"/>
        <v>0</v>
      </c>
      <c r="BT29" s="410"/>
      <c r="BU29" s="411"/>
      <c r="BV29" s="438"/>
      <c r="BW29" s="412">
        <f t="shared" si="11"/>
        <v>0</v>
      </c>
    </row>
    <row r="30" spans="1:76" ht="16.899999999999999" customHeight="1" x14ac:dyDescent="0.3">
      <c r="A30" s="8" t="s">
        <v>100</v>
      </c>
      <c r="B30" s="9" t="s">
        <v>24</v>
      </c>
      <c r="C30" s="14" t="s">
        <v>104</v>
      </c>
      <c r="D30" s="40" t="s">
        <v>130</v>
      </c>
      <c r="E30" s="15" t="s">
        <v>103</v>
      </c>
      <c r="F30" s="59">
        <v>25</v>
      </c>
      <c r="G30" s="369">
        <f t="shared" si="54"/>
        <v>0</v>
      </c>
      <c r="H30" s="370">
        <v>25</v>
      </c>
      <c r="I30" s="371">
        <v>17</v>
      </c>
      <c r="J30" s="371">
        <v>8</v>
      </c>
      <c r="K30" s="372">
        <v>5</v>
      </c>
      <c r="L30" s="373">
        <f t="shared" si="55"/>
        <v>0</v>
      </c>
      <c r="M30" s="373">
        <f t="shared" si="56"/>
        <v>0</v>
      </c>
      <c r="N30" s="374">
        <f t="shared" si="57"/>
        <v>0</v>
      </c>
      <c r="O30" s="374">
        <f t="shared" si="58"/>
        <v>0</v>
      </c>
      <c r="P30" s="375">
        <f t="shared" si="59"/>
        <v>0</v>
      </c>
      <c r="Q30" s="376">
        <f t="shared" si="60"/>
        <v>0</v>
      </c>
      <c r="R30" s="374">
        <f t="shared" si="61"/>
        <v>0</v>
      </c>
      <c r="S30" s="377"/>
      <c r="T30" s="377"/>
      <c r="U30" s="377"/>
      <c r="V30" s="378">
        <f t="shared" si="1"/>
        <v>0</v>
      </c>
      <c r="W30" s="379">
        <v>72.3</v>
      </c>
      <c r="X30" s="380"/>
      <c r="Y30" s="376">
        <f t="shared" si="62"/>
        <v>0</v>
      </c>
      <c r="Z30" s="374">
        <f t="shared" si="63"/>
        <v>0</v>
      </c>
      <c r="AA30" s="381"/>
      <c r="AB30" s="381"/>
      <c r="AC30" s="382"/>
      <c r="AD30" s="376">
        <f t="shared" si="64"/>
        <v>0</v>
      </c>
      <c r="AE30" s="374">
        <f t="shared" si="65"/>
        <v>0</v>
      </c>
      <c r="AF30" s="381"/>
      <c r="AG30" s="381"/>
      <c r="AH30" s="383"/>
      <c r="AI30" s="433">
        <f t="shared" si="66"/>
        <v>0</v>
      </c>
      <c r="AJ30" s="385"/>
      <c r="AK30" s="386"/>
      <c r="AL30" s="387"/>
      <c r="AM30" s="434">
        <f t="shared" si="3"/>
        <v>0</v>
      </c>
      <c r="AN30" s="389"/>
      <c r="AO30" s="435"/>
      <c r="AP30" s="435"/>
      <c r="AQ30" s="435"/>
      <c r="AR30" s="346" t="e">
        <f t="shared" si="4"/>
        <v>#DIV/0!</v>
      </c>
      <c r="AS30" s="436"/>
      <c r="AT30" s="392">
        <v>19</v>
      </c>
      <c r="AU30" s="49"/>
      <c r="AV30" s="48"/>
      <c r="AW30" s="52"/>
      <c r="AX30" s="393" t="e">
        <f t="shared" si="5"/>
        <v>#DIV/0!</v>
      </c>
      <c r="AY30" s="74">
        <v>21</v>
      </c>
      <c r="AZ30" s="437">
        <f t="shared" si="67"/>
        <v>0</v>
      </c>
      <c r="BA30" s="85"/>
      <c r="BB30" s="48"/>
      <c r="BC30" s="86"/>
      <c r="BD30" s="398">
        <f t="shared" si="6"/>
        <v>5</v>
      </c>
      <c r="BE30" s="399">
        <f t="shared" si="14"/>
        <v>3</v>
      </c>
      <c r="BF30" s="400">
        <v>0</v>
      </c>
      <c r="BG30" s="400">
        <v>3</v>
      </c>
      <c r="BH30" s="401">
        <v>2</v>
      </c>
      <c r="BI30" s="402">
        <f t="shared" si="68"/>
        <v>6</v>
      </c>
      <c r="BJ30" s="403">
        <v>2</v>
      </c>
      <c r="BK30" s="404">
        <v>4</v>
      </c>
      <c r="BL30" s="405">
        <v>3</v>
      </c>
      <c r="BM30" s="406">
        <f t="shared" si="8"/>
        <v>16</v>
      </c>
      <c r="BN30" s="407">
        <f t="shared" si="9"/>
        <v>14</v>
      </c>
      <c r="BO30" s="12">
        <v>10</v>
      </c>
      <c r="BP30" s="12">
        <v>4</v>
      </c>
      <c r="BQ30" s="12">
        <v>2</v>
      </c>
      <c r="BR30" s="408">
        <f t="shared" si="10"/>
        <v>2.6666666666666665</v>
      </c>
      <c r="BS30" s="409">
        <f t="shared" si="16"/>
        <v>0</v>
      </c>
      <c r="BT30" s="410"/>
      <c r="BU30" s="411"/>
      <c r="BV30" s="438"/>
      <c r="BW30" s="412">
        <f t="shared" si="11"/>
        <v>0</v>
      </c>
    </row>
    <row r="31" spans="1:76" ht="16.899999999999999" customHeight="1" x14ac:dyDescent="0.3">
      <c r="A31" s="8" t="s">
        <v>100</v>
      </c>
      <c r="B31" s="9" t="s">
        <v>24</v>
      </c>
      <c r="C31" s="14" t="s">
        <v>104</v>
      </c>
      <c r="D31" s="40" t="s">
        <v>131</v>
      </c>
      <c r="E31" s="15" t="s">
        <v>103</v>
      </c>
      <c r="F31" s="59">
        <v>25</v>
      </c>
      <c r="G31" s="369">
        <f t="shared" si="54"/>
        <v>0</v>
      </c>
      <c r="H31" s="370">
        <v>25</v>
      </c>
      <c r="I31" s="371">
        <v>17</v>
      </c>
      <c r="J31" s="371">
        <v>8</v>
      </c>
      <c r="K31" s="372">
        <v>5</v>
      </c>
      <c r="L31" s="373">
        <f t="shared" si="55"/>
        <v>0</v>
      </c>
      <c r="M31" s="373">
        <f t="shared" si="56"/>
        <v>0</v>
      </c>
      <c r="N31" s="374">
        <f t="shared" si="57"/>
        <v>0</v>
      </c>
      <c r="O31" s="374">
        <f t="shared" si="58"/>
        <v>0</v>
      </c>
      <c r="P31" s="375">
        <f t="shared" si="59"/>
        <v>0</v>
      </c>
      <c r="Q31" s="376">
        <f t="shared" si="60"/>
        <v>0</v>
      </c>
      <c r="R31" s="374">
        <f t="shared" si="61"/>
        <v>0</v>
      </c>
      <c r="S31" s="377"/>
      <c r="T31" s="377"/>
      <c r="U31" s="377"/>
      <c r="V31" s="378">
        <f t="shared" si="1"/>
        <v>0</v>
      </c>
      <c r="W31" s="379">
        <v>89.3</v>
      </c>
      <c r="X31" s="380"/>
      <c r="Y31" s="376">
        <f t="shared" si="62"/>
        <v>0</v>
      </c>
      <c r="Z31" s="374">
        <f t="shared" si="63"/>
        <v>0</v>
      </c>
      <c r="AA31" s="381"/>
      <c r="AB31" s="381"/>
      <c r="AC31" s="382"/>
      <c r="AD31" s="376">
        <f t="shared" si="64"/>
        <v>0</v>
      </c>
      <c r="AE31" s="374">
        <f t="shared" si="65"/>
        <v>0</v>
      </c>
      <c r="AF31" s="381"/>
      <c r="AG31" s="381"/>
      <c r="AH31" s="383"/>
      <c r="AI31" s="433">
        <f t="shared" si="66"/>
        <v>0</v>
      </c>
      <c r="AJ31" s="385"/>
      <c r="AK31" s="386"/>
      <c r="AL31" s="387"/>
      <c r="AM31" s="434">
        <f t="shared" si="3"/>
        <v>0</v>
      </c>
      <c r="AN31" s="389"/>
      <c r="AO31" s="435"/>
      <c r="AP31" s="435"/>
      <c r="AQ31" s="435"/>
      <c r="AR31" s="346" t="e">
        <f t="shared" si="4"/>
        <v>#DIV/0!</v>
      </c>
      <c r="AS31" s="436"/>
      <c r="AT31" s="392">
        <v>21</v>
      </c>
      <c r="AU31" s="49"/>
      <c r="AV31" s="48"/>
      <c r="AW31" s="52"/>
      <c r="AX31" s="393" t="e">
        <f t="shared" si="5"/>
        <v>#DIV/0!</v>
      </c>
      <c r="AY31" s="74">
        <v>146</v>
      </c>
      <c r="AZ31" s="437">
        <f t="shared" si="67"/>
        <v>0</v>
      </c>
      <c r="BA31" s="85"/>
      <c r="BB31" s="48"/>
      <c r="BC31" s="86"/>
      <c r="BD31" s="398">
        <f t="shared" si="6"/>
        <v>3</v>
      </c>
      <c r="BE31" s="399">
        <f t="shared" si="14"/>
        <v>3</v>
      </c>
      <c r="BF31" s="400">
        <v>1</v>
      </c>
      <c r="BG31" s="400">
        <v>2</v>
      </c>
      <c r="BH31" s="401">
        <v>0</v>
      </c>
      <c r="BI31" s="402">
        <f t="shared" si="68"/>
        <v>6</v>
      </c>
      <c r="BJ31" s="403">
        <v>3</v>
      </c>
      <c r="BK31" s="404">
        <v>3</v>
      </c>
      <c r="BL31" s="405">
        <v>1</v>
      </c>
      <c r="BM31" s="406">
        <f t="shared" si="8"/>
        <v>28</v>
      </c>
      <c r="BN31" s="407">
        <f t="shared" si="9"/>
        <v>25</v>
      </c>
      <c r="BO31" s="12">
        <v>17</v>
      </c>
      <c r="BP31" s="12">
        <v>8</v>
      </c>
      <c r="BQ31" s="12">
        <v>3</v>
      </c>
      <c r="BR31" s="408">
        <f t="shared" si="10"/>
        <v>4.666666666666667</v>
      </c>
      <c r="BS31" s="409">
        <f t="shared" si="16"/>
        <v>0</v>
      </c>
      <c r="BT31" s="410"/>
      <c r="BU31" s="411"/>
      <c r="BV31" s="438"/>
      <c r="BW31" s="412">
        <f t="shared" si="11"/>
        <v>0</v>
      </c>
    </row>
    <row r="32" spans="1:76" ht="16.899999999999999" customHeight="1" x14ac:dyDescent="0.3">
      <c r="A32" s="8" t="s">
        <v>100</v>
      </c>
      <c r="B32" s="9" t="s">
        <v>24</v>
      </c>
      <c r="C32" s="14" t="s">
        <v>132</v>
      </c>
      <c r="D32" s="40" t="s">
        <v>133</v>
      </c>
      <c r="E32" s="15" t="s">
        <v>103</v>
      </c>
      <c r="F32" s="59">
        <v>25</v>
      </c>
      <c r="G32" s="369">
        <f t="shared" si="54"/>
        <v>0</v>
      </c>
      <c r="H32" s="370">
        <v>25</v>
      </c>
      <c r="I32" s="371">
        <v>17</v>
      </c>
      <c r="J32" s="371">
        <v>8</v>
      </c>
      <c r="K32" s="372">
        <v>5</v>
      </c>
      <c r="L32" s="373">
        <f t="shared" si="55"/>
        <v>0</v>
      </c>
      <c r="M32" s="373">
        <f t="shared" si="56"/>
        <v>0</v>
      </c>
      <c r="N32" s="374">
        <f t="shared" si="57"/>
        <v>0</v>
      </c>
      <c r="O32" s="374">
        <f t="shared" si="58"/>
        <v>0</v>
      </c>
      <c r="P32" s="375">
        <f t="shared" si="59"/>
        <v>0</v>
      </c>
      <c r="Q32" s="376">
        <f t="shared" si="60"/>
        <v>0</v>
      </c>
      <c r="R32" s="374">
        <f t="shared" si="61"/>
        <v>0</v>
      </c>
      <c r="S32" s="377"/>
      <c r="T32" s="377"/>
      <c r="U32" s="377"/>
      <c r="V32" s="378">
        <f t="shared" si="1"/>
        <v>0</v>
      </c>
      <c r="W32" s="379">
        <v>66.3</v>
      </c>
      <c r="X32" s="380"/>
      <c r="Y32" s="376">
        <f t="shared" si="62"/>
        <v>0</v>
      </c>
      <c r="Z32" s="374">
        <f t="shared" si="63"/>
        <v>0</v>
      </c>
      <c r="AA32" s="381"/>
      <c r="AB32" s="381"/>
      <c r="AC32" s="382"/>
      <c r="AD32" s="376">
        <f t="shared" si="64"/>
        <v>0</v>
      </c>
      <c r="AE32" s="374">
        <f t="shared" si="65"/>
        <v>0</v>
      </c>
      <c r="AF32" s="381"/>
      <c r="AG32" s="381"/>
      <c r="AH32" s="383"/>
      <c r="AI32" s="433">
        <f t="shared" si="66"/>
        <v>0</v>
      </c>
      <c r="AJ32" s="385"/>
      <c r="AK32" s="386"/>
      <c r="AL32" s="387"/>
      <c r="AM32" s="434">
        <f t="shared" si="3"/>
        <v>0</v>
      </c>
      <c r="AN32" s="389"/>
      <c r="AO32" s="435"/>
      <c r="AP32" s="435"/>
      <c r="AQ32" s="435"/>
      <c r="AR32" s="346" t="e">
        <f t="shared" si="4"/>
        <v>#DIV/0!</v>
      </c>
      <c r="AS32" s="436"/>
      <c r="AT32" s="392">
        <v>22</v>
      </c>
      <c r="AU32" s="49"/>
      <c r="AV32" s="48"/>
      <c r="AW32" s="52"/>
      <c r="AX32" s="393" t="e">
        <f t="shared" si="5"/>
        <v>#DIV/0!</v>
      </c>
      <c r="AY32" s="74">
        <v>296</v>
      </c>
      <c r="AZ32" s="437">
        <f t="shared" si="67"/>
        <v>0</v>
      </c>
      <c r="BA32" s="85"/>
      <c r="BB32" s="48"/>
      <c r="BC32" s="86"/>
      <c r="BD32" s="398">
        <f t="shared" si="6"/>
        <v>2</v>
      </c>
      <c r="BE32" s="399">
        <f t="shared" si="14"/>
        <v>0</v>
      </c>
      <c r="BF32" s="400">
        <v>0</v>
      </c>
      <c r="BG32" s="400">
        <v>0</v>
      </c>
      <c r="BH32" s="401">
        <v>2</v>
      </c>
      <c r="BI32" s="402">
        <f t="shared" si="68"/>
        <v>3</v>
      </c>
      <c r="BJ32" s="403">
        <v>2</v>
      </c>
      <c r="BK32" s="404">
        <v>1</v>
      </c>
      <c r="BL32" s="405">
        <v>3</v>
      </c>
      <c r="BM32" s="406">
        <f t="shared" si="8"/>
        <v>18</v>
      </c>
      <c r="BN32" s="407">
        <f t="shared" si="9"/>
        <v>17</v>
      </c>
      <c r="BO32" s="12">
        <v>12</v>
      </c>
      <c r="BP32" s="12">
        <v>5</v>
      </c>
      <c r="BQ32" s="12">
        <v>1</v>
      </c>
      <c r="BR32" s="408">
        <f t="shared" si="10"/>
        <v>6</v>
      </c>
      <c r="BS32" s="409">
        <f t="shared" si="16"/>
        <v>0</v>
      </c>
      <c r="BT32" s="410"/>
      <c r="BU32" s="411"/>
      <c r="BV32" s="438"/>
      <c r="BW32" s="412">
        <f t="shared" si="11"/>
        <v>0</v>
      </c>
    </row>
    <row r="33" spans="1:76" ht="16.899999999999999" customHeight="1" x14ac:dyDescent="0.3">
      <c r="A33" s="8" t="s">
        <v>100</v>
      </c>
      <c r="B33" s="9" t="s">
        <v>24</v>
      </c>
      <c r="C33" s="14" t="s">
        <v>132</v>
      </c>
      <c r="D33" s="40" t="s">
        <v>134</v>
      </c>
      <c r="E33" s="15" t="s">
        <v>103</v>
      </c>
      <c r="F33" s="59">
        <v>25</v>
      </c>
      <c r="G33" s="369">
        <f t="shared" si="54"/>
        <v>0</v>
      </c>
      <c r="H33" s="370">
        <v>25</v>
      </c>
      <c r="I33" s="371">
        <v>17</v>
      </c>
      <c r="J33" s="371">
        <v>8</v>
      </c>
      <c r="K33" s="372">
        <v>5</v>
      </c>
      <c r="L33" s="373">
        <f t="shared" si="55"/>
        <v>0</v>
      </c>
      <c r="M33" s="373">
        <f t="shared" si="56"/>
        <v>0</v>
      </c>
      <c r="N33" s="374">
        <f t="shared" si="57"/>
        <v>0</v>
      </c>
      <c r="O33" s="374">
        <f t="shared" si="58"/>
        <v>0</v>
      </c>
      <c r="P33" s="375">
        <f t="shared" si="59"/>
        <v>0</v>
      </c>
      <c r="Q33" s="376">
        <f t="shared" si="60"/>
        <v>0</v>
      </c>
      <c r="R33" s="374">
        <f t="shared" si="61"/>
        <v>0</v>
      </c>
      <c r="S33" s="377"/>
      <c r="T33" s="377"/>
      <c r="U33" s="377"/>
      <c r="V33" s="378">
        <f t="shared" si="1"/>
        <v>0</v>
      </c>
      <c r="W33" s="379">
        <v>90.6</v>
      </c>
      <c r="X33" s="380"/>
      <c r="Y33" s="376">
        <f t="shared" si="62"/>
        <v>0</v>
      </c>
      <c r="Z33" s="374">
        <f t="shared" si="63"/>
        <v>0</v>
      </c>
      <c r="AA33" s="381"/>
      <c r="AB33" s="381"/>
      <c r="AC33" s="382"/>
      <c r="AD33" s="376">
        <f t="shared" si="64"/>
        <v>0</v>
      </c>
      <c r="AE33" s="374">
        <f t="shared" si="65"/>
        <v>0</v>
      </c>
      <c r="AF33" s="381"/>
      <c r="AG33" s="381"/>
      <c r="AH33" s="383"/>
      <c r="AI33" s="433">
        <f t="shared" si="66"/>
        <v>0</v>
      </c>
      <c r="AJ33" s="385"/>
      <c r="AK33" s="386"/>
      <c r="AL33" s="387"/>
      <c r="AM33" s="434">
        <f t="shared" si="3"/>
        <v>0</v>
      </c>
      <c r="AN33" s="389"/>
      <c r="AO33" s="435"/>
      <c r="AP33" s="435"/>
      <c r="AQ33" s="435"/>
      <c r="AR33" s="346" t="e">
        <f t="shared" si="4"/>
        <v>#DIV/0!</v>
      </c>
      <c r="AS33" s="436"/>
      <c r="AT33" s="392">
        <v>9</v>
      </c>
      <c r="AU33" s="49"/>
      <c r="AV33" s="48"/>
      <c r="AW33" s="52"/>
      <c r="AX33" s="393" t="e">
        <f t="shared" si="5"/>
        <v>#DIV/0!</v>
      </c>
      <c r="AY33" s="74">
        <v>349</v>
      </c>
      <c r="AZ33" s="437">
        <f t="shared" si="67"/>
        <v>0</v>
      </c>
      <c r="BA33" s="85"/>
      <c r="BB33" s="48"/>
      <c r="BC33" s="86"/>
      <c r="BD33" s="398">
        <f t="shared" si="6"/>
        <v>15</v>
      </c>
      <c r="BE33" s="399">
        <f t="shared" si="14"/>
        <v>11</v>
      </c>
      <c r="BF33" s="400">
        <v>6</v>
      </c>
      <c r="BG33" s="400">
        <v>5</v>
      </c>
      <c r="BH33" s="401">
        <v>4</v>
      </c>
      <c r="BI33" s="402">
        <f t="shared" si="68"/>
        <v>14</v>
      </c>
      <c r="BJ33" s="403">
        <v>8</v>
      </c>
      <c r="BK33" s="404">
        <v>6</v>
      </c>
      <c r="BL33" s="405">
        <v>5</v>
      </c>
      <c r="BM33" s="406">
        <f t="shared" si="8"/>
        <v>11</v>
      </c>
      <c r="BN33" s="407">
        <f t="shared" si="9"/>
        <v>9</v>
      </c>
      <c r="BO33" s="12">
        <v>8</v>
      </c>
      <c r="BP33" s="12">
        <v>1</v>
      </c>
      <c r="BQ33" s="12">
        <v>2</v>
      </c>
      <c r="BR33" s="408">
        <f t="shared" si="10"/>
        <v>0.7857142857142857</v>
      </c>
      <c r="BS33" s="409">
        <f t="shared" si="16"/>
        <v>0</v>
      </c>
      <c r="BT33" s="410"/>
      <c r="BU33" s="411"/>
      <c r="BV33" s="438"/>
      <c r="BW33" s="412">
        <f t="shared" si="11"/>
        <v>0</v>
      </c>
    </row>
    <row r="34" spans="1:76" ht="16.899999999999999" customHeight="1" x14ac:dyDescent="0.3">
      <c r="A34" s="8" t="s">
        <v>100</v>
      </c>
      <c r="B34" s="9" t="s">
        <v>24</v>
      </c>
      <c r="C34" s="14" t="s">
        <v>132</v>
      </c>
      <c r="D34" s="40" t="s">
        <v>135</v>
      </c>
      <c r="E34" s="15" t="s">
        <v>103</v>
      </c>
      <c r="F34" s="59">
        <v>25</v>
      </c>
      <c r="G34" s="369">
        <f t="shared" si="54"/>
        <v>0</v>
      </c>
      <c r="H34" s="370">
        <v>25</v>
      </c>
      <c r="I34" s="371">
        <v>17</v>
      </c>
      <c r="J34" s="371">
        <v>8</v>
      </c>
      <c r="K34" s="372">
        <v>5</v>
      </c>
      <c r="L34" s="373">
        <f t="shared" si="55"/>
        <v>0</v>
      </c>
      <c r="M34" s="373">
        <f t="shared" si="56"/>
        <v>0</v>
      </c>
      <c r="N34" s="374">
        <f t="shared" si="57"/>
        <v>0</v>
      </c>
      <c r="O34" s="374">
        <f t="shared" si="58"/>
        <v>0</v>
      </c>
      <c r="P34" s="375">
        <f t="shared" si="59"/>
        <v>0</v>
      </c>
      <c r="Q34" s="376">
        <f t="shared" si="60"/>
        <v>0</v>
      </c>
      <c r="R34" s="374">
        <f t="shared" si="61"/>
        <v>0</v>
      </c>
      <c r="S34" s="377"/>
      <c r="T34" s="377"/>
      <c r="U34" s="377"/>
      <c r="V34" s="378">
        <f t="shared" si="1"/>
        <v>0</v>
      </c>
      <c r="W34" s="379">
        <v>75.099999999999994</v>
      </c>
      <c r="X34" s="380"/>
      <c r="Y34" s="376">
        <f t="shared" si="62"/>
        <v>0</v>
      </c>
      <c r="Z34" s="374">
        <f t="shared" si="63"/>
        <v>0</v>
      </c>
      <c r="AA34" s="381"/>
      <c r="AB34" s="381"/>
      <c r="AC34" s="382"/>
      <c r="AD34" s="376">
        <f t="shared" si="64"/>
        <v>0</v>
      </c>
      <c r="AE34" s="374">
        <f t="shared" si="65"/>
        <v>0</v>
      </c>
      <c r="AF34" s="381"/>
      <c r="AG34" s="381"/>
      <c r="AH34" s="383"/>
      <c r="AI34" s="433">
        <f t="shared" si="66"/>
        <v>0</v>
      </c>
      <c r="AJ34" s="385"/>
      <c r="AK34" s="386"/>
      <c r="AL34" s="387"/>
      <c r="AM34" s="434">
        <f t="shared" si="3"/>
        <v>0</v>
      </c>
      <c r="AN34" s="389"/>
      <c r="AO34" s="435"/>
      <c r="AP34" s="435"/>
      <c r="AQ34" s="435"/>
      <c r="AR34" s="346" t="e">
        <f t="shared" si="4"/>
        <v>#DIV/0!</v>
      </c>
      <c r="AS34" s="436"/>
      <c r="AT34" s="392">
        <v>20</v>
      </c>
      <c r="AU34" s="49"/>
      <c r="AV34" s="48"/>
      <c r="AW34" s="52"/>
      <c r="AX34" s="393" t="e">
        <f t="shared" si="5"/>
        <v>#DIV/0!</v>
      </c>
      <c r="AY34" s="74">
        <v>93</v>
      </c>
      <c r="AZ34" s="437">
        <f t="shared" si="67"/>
        <v>0</v>
      </c>
      <c r="BA34" s="85"/>
      <c r="BB34" s="48"/>
      <c r="BC34" s="86"/>
      <c r="BD34" s="398">
        <f t="shared" si="6"/>
        <v>4</v>
      </c>
      <c r="BE34" s="399">
        <f t="shared" si="14"/>
        <v>1</v>
      </c>
      <c r="BF34" s="400">
        <v>0</v>
      </c>
      <c r="BG34" s="400">
        <v>1</v>
      </c>
      <c r="BH34" s="401">
        <v>3</v>
      </c>
      <c r="BI34" s="402">
        <f t="shared" si="68"/>
        <v>4</v>
      </c>
      <c r="BJ34" s="403">
        <v>2</v>
      </c>
      <c r="BK34" s="404">
        <v>2</v>
      </c>
      <c r="BL34" s="405">
        <v>4</v>
      </c>
      <c r="BM34" s="406">
        <f t="shared" si="8"/>
        <v>28</v>
      </c>
      <c r="BN34" s="407">
        <f t="shared" si="9"/>
        <v>24</v>
      </c>
      <c r="BO34" s="12">
        <v>16</v>
      </c>
      <c r="BP34" s="12">
        <v>8</v>
      </c>
      <c r="BQ34" s="12">
        <v>4</v>
      </c>
      <c r="BR34" s="408">
        <f t="shared" si="10"/>
        <v>7</v>
      </c>
      <c r="BS34" s="409">
        <f t="shared" si="16"/>
        <v>0</v>
      </c>
      <c r="BT34" s="410"/>
      <c r="BU34" s="411"/>
      <c r="BV34" s="438"/>
      <c r="BW34" s="412">
        <f t="shared" si="11"/>
        <v>0</v>
      </c>
    </row>
    <row r="35" spans="1:76" ht="16.899999999999999" customHeight="1" x14ac:dyDescent="0.3">
      <c r="A35" s="8" t="s">
        <v>100</v>
      </c>
      <c r="B35" s="9" t="s">
        <v>24</v>
      </c>
      <c r="C35" s="14" t="s">
        <v>132</v>
      </c>
      <c r="D35" s="40" t="s">
        <v>136</v>
      </c>
      <c r="E35" s="15" t="s">
        <v>103</v>
      </c>
      <c r="F35" s="59">
        <v>25</v>
      </c>
      <c r="G35" s="369">
        <f t="shared" si="54"/>
        <v>0</v>
      </c>
      <c r="H35" s="370">
        <v>25</v>
      </c>
      <c r="I35" s="371">
        <v>17</v>
      </c>
      <c r="J35" s="371">
        <v>8</v>
      </c>
      <c r="K35" s="372">
        <v>5</v>
      </c>
      <c r="L35" s="373">
        <f t="shared" si="55"/>
        <v>0</v>
      </c>
      <c r="M35" s="373">
        <f t="shared" si="56"/>
        <v>0</v>
      </c>
      <c r="N35" s="374">
        <f t="shared" si="57"/>
        <v>0</v>
      </c>
      <c r="O35" s="374">
        <f t="shared" si="58"/>
        <v>0</v>
      </c>
      <c r="P35" s="375">
        <f t="shared" si="59"/>
        <v>0</v>
      </c>
      <c r="Q35" s="376">
        <f t="shared" si="60"/>
        <v>0</v>
      </c>
      <c r="R35" s="374">
        <f t="shared" si="61"/>
        <v>0</v>
      </c>
      <c r="S35" s="377"/>
      <c r="T35" s="377"/>
      <c r="U35" s="377"/>
      <c r="V35" s="378">
        <f t="shared" si="1"/>
        <v>0</v>
      </c>
      <c r="W35" s="379">
        <v>93.4</v>
      </c>
      <c r="X35" s="380"/>
      <c r="Y35" s="376">
        <f t="shared" si="62"/>
        <v>0</v>
      </c>
      <c r="Z35" s="374">
        <f t="shared" si="63"/>
        <v>0</v>
      </c>
      <c r="AA35" s="381"/>
      <c r="AB35" s="381"/>
      <c r="AC35" s="382"/>
      <c r="AD35" s="376">
        <f t="shared" si="64"/>
        <v>0</v>
      </c>
      <c r="AE35" s="374">
        <f t="shared" si="65"/>
        <v>0</v>
      </c>
      <c r="AF35" s="381"/>
      <c r="AG35" s="381"/>
      <c r="AH35" s="383"/>
      <c r="AI35" s="433">
        <f t="shared" si="66"/>
        <v>0</v>
      </c>
      <c r="AJ35" s="385"/>
      <c r="AK35" s="386"/>
      <c r="AL35" s="387"/>
      <c r="AM35" s="434">
        <f t="shared" si="3"/>
        <v>0</v>
      </c>
      <c r="AN35" s="389"/>
      <c r="AO35" s="435"/>
      <c r="AP35" s="435"/>
      <c r="AQ35" s="435"/>
      <c r="AR35" s="346" t="e">
        <f t="shared" si="4"/>
        <v>#DIV/0!</v>
      </c>
      <c r="AS35" s="436"/>
      <c r="AT35" s="392">
        <v>15</v>
      </c>
      <c r="AU35" s="49"/>
      <c r="AV35" s="48"/>
      <c r="AW35" s="52"/>
      <c r="AX35" s="393" t="e">
        <f t="shared" si="5"/>
        <v>#DIV/0!</v>
      </c>
      <c r="AY35" s="74">
        <v>462</v>
      </c>
      <c r="AZ35" s="437">
        <f t="shared" si="67"/>
        <v>0</v>
      </c>
      <c r="BA35" s="85"/>
      <c r="BB35" s="48"/>
      <c r="BC35" s="86"/>
      <c r="BD35" s="398">
        <f t="shared" si="6"/>
        <v>9</v>
      </c>
      <c r="BE35" s="399">
        <f t="shared" si="14"/>
        <v>5</v>
      </c>
      <c r="BF35" s="400">
        <v>4</v>
      </c>
      <c r="BG35" s="400">
        <v>1</v>
      </c>
      <c r="BH35" s="401">
        <v>4</v>
      </c>
      <c r="BI35" s="402">
        <f t="shared" si="68"/>
        <v>8</v>
      </c>
      <c r="BJ35" s="403">
        <v>6</v>
      </c>
      <c r="BK35" s="404">
        <v>2</v>
      </c>
      <c r="BL35" s="405">
        <v>5</v>
      </c>
      <c r="BM35" s="406">
        <f t="shared" si="8"/>
        <v>12</v>
      </c>
      <c r="BN35" s="407">
        <f t="shared" si="9"/>
        <v>10</v>
      </c>
      <c r="BO35" s="12">
        <v>6</v>
      </c>
      <c r="BP35" s="12">
        <v>4</v>
      </c>
      <c r="BQ35" s="12">
        <v>2</v>
      </c>
      <c r="BR35" s="408">
        <f t="shared" si="10"/>
        <v>1.5</v>
      </c>
      <c r="BS35" s="409">
        <f t="shared" si="16"/>
        <v>0</v>
      </c>
      <c r="BT35" s="410"/>
      <c r="BU35" s="411"/>
      <c r="BV35" s="438"/>
      <c r="BW35" s="412">
        <f t="shared" si="11"/>
        <v>0</v>
      </c>
    </row>
    <row r="36" spans="1:76" ht="16.899999999999999" customHeight="1" x14ac:dyDescent="0.3">
      <c r="A36" s="8" t="s">
        <v>100</v>
      </c>
      <c r="B36" s="9" t="s">
        <v>24</v>
      </c>
      <c r="C36" s="14" t="s">
        <v>110</v>
      </c>
      <c r="D36" s="40" t="s">
        <v>114</v>
      </c>
      <c r="E36" s="15" t="s">
        <v>103</v>
      </c>
      <c r="F36" s="59">
        <v>25</v>
      </c>
      <c r="G36" s="369">
        <f t="shared" si="54"/>
        <v>0</v>
      </c>
      <c r="H36" s="370">
        <v>25</v>
      </c>
      <c r="I36" s="371">
        <v>17</v>
      </c>
      <c r="J36" s="371">
        <v>8</v>
      </c>
      <c r="K36" s="372">
        <v>5</v>
      </c>
      <c r="L36" s="373">
        <f t="shared" si="55"/>
        <v>0</v>
      </c>
      <c r="M36" s="373">
        <f t="shared" si="56"/>
        <v>0</v>
      </c>
      <c r="N36" s="374">
        <f t="shared" si="57"/>
        <v>0</v>
      </c>
      <c r="O36" s="374">
        <f t="shared" si="58"/>
        <v>0</v>
      </c>
      <c r="P36" s="375">
        <f t="shared" si="59"/>
        <v>0</v>
      </c>
      <c r="Q36" s="376">
        <f t="shared" si="60"/>
        <v>0</v>
      </c>
      <c r="R36" s="374">
        <f t="shared" si="61"/>
        <v>0</v>
      </c>
      <c r="S36" s="377"/>
      <c r="T36" s="377"/>
      <c r="U36" s="377"/>
      <c r="V36" s="378">
        <f t="shared" si="1"/>
        <v>0</v>
      </c>
      <c r="W36" s="379">
        <v>92.8</v>
      </c>
      <c r="X36" s="380"/>
      <c r="Y36" s="376">
        <f t="shared" si="62"/>
        <v>0</v>
      </c>
      <c r="Z36" s="374">
        <f t="shared" si="63"/>
        <v>0</v>
      </c>
      <c r="AA36" s="381"/>
      <c r="AB36" s="381"/>
      <c r="AC36" s="382"/>
      <c r="AD36" s="376">
        <f t="shared" si="64"/>
        <v>0</v>
      </c>
      <c r="AE36" s="374">
        <f t="shared" si="65"/>
        <v>0</v>
      </c>
      <c r="AF36" s="381"/>
      <c r="AG36" s="381"/>
      <c r="AH36" s="383"/>
      <c r="AI36" s="433">
        <f t="shared" si="66"/>
        <v>0</v>
      </c>
      <c r="AJ36" s="385"/>
      <c r="AK36" s="386"/>
      <c r="AL36" s="387"/>
      <c r="AM36" s="434">
        <f t="shared" si="3"/>
        <v>0</v>
      </c>
      <c r="AN36" s="389"/>
      <c r="AO36" s="435"/>
      <c r="AP36" s="435"/>
      <c r="AQ36" s="435"/>
      <c r="AR36" s="346" t="e">
        <f t="shared" si="4"/>
        <v>#DIV/0!</v>
      </c>
      <c r="AS36" s="436"/>
      <c r="AT36" s="392">
        <v>20</v>
      </c>
      <c r="AU36" s="49"/>
      <c r="AV36" s="48"/>
      <c r="AW36" s="52"/>
      <c r="AX36" s="393" t="e">
        <f t="shared" si="5"/>
        <v>#DIV/0!</v>
      </c>
      <c r="AY36" s="74">
        <v>466</v>
      </c>
      <c r="AZ36" s="437">
        <f t="shared" si="67"/>
        <v>0</v>
      </c>
      <c r="BA36" s="85"/>
      <c r="BB36" s="48"/>
      <c r="BC36" s="86"/>
      <c r="BD36" s="398">
        <f t="shared" si="6"/>
        <v>4</v>
      </c>
      <c r="BE36" s="399">
        <f t="shared" si="14"/>
        <v>1</v>
      </c>
      <c r="BF36" s="400">
        <v>0</v>
      </c>
      <c r="BG36" s="400">
        <v>1</v>
      </c>
      <c r="BH36" s="401">
        <v>3</v>
      </c>
      <c r="BI36" s="402">
        <f t="shared" si="68"/>
        <v>4</v>
      </c>
      <c r="BJ36" s="403">
        <v>2</v>
      </c>
      <c r="BK36" s="404">
        <v>2</v>
      </c>
      <c r="BL36" s="405">
        <v>4</v>
      </c>
      <c r="BM36" s="406">
        <f t="shared" si="8"/>
        <v>25</v>
      </c>
      <c r="BN36" s="407">
        <f t="shared" si="9"/>
        <v>24</v>
      </c>
      <c r="BO36" s="12">
        <v>22</v>
      </c>
      <c r="BP36" s="12">
        <v>2</v>
      </c>
      <c r="BQ36" s="12">
        <v>1</v>
      </c>
      <c r="BR36" s="408">
        <f t="shared" si="10"/>
        <v>6.25</v>
      </c>
      <c r="BS36" s="409">
        <f t="shared" si="16"/>
        <v>0</v>
      </c>
      <c r="BT36" s="410"/>
      <c r="BU36" s="411"/>
      <c r="BV36" s="438"/>
      <c r="BW36" s="412">
        <f t="shared" si="11"/>
        <v>0</v>
      </c>
    </row>
    <row r="37" spans="1:76" ht="16.899999999999999" customHeight="1" x14ac:dyDescent="0.3">
      <c r="A37" s="8" t="s">
        <v>100</v>
      </c>
      <c r="B37" s="9" t="s">
        <v>24</v>
      </c>
      <c r="C37" s="14" t="s">
        <v>115</v>
      </c>
      <c r="D37" s="40" t="s">
        <v>116</v>
      </c>
      <c r="E37" s="15" t="s">
        <v>103</v>
      </c>
      <c r="F37" s="59">
        <v>60</v>
      </c>
      <c r="G37" s="369">
        <f t="shared" si="54"/>
        <v>0</v>
      </c>
      <c r="H37" s="370">
        <v>60</v>
      </c>
      <c r="I37" s="371">
        <v>41</v>
      </c>
      <c r="J37" s="371">
        <v>19</v>
      </c>
      <c r="K37" s="372">
        <v>12</v>
      </c>
      <c r="L37" s="373">
        <f t="shared" si="55"/>
        <v>0</v>
      </c>
      <c r="M37" s="373">
        <f t="shared" si="56"/>
        <v>0</v>
      </c>
      <c r="N37" s="374">
        <f t="shared" si="57"/>
        <v>0</v>
      </c>
      <c r="O37" s="374">
        <f t="shared" si="58"/>
        <v>0</v>
      </c>
      <c r="P37" s="375">
        <f t="shared" si="59"/>
        <v>0</v>
      </c>
      <c r="Q37" s="376">
        <f t="shared" si="60"/>
        <v>0</v>
      </c>
      <c r="R37" s="374">
        <f t="shared" si="61"/>
        <v>0</v>
      </c>
      <c r="S37" s="377"/>
      <c r="T37" s="377"/>
      <c r="U37" s="377"/>
      <c r="V37" s="378">
        <f t="shared" si="1"/>
        <v>0</v>
      </c>
      <c r="W37" s="379">
        <v>62.1</v>
      </c>
      <c r="X37" s="380"/>
      <c r="Y37" s="376">
        <f t="shared" si="62"/>
        <v>0</v>
      </c>
      <c r="Z37" s="374">
        <f t="shared" si="63"/>
        <v>0</v>
      </c>
      <c r="AA37" s="381"/>
      <c r="AB37" s="381"/>
      <c r="AC37" s="382"/>
      <c r="AD37" s="376">
        <f t="shared" si="64"/>
        <v>0</v>
      </c>
      <c r="AE37" s="374">
        <f t="shared" si="65"/>
        <v>0</v>
      </c>
      <c r="AF37" s="381"/>
      <c r="AG37" s="381"/>
      <c r="AH37" s="383"/>
      <c r="AI37" s="433">
        <f t="shared" si="66"/>
        <v>0</v>
      </c>
      <c r="AJ37" s="385"/>
      <c r="AK37" s="386"/>
      <c r="AL37" s="387"/>
      <c r="AM37" s="434">
        <f t="shared" si="3"/>
        <v>0</v>
      </c>
      <c r="AN37" s="389"/>
      <c r="AO37" s="435"/>
      <c r="AP37" s="435"/>
      <c r="AQ37" s="435"/>
      <c r="AR37" s="346" t="e">
        <f t="shared" si="4"/>
        <v>#DIV/0!</v>
      </c>
      <c r="AS37" s="436"/>
      <c r="AT37" s="392">
        <v>56</v>
      </c>
      <c r="AU37" s="49"/>
      <c r="AV37" s="48"/>
      <c r="AW37" s="52"/>
      <c r="AX37" s="393" t="e">
        <f t="shared" si="5"/>
        <v>#DIV/0!</v>
      </c>
      <c r="AY37" s="74">
        <v>191</v>
      </c>
      <c r="AZ37" s="437">
        <f t="shared" si="67"/>
        <v>0</v>
      </c>
      <c r="BA37" s="85"/>
      <c r="BB37" s="48"/>
      <c r="BC37" s="86"/>
      <c r="BD37" s="398">
        <f t="shared" si="6"/>
        <v>1</v>
      </c>
      <c r="BE37" s="399">
        <f t="shared" si="14"/>
        <v>0</v>
      </c>
      <c r="BF37" s="400">
        <v>0</v>
      </c>
      <c r="BG37" s="400">
        <v>0</v>
      </c>
      <c r="BH37" s="401">
        <v>1</v>
      </c>
      <c r="BI37" s="402">
        <f t="shared" si="68"/>
        <v>7</v>
      </c>
      <c r="BJ37" s="403">
        <v>3</v>
      </c>
      <c r="BK37" s="404">
        <v>4</v>
      </c>
      <c r="BL37" s="405">
        <v>2</v>
      </c>
      <c r="BM37" s="406">
        <f t="shared" si="8"/>
        <v>65</v>
      </c>
      <c r="BN37" s="407">
        <f t="shared" si="9"/>
        <v>56</v>
      </c>
      <c r="BO37" s="12">
        <v>46</v>
      </c>
      <c r="BP37" s="12">
        <v>10</v>
      </c>
      <c r="BQ37" s="12">
        <v>9</v>
      </c>
      <c r="BR37" s="408">
        <f t="shared" si="10"/>
        <v>9.2857142857142865</v>
      </c>
      <c r="BS37" s="409">
        <f t="shared" si="16"/>
        <v>0</v>
      </c>
      <c r="BT37" s="410"/>
      <c r="BU37" s="411"/>
      <c r="BV37" s="438"/>
      <c r="BW37" s="412">
        <f t="shared" si="11"/>
        <v>0</v>
      </c>
    </row>
    <row r="38" spans="1:76" ht="16.899999999999999" customHeight="1" x14ac:dyDescent="0.3">
      <c r="A38" s="8" t="s">
        <v>100</v>
      </c>
      <c r="B38" s="9" t="s">
        <v>24</v>
      </c>
      <c r="C38" s="14" t="s">
        <v>115</v>
      </c>
      <c r="D38" s="40" t="s">
        <v>116</v>
      </c>
      <c r="E38" s="41" t="s">
        <v>137</v>
      </c>
      <c r="F38" s="59">
        <v>25</v>
      </c>
      <c r="G38" s="369">
        <f t="shared" si="54"/>
        <v>0</v>
      </c>
      <c r="H38" s="370">
        <v>25</v>
      </c>
      <c r="I38" s="371">
        <v>10</v>
      </c>
      <c r="J38" s="371">
        <v>15</v>
      </c>
      <c r="K38" s="372">
        <v>5</v>
      </c>
      <c r="L38" s="373">
        <f t="shared" si="55"/>
        <v>0</v>
      </c>
      <c r="M38" s="373">
        <f t="shared" si="56"/>
        <v>0</v>
      </c>
      <c r="N38" s="374">
        <f t="shared" si="57"/>
        <v>0</v>
      </c>
      <c r="O38" s="374">
        <f t="shared" si="58"/>
        <v>0</v>
      </c>
      <c r="P38" s="375">
        <f t="shared" si="59"/>
        <v>0</v>
      </c>
      <c r="Q38" s="376">
        <f t="shared" si="60"/>
        <v>0</v>
      </c>
      <c r="R38" s="374">
        <f t="shared" si="61"/>
        <v>0</v>
      </c>
      <c r="S38" s="377"/>
      <c r="T38" s="377"/>
      <c r="U38" s="377"/>
      <c r="V38" s="378">
        <f t="shared" si="1"/>
        <v>0</v>
      </c>
      <c r="W38" s="379">
        <v>77.7</v>
      </c>
      <c r="X38" s="380"/>
      <c r="Y38" s="376">
        <f t="shared" si="62"/>
        <v>0</v>
      </c>
      <c r="Z38" s="374">
        <f t="shared" si="63"/>
        <v>0</v>
      </c>
      <c r="AA38" s="381"/>
      <c r="AB38" s="381"/>
      <c r="AC38" s="382"/>
      <c r="AD38" s="376">
        <f t="shared" si="64"/>
        <v>0</v>
      </c>
      <c r="AE38" s="374">
        <f t="shared" si="65"/>
        <v>0</v>
      </c>
      <c r="AF38" s="381"/>
      <c r="AG38" s="381"/>
      <c r="AH38" s="383"/>
      <c r="AI38" s="433">
        <f t="shared" si="66"/>
        <v>0</v>
      </c>
      <c r="AJ38" s="385"/>
      <c r="AK38" s="386"/>
      <c r="AL38" s="387"/>
      <c r="AM38" s="434">
        <f t="shared" si="3"/>
        <v>0</v>
      </c>
      <c r="AN38" s="389"/>
      <c r="AO38" s="435"/>
      <c r="AP38" s="435"/>
      <c r="AQ38" s="435"/>
      <c r="AR38" s="346" t="e">
        <f t="shared" si="4"/>
        <v>#DIV/0!</v>
      </c>
      <c r="AS38" s="436"/>
      <c r="AT38" s="392">
        <v>17</v>
      </c>
      <c r="AU38" s="49"/>
      <c r="AV38" s="50"/>
      <c r="AW38" s="53"/>
      <c r="AX38" s="393" t="e">
        <f t="shared" si="5"/>
        <v>#DIV/0!</v>
      </c>
      <c r="AY38" s="75">
        <v>295</v>
      </c>
      <c r="AZ38" s="437">
        <f t="shared" si="67"/>
        <v>0</v>
      </c>
      <c r="BA38" s="87"/>
      <c r="BB38" s="50"/>
      <c r="BC38" s="88"/>
      <c r="BD38" s="398">
        <f t="shared" si="6"/>
        <v>6</v>
      </c>
      <c r="BE38" s="399">
        <f t="shared" si="14"/>
        <v>6</v>
      </c>
      <c r="BF38" s="400">
        <v>0</v>
      </c>
      <c r="BG38" s="400">
        <v>6</v>
      </c>
      <c r="BH38" s="401">
        <v>0</v>
      </c>
      <c r="BI38" s="402">
        <f t="shared" si="68"/>
        <v>9</v>
      </c>
      <c r="BJ38" s="403">
        <v>2</v>
      </c>
      <c r="BK38" s="404">
        <v>7</v>
      </c>
      <c r="BL38" s="405">
        <v>1</v>
      </c>
      <c r="BM38" s="406">
        <f t="shared" si="8"/>
        <v>13</v>
      </c>
      <c r="BN38" s="407">
        <f t="shared" si="9"/>
        <v>9</v>
      </c>
      <c r="BO38" s="12">
        <v>7</v>
      </c>
      <c r="BP38" s="12">
        <v>2</v>
      </c>
      <c r="BQ38" s="12">
        <v>4</v>
      </c>
      <c r="BR38" s="408">
        <f t="shared" si="10"/>
        <v>1.4444444444444444</v>
      </c>
      <c r="BS38" s="409">
        <f t="shared" si="16"/>
        <v>0</v>
      </c>
      <c r="BT38" s="410"/>
      <c r="BU38" s="411"/>
      <c r="BV38" s="438"/>
      <c r="BW38" s="412">
        <f t="shared" si="11"/>
        <v>0</v>
      </c>
    </row>
    <row r="39" spans="1:76" ht="16.899999999999999" customHeight="1" x14ac:dyDescent="0.3">
      <c r="A39" s="4" t="s">
        <v>100</v>
      </c>
      <c r="B39" s="5" t="s">
        <v>25</v>
      </c>
      <c r="C39" s="5"/>
      <c r="D39" s="18" t="s">
        <v>21</v>
      </c>
      <c r="E39" s="6"/>
      <c r="F39" s="58">
        <f t="shared" ref="F39:K39" si="69">F40</f>
        <v>25</v>
      </c>
      <c r="G39" s="7">
        <f t="shared" si="69"/>
        <v>0</v>
      </c>
      <c r="H39" s="7">
        <f t="shared" si="69"/>
        <v>25</v>
      </c>
      <c r="I39" s="65">
        <f t="shared" si="69"/>
        <v>16</v>
      </c>
      <c r="J39" s="65">
        <f t="shared" si="69"/>
        <v>9</v>
      </c>
      <c r="K39" s="70">
        <f t="shared" si="69"/>
        <v>5</v>
      </c>
      <c r="L39" s="413">
        <f t="shared" ref="L39:U39" si="70">SUM(L40)</f>
        <v>0</v>
      </c>
      <c r="M39" s="413">
        <f t="shared" si="70"/>
        <v>0</v>
      </c>
      <c r="N39" s="413">
        <f t="shared" si="70"/>
        <v>0</v>
      </c>
      <c r="O39" s="413">
        <f t="shared" si="70"/>
        <v>0</v>
      </c>
      <c r="P39" s="414">
        <f t="shared" si="70"/>
        <v>0</v>
      </c>
      <c r="Q39" s="415">
        <f t="shared" si="70"/>
        <v>0</v>
      </c>
      <c r="R39" s="416">
        <f t="shared" si="70"/>
        <v>0</v>
      </c>
      <c r="S39" s="416">
        <f t="shared" si="70"/>
        <v>0</v>
      </c>
      <c r="T39" s="416">
        <f t="shared" si="70"/>
        <v>0</v>
      </c>
      <c r="U39" s="416">
        <f t="shared" si="70"/>
        <v>0</v>
      </c>
      <c r="V39" s="334">
        <f t="shared" ref="V39:V60" si="71">Q39/H39</f>
        <v>0</v>
      </c>
      <c r="W39" s="335">
        <f t="shared" ref="W39:AI39" si="72">SUM(W40)</f>
        <v>84.4</v>
      </c>
      <c r="X39" s="413">
        <f t="shared" si="72"/>
        <v>0</v>
      </c>
      <c r="Y39" s="415">
        <f t="shared" si="72"/>
        <v>0</v>
      </c>
      <c r="Z39" s="416">
        <f t="shared" si="72"/>
        <v>0</v>
      </c>
      <c r="AA39" s="416">
        <f t="shared" si="72"/>
        <v>0</v>
      </c>
      <c r="AB39" s="416">
        <f t="shared" si="72"/>
        <v>0</v>
      </c>
      <c r="AC39" s="417">
        <f t="shared" si="72"/>
        <v>0</v>
      </c>
      <c r="AD39" s="415">
        <f t="shared" si="72"/>
        <v>0</v>
      </c>
      <c r="AE39" s="416">
        <f t="shared" si="72"/>
        <v>0</v>
      </c>
      <c r="AF39" s="416">
        <f t="shared" si="72"/>
        <v>0</v>
      </c>
      <c r="AG39" s="416">
        <f t="shared" si="72"/>
        <v>0</v>
      </c>
      <c r="AH39" s="418">
        <f t="shared" si="72"/>
        <v>0</v>
      </c>
      <c r="AI39" s="339">
        <f t="shared" si="72"/>
        <v>0</v>
      </c>
      <c r="AJ39" s="340"/>
      <c r="AK39" s="448"/>
      <c r="AL39" s="342"/>
      <c r="AM39" s="420">
        <f t="shared" si="3"/>
        <v>0</v>
      </c>
      <c r="AN39" s="344"/>
      <c r="AO39" s="440"/>
      <c r="AP39" s="440"/>
      <c r="AQ39" s="440"/>
      <c r="AR39" s="346" t="e">
        <f t="shared" si="4"/>
        <v>#DIV/0!</v>
      </c>
      <c r="AS39" s="424">
        <v>0.88900000000000001</v>
      </c>
      <c r="AT39" s="441">
        <f>SUM(AT40)</f>
        <v>9</v>
      </c>
      <c r="AU39" s="442"/>
      <c r="AV39" s="361"/>
      <c r="AW39" s="444"/>
      <c r="AX39" s="352" t="e">
        <f t="shared" si="5"/>
        <v>#DIV/0!</v>
      </c>
      <c r="AY39" s="449">
        <v>0.61099999999999999</v>
      </c>
      <c r="AZ39" s="354">
        <f t="shared" si="67"/>
        <v>0</v>
      </c>
      <c r="BA39" s="340"/>
      <c r="BB39" s="450"/>
      <c r="BC39" s="451"/>
      <c r="BD39" s="356">
        <f t="shared" ref="BD39:BD61" si="73">BE39+BH39</f>
        <v>8</v>
      </c>
      <c r="BE39" s="356">
        <f t="shared" si="14"/>
        <v>5</v>
      </c>
      <c r="BF39" s="357">
        <f t="shared" ref="BF39:BL39" si="74">SUM(BF40)</f>
        <v>2</v>
      </c>
      <c r="BG39" s="357">
        <f t="shared" si="74"/>
        <v>3</v>
      </c>
      <c r="BH39" s="358">
        <f t="shared" si="74"/>
        <v>3</v>
      </c>
      <c r="BI39" s="359">
        <f t="shared" si="74"/>
        <v>13</v>
      </c>
      <c r="BJ39" s="360">
        <f t="shared" si="74"/>
        <v>8</v>
      </c>
      <c r="BK39" s="361">
        <f t="shared" si="74"/>
        <v>5</v>
      </c>
      <c r="BL39" s="362">
        <f t="shared" si="74"/>
        <v>5</v>
      </c>
      <c r="BM39" s="363">
        <f t="shared" ref="BM39:BM61" si="75">BN39+BQ39</f>
        <v>5</v>
      </c>
      <c r="BN39" s="356">
        <f t="shared" si="9"/>
        <v>5</v>
      </c>
      <c r="BO39" s="357">
        <f>SUM(BO40)</f>
        <v>5</v>
      </c>
      <c r="BP39" s="357">
        <f>SUM(BP40)</f>
        <v>0</v>
      </c>
      <c r="BQ39" s="357">
        <f>SUM(BQ40)</f>
        <v>0</v>
      </c>
      <c r="BR39" s="432">
        <f t="shared" ref="BR39:BR61" si="76">BM39/BI39</f>
        <v>0.38461538461538464</v>
      </c>
      <c r="BS39" s="366">
        <f t="shared" si="16"/>
        <v>0</v>
      </c>
      <c r="BT39" s="367">
        <f>BT40</f>
        <v>0</v>
      </c>
      <c r="BU39" s="452">
        <f>BU40</f>
        <v>0</v>
      </c>
      <c r="BV39" s="453">
        <f>BV40</f>
        <v>0</v>
      </c>
      <c r="BW39" s="368">
        <f t="shared" ref="BW39:BW61" si="77">BS39/BI39</f>
        <v>0</v>
      </c>
      <c r="BX39" t="s">
        <v>25</v>
      </c>
    </row>
    <row r="40" spans="1:76" ht="16.899999999999999" customHeight="1" x14ac:dyDescent="0.3">
      <c r="A40" s="8" t="s">
        <v>100</v>
      </c>
      <c r="B40" s="9" t="s">
        <v>25</v>
      </c>
      <c r="C40" s="9" t="s">
        <v>112</v>
      </c>
      <c r="D40" s="25" t="s">
        <v>138</v>
      </c>
      <c r="E40" s="10" t="s">
        <v>103</v>
      </c>
      <c r="F40" s="59">
        <v>25</v>
      </c>
      <c r="G40" s="369">
        <f>L40/F40</f>
        <v>0</v>
      </c>
      <c r="H40" s="370">
        <v>25</v>
      </c>
      <c r="I40" s="371">
        <v>16</v>
      </c>
      <c r="J40" s="371">
        <v>9</v>
      </c>
      <c r="K40" s="372">
        <v>5</v>
      </c>
      <c r="L40" s="373">
        <f>N40+O40+P40</f>
        <v>0</v>
      </c>
      <c r="M40" s="373">
        <f>N40+O40</f>
        <v>0</v>
      </c>
      <c r="N40" s="374">
        <f>AA40+AF40</f>
        <v>0</v>
      </c>
      <c r="O40" s="374">
        <f>AB40+AG40</f>
        <v>0</v>
      </c>
      <c r="P40" s="375">
        <f>AC40+AH40</f>
        <v>0</v>
      </c>
      <c r="Q40" s="376">
        <f>R40+U40</f>
        <v>0</v>
      </c>
      <c r="R40" s="374">
        <f>S40+T40</f>
        <v>0</v>
      </c>
      <c r="S40" s="377"/>
      <c r="T40" s="377"/>
      <c r="U40" s="377"/>
      <c r="V40" s="378">
        <f t="shared" si="71"/>
        <v>0</v>
      </c>
      <c r="W40" s="379">
        <v>84.4</v>
      </c>
      <c r="X40" s="380"/>
      <c r="Y40" s="376">
        <f>Z40+AC40</f>
        <v>0</v>
      </c>
      <c r="Z40" s="374">
        <f>AA40+AB40</f>
        <v>0</v>
      </c>
      <c r="AA40" s="381"/>
      <c r="AB40" s="381"/>
      <c r="AC40" s="382"/>
      <c r="AD40" s="376">
        <f>AE40+AH40</f>
        <v>0</v>
      </c>
      <c r="AE40" s="374">
        <f>AF40+AG40</f>
        <v>0</v>
      </c>
      <c r="AF40" s="381"/>
      <c r="AG40" s="381"/>
      <c r="AH40" s="383"/>
      <c r="AI40" s="433">
        <f>AJ40+AK40</f>
        <v>0</v>
      </c>
      <c r="AJ40" s="385"/>
      <c r="AK40" s="386"/>
      <c r="AL40" s="387"/>
      <c r="AM40" s="434">
        <f t="shared" si="3"/>
        <v>0</v>
      </c>
      <c r="AN40" s="454"/>
      <c r="AO40" s="435"/>
      <c r="AP40" s="435"/>
      <c r="AQ40" s="435"/>
      <c r="AR40" s="346" t="e">
        <f t="shared" si="4"/>
        <v>#DIV/0!</v>
      </c>
      <c r="AS40" s="436"/>
      <c r="AT40" s="392">
        <v>9</v>
      </c>
      <c r="AU40" s="49"/>
      <c r="AV40" s="50"/>
      <c r="AW40" s="53"/>
      <c r="AX40" s="393" t="e">
        <f t="shared" si="5"/>
        <v>#DIV/0!</v>
      </c>
      <c r="AY40" s="78">
        <v>447</v>
      </c>
      <c r="AZ40" s="437">
        <f t="shared" si="67"/>
        <v>0</v>
      </c>
      <c r="BA40" s="87"/>
      <c r="BB40" s="50"/>
      <c r="BC40" s="88"/>
      <c r="BD40" s="455">
        <f t="shared" si="73"/>
        <v>8</v>
      </c>
      <c r="BE40" s="399">
        <f t="shared" ref="BE40:BE61" si="78">BF40+BG40</f>
        <v>5</v>
      </c>
      <c r="BF40" s="400">
        <v>2</v>
      </c>
      <c r="BG40" s="400">
        <v>3</v>
      </c>
      <c r="BH40" s="401">
        <v>3</v>
      </c>
      <c r="BI40" s="402">
        <f>SUM(BJ40:BK40)</f>
        <v>13</v>
      </c>
      <c r="BJ40" s="403">
        <v>8</v>
      </c>
      <c r="BK40" s="456">
        <v>5</v>
      </c>
      <c r="BL40" s="405">
        <v>5</v>
      </c>
      <c r="BM40" s="457">
        <f t="shared" si="75"/>
        <v>5</v>
      </c>
      <c r="BN40" s="407">
        <f t="shared" si="9"/>
        <v>5</v>
      </c>
      <c r="BO40" s="12">
        <v>5</v>
      </c>
      <c r="BP40" s="12">
        <v>0</v>
      </c>
      <c r="BQ40" s="12">
        <v>0</v>
      </c>
      <c r="BR40" s="408">
        <f t="shared" si="76"/>
        <v>0.38461538461538464</v>
      </c>
      <c r="BS40" s="409">
        <f t="shared" ref="BS40:BS61" si="79">BT40+BU40+BV40</f>
        <v>0</v>
      </c>
      <c r="BT40" s="410"/>
      <c r="BU40" s="411"/>
      <c r="BV40" s="458"/>
      <c r="BW40" s="412">
        <f t="shared" si="77"/>
        <v>0</v>
      </c>
    </row>
    <row r="41" spans="1:76" ht="20.45" customHeight="1" x14ac:dyDescent="0.3">
      <c r="A41" s="742" t="s">
        <v>139</v>
      </c>
      <c r="B41" s="743"/>
      <c r="C41" s="743"/>
      <c r="D41" s="743"/>
      <c r="E41" s="744"/>
      <c r="F41" s="57">
        <f>F42+F59</f>
        <v>650</v>
      </c>
      <c r="G41" s="288">
        <f>L41/F41</f>
        <v>0</v>
      </c>
      <c r="H41" s="459">
        <f t="shared" ref="H41:U41" si="80">H42+H59</f>
        <v>650</v>
      </c>
      <c r="I41" s="460">
        <f t="shared" si="80"/>
        <v>433</v>
      </c>
      <c r="J41" s="460">
        <f t="shared" si="80"/>
        <v>217</v>
      </c>
      <c r="K41" s="461">
        <f t="shared" si="80"/>
        <v>110</v>
      </c>
      <c r="L41" s="462">
        <f t="shared" si="80"/>
        <v>0</v>
      </c>
      <c r="M41" s="462">
        <f t="shared" si="80"/>
        <v>0</v>
      </c>
      <c r="N41" s="462">
        <f t="shared" si="80"/>
        <v>0</v>
      </c>
      <c r="O41" s="462">
        <f t="shared" si="80"/>
        <v>0</v>
      </c>
      <c r="P41" s="463">
        <f t="shared" si="80"/>
        <v>0</v>
      </c>
      <c r="Q41" s="464">
        <f t="shared" si="80"/>
        <v>0</v>
      </c>
      <c r="R41" s="465">
        <f t="shared" si="80"/>
        <v>0</v>
      </c>
      <c r="S41" s="465">
        <f t="shared" si="80"/>
        <v>0</v>
      </c>
      <c r="T41" s="465">
        <f t="shared" si="80"/>
        <v>0</v>
      </c>
      <c r="U41" s="465">
        <f t="shared" si="80"/>
        <v>0</v>
      </c>
      <c r="V41" s="466">
        <f t="shared" si="71"/>
        <v>0</v>
      </c>
      <c r="W41" s="464">
        <f t="shared" ref="W41:AI41" si="81">W42+W59</f>
        <v>1188.5</v>
      </c>
      <c r="X41" s="462">
        <f t="shared" si="81"/>
        <v>0</v>
      </c>
      <c r="Y41" s="464">
        <f t="shared" si="81"/>
        <v>0</v>
      </c>
      <c r="Z41" s="465">
        <f t="shared" si="81"/>
        <v>0</v>
      </c>
      <c r="AA41" s="465">
        <f t="shared" si="81"/>
        <v>0</v>
      </c>
      <c r="AB41" s="465">
        <f t="shared" si="81"/>
        <v>0</v>
      </c>
      <c r="AC41" s="467">
        <f t="shared" si="81"/>
        <v>0</v>
      </c>
      <c r="AD41" s="468">
        <f t="shared" si="81"/>
        <v>0</v>
      </c>
      <c r="AE41" s="469">
        <f t="shared" si="81"/>
        <v>0</v>
      </c>
      <c r="AF41" s="469">
        <f t="shared" si="81"/>
        <v>0</v>
      </c>
      <c r="AG41" s="469">
        <f t="shared" si="81"/>
        <v>0</v>
      </c>
      <c r="AH41" s="470">
        <f t="shared" si="81"/>
        <v>0</v>
      </c>
      <c r="AI41" s="471">
        <f t="shared" si="81"/>
        <v>0</v>
      </c>
      <c r="AJ41" s="472"/>
      <c r="AK41" s="473"/>
      <c r="AL41" s="471"/>
      <c r="AM41" s="474">
        <f t="shared" si="3"/>
        <v>0</v>
      </c>
      <c r="AN41" s="475"/>
      <c r="AO41" s="476"/>
      <c r="AP41" s="476"/>
      <c r="AQ41" s="476"/>
      <c r="AR41" s="308" t="e">
        <f t="shared" si="4"/>
        <v>#DIV/0!</v>
      </c>
      <c r="AS41" s="309">
        <v>1.276</v>
      </c>
      <c r="AT41" s="477">
        <f>AT42+AT59</f>
        <v>427</v>
      </c>
      <c r="AU41" s="478"/>
      <c r="AV41" s="479"/>
      <c r="AW41" s="480"/>
      <c r="AX41" s="481" t="e">
        <f t="shared" si="5"/>
        <v>#DIV/0!</v>
      </c>
      <c r="AY41" s="482">
        <v>0.80400000000000005</v>
      </c>
      <c r="AZ41" s="483">
        <f>AZ42+AZ59</f>
        <v>0</v>
      </c>
      <c r="BA41" s="484"/>
      <c r="BB41" s="485"/>
      <c r="BC41" s="486"/>
      <c r="BD41" s="487">
        <f t="shared" si="73"/>
        <v>199</v>
      </c>
      <c r="BE41" s="487">
        <f t="shared" si="78"/>
        <v>127</v>
      </c>
      <c r="BF41" s="488">
        <f t="shared" ref="BF41:BL41" si="82">BF42+BF59</f>
        <v>62</v>
      </c>
      <c r="BG41" s="488">
        <f t="shared" si="82"/>
        <v>65</v>
      </c>
      <c r="BH41" s="489">
        <f t="shared" si="82"/>
        <v>72</v>
      </c>
      <c r="BI41" s="490">
        <f t="shared" si="82"/>
        <v>195</v>
      </c>
      <c r="BJ41" s="491">
        <f t="shared" si="82"/>
        <v>104</v>
      </c>
      <c r="BK41" s="479">
        <f t="shared" si="82"/>
        <v>91</v>
      </c>
      <c r="BL41" s="492">
        <f t="shared" si="82"/>
        <v>81</v>
      </c>
      <c r="BM41" s="493">
        <f t="shared" si="75"/>
        <v>430</v>
      </c>
      <c r="BN41" s="487">
        <f t="shared" si="9"/>
        <v>395</v>
      </c>
      <c r="BO41" s="488">
        <f>BO42+BO59</f>
        <v>296</v>
      </c>
      <c r="BP41" s="488">
        <f>BP42+BP59</f>
        <v>99</v>
      </c>
      <c r="BQ41" s="488">
        <f>BQ42+BQ59</f>
        <v>35</v>
      </c>
      <c r="BR41" s="494">
        <f t="shared" si="76"/>
        <v>2.2051282051282053</v>
      </c>
      <c r="BS41" s="327">
        <f t="shared" si="79"/>
        <v>0</v>
      </c>
      <c r="BT41" s="328">
        <f>BT42+BT59</f>
        <v>0</v>
      </c>
      <c r="BU41" s="328">
        <f>BU42+BU59</f>
        <v>0</v>
      </c>
      <c r="BV41" s="328">
        <f>BV42+BV59</f>
        <v>0</v>
      </c>
      <c r="BW41" s="329">
        <f t="shared" si="77"/>
        <v>0</v>
      </c>
    </row>
    <row r="42" spans="1:76" ht="16.899999999999999" customHeight="1" x14ac:dyDescent="0.3">
      <c r="A42" s="4" t="s">
        <v>140</v>
      </c>
      <c r="B42" s="5" t="s">
        <v>27</v>
      </c>
      <c r="C42" s="5"/>
      <c r="D42" s="13" t="s">
        <v>21</v>
      </c>
      <c r="E42" s="6"/>
      <c r="F42" s="58">
        <f t="shared" ref="F42:U42" si="83">SUM(F43:F58)</f>
        <v>625</v>
      </c>
      <c r="G42" s="7">
        <f t="shared" si="83"/>
        <v>0</v>
      </c>
      <c r="H42" s="20">
        <f t="shared" si="83"/>
        <v>625</v>
      </c>
      <c r="I42" s="66">
        <f t="shared" si="83"/>
        <v>417</v>
      </c>
      <c r="J42" s="66">
        <f t="shared" si="83"/>
        <v>208</v>
      </c>
      <c r="K42" s="70">
        <f t="shared" si="83"/>
        <v>105</v>
      </c>
      <c r="L42" s="495">
        <f t="shared" si="83"/>
        <v>0</v>
      </c>
      <c r="M42" s="495">
        <f t="shared" si="83"/>
        <v>0</v>
      </c>
      <c r="N42" s="495">
        <f t="shared" si="83"/>
        <v>0</v>
      </c>
      <c r="O42" s="495">
        <f t="shared" si="83"/>
        <v>0</v>
      </c>
      <c r="P42" s="496">
        <f t="shared" si="83"/>
        <v>0</v>
      </c>
      <c r="Q42" s="335">
        <f t="shared" si="83"/>
        <v>0</v>
      </c>
      <c r="R42" s="497">
        <f t="shared" si="83"/>
        <v>0</v>
      </c>
      <c r="S42" s="497">
        <f t="shared" si="83"/>
        <v>0</v>
      </c>
      <c r="T42" s="497">
        <f t="shared" si="83"/>
        <v>0</v>
      </c>
      <c r="U42" s="497">
        <f t="shared" si="83"/>
        <v>0</v>
      </c>
      <c r="V42" s="334">
        <f t="shared" si="71"/>
        <v>0</v>
      </c>
      <c r="W42" s="335">
        <f t="shared" ref="W42:AI42" si="84">SUM(W43:W58)</f>
        <v>1126.8</v>
      </c>
      <c r="X42" s="495">
        <f t="shared" si="84"/>
        <v>0</v>
      </c>
      <c r="Y42" s="415">
        <f t="shared" si="84"/>
        <v>0</v>
      </c>
      <c r="Z42" s="416">
        <f t="shared" si="84"/>
        <v>0</v>
      </c>
      <c r="AA42" s="416">
        <f t="shared" si="84"/>
        <v>0</v>
      </c>
      <c r="AB42" s="416">
        <f t="shared" si="84"/>
        <v>0</v>
      </c>
      <c r="AC42" s="417">
        <f t="shared" si="84"/>
        <v>0</v>
      </c>
      <c r="AD42" s="415">
        <f t="shared" si="84"/>
        <v>0</v>
      </c>
      <c r="AE42" s="416">
        <f t="shared" si="84"/>
        <v>0</v>
      </c>
      <c r="AF42" s="416">
        <f t="shared" si="84"/>
        <v>0</v>
      </c>
      <c r="AG42" s="416">
        <f t="shared" si="84"/>
        <v>0</v>
      </c>
      <c r="AH42" s="418">
        <f t="shared" si="84"/>
        <v>0</v>
      </c>
      <c r="AI42" s="339">
        <f t="shared" si="84"/>
        <v>0</v>
      </c>
      <c r="AJ42" s="340"/>
      <c r="AK42" s="341"/>
      <c r="AL42" s="342"/>
      <c r="AM42" s="420">
        <f t="shared" si="3"/>
        <v>0</v>
      </c>
      <c r="AN42" s="344"/>
      <c r="AO42" s="440"/>
      <c r="AP42" s="440"/>
      <c r="AQ42" s="440"/>
      <c r="AR42" s="346" t="e">
        <f t="shared" si="4"/>
        <v>#DIV/0!</v>
      </c>
      <c r="AS42" s="424">
        <v>1.268</v>
      </c>
      <c r="AT42" s="441">
        <f>SUM(AT43:AT58)</f>
        <v>419</v>
      </c>
      <c r="AU42" s="442"/>
      <c r="AV42" s="361"/>
      <c r="AW42" s="444"/>
      <c r="AX42" s="352" t="e">
        <f t="shared" si="5"/>
        <v>#DIV/0!</v>
      </c>
      <c r="AY42" s="427">
        <v>0.80100000000000005</v>
      </c>
      <c r="AZ42" s="354">
        <f>SUM(AZ43:AZ58)</f>
        <v>0</v>
      </c>
      <c r="BA42" s="340"/>
      <c r="BB42" s="340"/>
      <c r="BC42" s="355"/>
      <c r="BD42" s="356">
        <f t="shared" si="73"/>
        <v>183</v>
      </c>
      <c r="BE42" s="356">
        <f t="shared" si="78"/>
        <v>116</v>
      </c>
      <c r="BF42" s="357">
        <f t="shared" ref="BF42:BL42" si="85">SUM(BF43:BF58)</f>
        <v>57</v>
      </c>
      <c r="BG42" s="357">
        <f t="shared" si="85"/>
        <v>59</v>
      </c>
      <c r="BH42" s="358">
        <f t="shared" si="85"/>
        <v>67</v>
      </c>
      <c r="BI42" s="359">
        <f t="shared" si="85"/>
        <v>181</v>
      </c>
      <c r="BJ42" s="360">
        <f t="shared" si="85"/>
        <v>97</v>
      </c>
      <c r="BK42" s="361">
        <f t="shared" si="85"/>
        <v>84</v>
      </c>
      <c r="BL42" s="362">
        <f t="shared" si="85"/>
        <v>76</v>
      </c>
      <c r="BM42" s="363">
        <f t="shared" si="75"/>
        <v>415</v>
      </c>
      <c r="BN42" s="356">
        <f t="shared" si="9"/>
        <v>381</v>
      </c>
      <c r="BO42" s="357">
        <f>SUM(BO43:BO58)</f>
        <v>285</v>
      </c>
      <c r="BP42" s="357">
        <f>SUM(BP43:BP58)</f>
        <v>96</v>
      </c>
      <c r="BQ42" s="357">
        <f>SUM(BQ43:BQ58)</f>
        <v>34</v>
      </c>
      <c r="BR42" s="432">
        <f t="shared" si="76"/>
        <v>2.2928176795580111</v>
      </c>
      <c r="BS42" s="366">
        <f t="shared" si="79"/>
        <v>0</v>
      </c>
      <c r="BT42" s="367">
        <f>SUM(BT43:BT58)</f>
        <v>0</v>
      </c>
      <c r="BU42" s="367">
        <f>SUM(BU43:BU58)</f>
        <v>0</v>
      </c>
      <c r="BV42" s="367">
        <f>SUM(BV43:BV58)</f>
        <v>0</v>
      </c>
      <c r="BW42" s="368">
        <f t="shared" si="77"/>
        <v>0</v>
      </c>
      <c r="BX42" t="s">
        <v>27</v>
      </c>
    </row>
    <row r="43" spans="1:76" ht="16.899999999999999" customHeight="1" x14ac:dyDescent="0.3">
      <c r="A43" s="8" t="s">
        <v>140</v>
      </c>
      <c r="B43" s="9" t="s">
        <v>27</v>
      </c>
      <c r="C43" s="14" t="s">
        <v>110</v>
      </c>
      <c r="D43" s="40" t="s">
        <v>141</v>
      </c>
      <c r="E43" s="15" t="s">
        <v>103</v>
      </c>
      <c r="F43" s="59">
        <v>50</v>
      </c>
      <c r="G43" s="369">
        <f t="shared" ref="G43:G58" si="86">L43/F43</f>
        <v>0</v>
      </c>
      <c r="H43" s="370">
        <v>50</v>
      </c>
      <c r="I43" s="371">
        <v>33</v>
      </c>
      <c r="J43" s="371">
        <v>17</v>
      </c>
      <c r="K43" s="372">
        <v>10</v>
      </c>
      <c r="L43" s="373">
        <f t="shared" ref="L43:L58" si="87">N43+O43+P43</f>
        <v>0</v>
      </c>
      <c r="M43" s="373">
        <f t="shared" ref="M43:M58" si="88">N43+O43</f>
        <v>0</v>
      </c>
      <c r="N43" s="374">
        <f t="shared" ref="N43:N58" si="89">AA43+AF43</f>
        <v>0</v>
      </c>
      <c r="O43" s="374">
        <f t="shared" ref="O43:O58" si="90">AB43+AG43</f>
        <v>0</v>
      </c>
      <c r="P43" s="375">
        <f t="shared" ref="P43:P58" si="91">AC43+AH43</f>
        <v>0</v>
      </c>
      <c r="Q43" s="376">
        <f t="shared" ref="Q43:Q58" si="92">R43+U43</f>
        <v>0</v>
      </c>
      <c r="R43" s="374">
        <f t="shared" ref="R43:R58" si="93">S43+T43</f>
        <v>0</v>
      </c>
      <c r="S43" s="377"/>
      <c r="T43" s="377"/>
      <c r="U43" s="377"/>
      <c r="V43" s="378">
        <f t="shared" si="71"/>
        <v>0</v>
      </c>
      <c r="W43" s="379">
        <v>58.6</v>
      </c>
      <c r="X43" s="380"/>
      <c r="Y43" s="376">
        <f t="shared" ref="Y43:Y58" si="94">Z43+AC43</f>
        <v>0</v>
      </c>
      <c r="Z43" s="374">
        <f t="shared" ref="Z43:Z58" si="95">AA43+AB43</f>
        <v>0</v>
      </c>
      <c r="AA43" s="381"/>
      <c r="AB43" s="381"/>
      <c r="AC43" s="382"/>
      <c r="AD43" s="376">
        <f t="shared" ref="AD43:AD58" si="96">AE43+AH43</f>
        <v>0</v>
      </c>
      <c r="AE43" s="374">
        <f t="shared" ref="AE43:AE58" si="97">AF43+AG43</f>
        <v>0</v>
      </c>
      <c r="AF43" s="381"/>
      <c r="AG43" s="381"/>
      <c r="AH43" s="383"/>
      <c r="AI43" s="433">
        <f t="shared" ref="AI43:AI58" si="98">AJ43+AK43</f>
        <v>0</v>
      </c>
      <c r="AJ43" s="385"/>
      <c r="AK43" s="386"/>
      <c r="AL43" s="387"/>
      <c r="AM43" s="434">
        <f t="shared" si="3"/>
        <v>0</v>
      </c>
      <c r="AN43" s="389"/>
      <c r="AO43" s="435"/>
      <c r="AP43" s="435"/>
      <c r="AQ43" s="435"/>
      <c r="AR43" s="346" t="e">
        <f t="shared" si="4"/>
        <v>#DIV/0!</v>
      </c>
      <c r="AS43" s="436"/>
      <c r="AT43" s="392">
        <v>27</v>
      </c>
      <c r="AU43" s="49"/>
      <c r="AV43" s="48"/>
      <c r="AW43" s="52"/>
      <c r="AX43" s="393" t="e">
        <f t="shared" si="5"/>
        <v>#DIV/0!</v>
      </c>
      <c r="AY43" s="77">
        <v>48</v>
      </c>
      <c r="AZ43" s="437">
        <f t="shared" ref="AZ43:AZ58" si="99">BA43+BB43</f>
        <v>0</v>
      </c>
      <c r="BA43" s="395"/>
      <c r="BB43" s="396"/>
      <c r="BC43" s="397"/>
      <c r="BD43" s="398">
        <f t="shared" si="73"/>
        <v>23</v>
      </c>
      <c r="BE43" s="399">
        <f t="shared" si="78"/>
        <v>18</v>
      </c>
      <c r="BF43" s="400">
        <v>10</v>
      </c>
      <c r="BG43" s="400">
        <v>8</v>
      </c>
      <c r="BH43" s="401">
        <v>5</v>
      </c>
      <c r="BI43" s="402">
        <f t="shared" ref="BI43:BI58" si="100">SUM(BJ43:BK43)</f>
        <v>22</v>
      </c>
      <c r="BJ43" s="403">
        <v>12</v>
      </c>
      <c r="BK43" s="404">
        <v>10</v>
      </c>
      <c r="BL43" s="405">
        <v>6</v>
      </c>
      <c r="BM43" s="457">
        <f t="shared" si="75"/>
        <v>17</v>
      </c>
      <c r="BN43" s="407">
        <f t="shared" si="9"/>
        <v>16</v>
      </c>
      <c r="BO43" s="12">
        <v>12</v>
      </c>
      <c r="BP43" s="12">
        <v>4</v>
      </c>
      <c r="BQ43" s="12">
        <v>1</v>
      </c>
      <c r="BR43" s="408">
        <f t="shared" si="76"/>
        <v>0.77272727272727271</v>
      </c>
      <c r="BS43" s="409">
        <f t="shared" si="79"/>
        <v>0</v>
      </c>
      <c r="BT43" s="410"/>
      <c r="BU43" s="411"/>
      <c r="BV43" s="438"/>
      <c r="BW43" s="412">
        <f t="shared" si="77"/>
        <v>0</v>
      </c>
    </row>
    <row r="44" spans="1:76" ht="16.899999999999999" customHeight="1" x14ac:dyDescent="0.3">
      <c r="A44" s="8" t="s">
        <v>140</v>
      </c>
      <c r="B44" s="9" t="s">
        <v>27</v>
      </c>
      <c r="C44" s="14" t="s">
        <v>122</v>
      </c>
      <c r="D44" s="40" t="s">
        <v>142</v>
      </c>
      <c r="E44" s="15" t="s">
        <v>103</v>
      </c>
      <c r="F44" s="59">
        <v>50</v>
      </c>
      <c r="G44" s="369">
        <f t="shared" si="86"/>
        <v>0</v>
      </c>
      <c r="H44" s="370">
        <v>50</v>
      </c>
      <c r="I44" s="371">
        <v>34</v>
      </c>
      <c r="J44" s="371">
        <v>16</v>
      </c>
      <c r="K44" s="372">
        <v>10</v>
      </c>
      <c r="L44" s="373">
        <f t="shared" si="87"/>
        <v>0</v>
      </c>
      <c r="M44" s="373">
        <f t="shared" si="88"/>
        <v>0</v>
      </c>
      <c r="N44" s="374">
        <f t="shared" si="89"/>
        <v>0</v>
      </c>
      <c r="O44" s="374">
        <f t="shared" si="90"/>
        <v>0</v>
      </c>
      <c r="P44" s="375">
        <f t="shared" si="91"/>
        <v>0</v>
      </c>
      <c r="Q44" s="376">
        <f t="shared" si="92"/>
        <v>0</v>
      </c>
      <c r="R44" s="374">
        <f t="shared" si="93"/>
        <v>0</v>
      </c>
      <c r="S44" s="377"/>
      <c r="T44" s="377"/>
      <c r="U44" s="377"/>
      <c r="V44" s="378">
        <f t="shared" si="71"/>
        <v>0</v>
      </c>
      <c r="W44" s="379">
        <v>79.5</v>
      </c>
      <c r="X44" s="380"/>
      <c r="Y44" s="376">
        <f t="shared" si="94"/>
        <v>0</v>
      </c>
      <c r="Z44" s="374">
        <f t="shared" si="95"/>
        <v>0</v>
      </c>
      <c r="AA44" s="381"/>
      <c r="AB44" s="381"/>
      <c r="AC44" s="382"/>
      <c r="AD44" s="376">
        <f t="shared" si="96"/>
        <v>0</v>
      </c>
      <c r="AE44" s="374">
        <f t="shared" si="97"/>
        <v>0</v>
      </c>
      <c r="AF44" s="381"/>
      <c r="AG44" s="381"/>
      <c r="AH44" s="383"/>
      <c r="AI44" s="433">
        <f t="shared" si="98"/>
        <v>0</v>
      </c>
      <c r="AJ44" s="385"/>
      <c r="AK44" s="386"/>
      <c r="AL44" s="387"/>
      <c r="AM44" s="434">
        <f t="shared" si="3"/>
        <v>0</v>
      </c>
      <c r="AN44" s="389"/>
      <c r="AO44" s="435"/>
      <c r="AP44" s="435"/>
      <c r="AQ44" s="435"/>
      <c r="AR44" s="346" t="e">
        <f t="shared" si="4"/>
        <v>#DIV/0!</v>
      </c>
      <c r="AS44" s="436"/>
      <c r="AT44" s="392">
        <v>28</v>
      </c>
      <c r="AU44" s="49"/>
      <c r="AV44" s="48"/>
      <c r="AW44" s="52"/>
      <c r="AX44" s="393" t="e">
        <f t="shared" si="5"/>
        <v>#DIV/0!</v>
      </c>
      <c r="AY44" s="77">
        <v>271</v>
      </c>
      <c r="AZ44" s="437">
        <f t="shared" si="99"/>
        <v>0</v>
      </c>
      <c r="BA44" s="395"/>
      <c r="BB44" s="396"/>
      <c r="BC44" s="397"/>
      <c r="BD44" s="398">
        <f t="shared" si="73"/>
        <v>20</v>
      </c>
      <c r="BE44" s="399">
        <f t="shared" si="78"/>
        <v>12</v>
      </c>
      <c r="BF44" s="400">
        <v>11</v>
      </c>
      <c r="BG44" s="400">
        <v>1</v>
      </c>
      <c r="BH44" s="401">
        <v>8</v>
      </c>
      <c r="BI44" s="402">
        <f t="shared" si="100"/>
        <v>17</v>
      </c>
      <c r="BJ44" s="403">
        <v>14</v>
      </c>
      <c r="BK44" s="404">
        <v>3</v>
      </c>
      <c r="BL44" s="405">
        <v>9</v>
      </c>
      <c r="BM44" s="457">
        <f t="shared" si="75"/>
        <v>24</v>
      </c>
      <c r="BN44" s="407">
        <f t="shared" si="9"/>
        <v>24</v>
      </c>
      <c r="BO44" s="12">
        <v>21</v>
      </c>
      <c r="BP44" s="12">
        <v>3</v>
      </c>
      <c r="BQ44" s="12">
        <v>0</v>
      </c>
      <c r="BR44" s="408">
        <f t="shared" si="76"/>
        <v>1.411764705882353</v>
      </c>
      <c r="BS44" s="409">
        <f t="shared" si="79"/>
        <v>0</v>
      </c>
      <c r="BT44" s="410"/>
      <c r="BU44" s="411"/>
      <c r="BV44" s="438"/>
      <c r="BW44" s="412">
        <f t="shared" si="77"/>
        <v>0</v>
      </c>
    </row>
    <row r="45" spans="1:76" ht="16.899999999999999" customHeight="1" x14ac:dyDescent="0.3">
      <c r="A45" s="8" t="s">
        <v>140</v>
      </c>
      <c r="B45" s="9" t="s">
        <v>27</v>
      </c>
      <c r="C45" s="14" t="s">
        <v>101</v>
      </c>
      <c r="D45" s="40" t="s">
        <v>143</v>
      </c>
      <c r="E45" s="15" t="s">
        <v>103</v>
      </c>
      <c r="F45" s="59">
        <v>25</v>
      </c>
      <c r="G45" s="369">
        <f t="shared" si="86"/>
        <v>0</v>
      </c>
      <c r="H45" s="370">
        <v>25</v>
      </c>
      <c r="I45" s="371">
        <v>16</v>
      </c>
      <c r="J45" s="371">
        <v>9</v>
      </c>
      <c r="K45" s="372">
        <v>5</v>
      </c>
      <c r="L45" s="373">
        <f t="shared" si="87"/>
        <v>0</v>
      </c>
      <c r="M45" s="373">
        <f t="shared" si="88"/>
        <v>0</v>
      </c>
      <c r="N45" s="374">
        <f t="shared" si="89"/>
        <v>0</v>
      </c>
      <c r="O45" s="374">
        <f t="shared" si="90"/>
        <v>0</v>
      </c>
      <c r="P45" s="375">
        <f t="shared" si="91"/>
        <v>0</v>
      </c>
      <c r="Q45" s="376">
        <f t="shared" si="92"/>
        <v>0</v>
      </c>
      <c r="R45" s="374">
        <f t="shared" si="93"/>
        <v>0</v>
      </c>
      <c r="S45" s="377"/>
      <c r="T45" s="377"/>
      <c r="U45" s="377"/>
      <c r="V45" s="378">
        <f t="shared" si="71"/>
        <v>0</v>
      </c>
      <c r="W45" s="379">
        <v>55.9</v>
      </c>
      <c r="X45" s="380"/>
      <c r="Y45" s="376">
        <f t="shared" si="94"/>
        <v>0</v>
      </c>
      <c r="Z45" s="374">
        <f t="shared" si="95"/>
        <v>0</v>
      </c>
      <c r="AA45" s="381"/>
      <c r="AB45" s="381"/>
      <c r="AC45" s="382"/>
      <c r="AD45" s="376">
        <f t="shared" si="96"/>
        <v>0</v>
      </c>
      <c r="AE45" s="374">
        <f t="shared" si="97"/>
        <v>0</v>
      </c>
      <c r="AF45" s="381"/>
      <c r="AG45" s="381"/>
      <c r="AH45" s="383"/>
      <c r="AI45" s="433">
        <f t="shared" si="98"/>
        <v>0</v>
      </c>
      <c r="AJ45" s="385"/>
      <c r="AK45" s="386"/>
      <c r="AL45" s="387"/>
      <c r="AM45" s="434">
        <f t="shared" si="3"/>
        <v>0</v>
      </c>
      <c r="AN45" s="389"/>
      <c r="AO45" s="435"/>
      <c r="AP45" s="435"/>
      <c r="AQ45" s="435"/>
      <c r="AR45" s="346" t="e">
        <f t="shared" si="4"/>
        <v>#DIV/0!</v>
      </c>
      <c r="AS45" s="436"/>
      <c r="AT45" s="392">
        <v>20</v>
      </c>
      <c r="AU45" s="49"/>
      <c r="AV45" s="48"/>
      <c r="AW45" s="52"/>
      <c r="AX45" s="393" t="e">
        <f t="shared" si="5"/>
        <v>#DIV/0!</v>
      </c>
      <c r="AY45" s="77">
        <v>66</v>
      </c>
      <c r="AZ45" s="437">
        <f t="shared" si="99"/>
        <v>0</v>
      </c>
      <c r="BA45" s="395"/>
      <c r="BB45" s="396"/>
      <c r="BC45" s="397"/>
      <c r="BD45" s="398">
        <f t="shared" si="73"/>
        <v>4</v>
      </c>
      <c r="BE45" s="399">
        <f t="shared" si="78"/>
        <v>0</v>
      </c>
      <c r="BF45" s="400">
        <v>0</v>
      </c>
      <c r="BG45" s="400">
        <v>0</v>
      </c>
      <c r="BH45" s="401">
        <v>4</v>
      </c>
      <c r="BI45" s="402">
        <f t="shared" si="100"/>
        <v>3</v>
      </c>
      <c r="BJ45" s="403">
        <v>2</v>
      </c>
      <c r="BK45" s="404">
        <v>1</v>
      </c>
      <c r="BL45" s="405">
        <v>4</v>
      </c>
      <c r="BM45" s="457">
        <f t="shared" si="75"/>
        <v>30</v>
      </c>
      <c r="BN45" s="407">
        <f t="shared" si="9"/>
        <v>29</v>
      </c>
      <c r="BO45" s="12">
        <v>19</v>
      </c>
      <c r="BP45" s="12">
        <v>10</v>
      </c>
      <c r="BQ45" s="12">
        <v>1</v>
      </c>
      <c r="BR45" s="408">
        <f t="shared" si="76"/>
        <v>10</v>
      </c>
      <c r="BS45" s="409">
        <f t="shared" si="79"/>
        <v>0</v>
      </c>
      <c r="BT45" s="410"/>
      <c r="BU45" s="411"/>
      <c r="BV45" s="438"/>
      <c r="BW45" s="412">
        <f t="shared" si="77"/>
        <v>0</v>
      </c>
    </row>
    <row r="46" spans="1:76" ht="16.899999999999999" customHeight="1" x14ac:dyDescent="0.3">
      <c r="A46" s="8" t="s">
        <v>140</v>
      </c>
      <c r="B46" s="9" t="s">
        <v>27</v>
      </c>
      <c r="C46" s="14" t="s">
        <v>112</v>
      </c>
      <c r="D46" s="40" t="s">
        <v>144</v>
      </c>
      <c r="E46" s="15" t="s">
        <v>103</v>
      </c>
      <c r="F46" s="59">
        <v>50</v>
      </c>
      <c r="G46" s="369">
        <f t="shared" si="86"/>
        <v>0</v>
      </c>
      <c r="H46" s="370">
        <v>50</v>
      </c>
      <c r="I46" s="371">
        <v>34</v>
      </c>
      <c r="J46" s="371">
        <v>16</v>
      </c>
      <c r="K46" s="372">
        <v>10</v>
      </c>
      <c r="L46" s="373">
        <f t="shared" si="87"/>
        <v>0</v>
      </c>
      <c r="M46" s="373">
        <f t="shared" si="88"/>
        <v>0</v>
      </c>
      <c r="N46" s="374">
        <f t="shared" si="89"/>
        <v>0</v>
      </c>
      <c r="O46" s="374">
        <f t="shared" si="90"/>
        <v>0</v>
      </c>
      <c r="P46" s="375">
        <f t="shared" si="91"/>
        <v>0</v>
      </c>
      <c r="Q46" s="376">
        <f t="shared" si="92"/>
        <v>0</v>
      </c>
      <c r="R46" s="374">
        <f t="shared" si="93"/>
        <v>0</v>
      </c>
      <c r="S46" s="377"/>
      <c r="T46" s="377"/>
      <c r="U46" s="377"/>
      <c r="V46" s="378">
        <f t="shared" si="71"/>
        <v>0</v>
      </c>
      <c r="W46" s="379">
        <v>59.3</v>
      </c>
      <c r="X46" s="380"/>
      <c r="Y46" s="376">
        <f t="shared" si="94"/>
        <v>0</v>
      </c>
      <c r="Z46" s="374">
        <f t="shared" si="95"/>
        <v>0</v>
      </c>
      <c r="AA46" s="381"/>
      <c r="AB46" s="381"/>
      <c r="AC46" s="382"/>
      <c r="AD46" s="376">
        <f t="shared" si="96"/>
        <v>0</v>
      </c>
      <c r="AE46" s="374">
        <f t="shared" si="97"/>
        <v>0</v>
      </c>
      <c r="AF46" s="381"/>
      <c r="AG46" s="381"/>
      <c r="AH46" s="383"/>
      <c r="AI46" s="433">
        <f t="shared" si="98"/>
        <v>0</v>
      </c>
      <c r="AJ46" s="385"/>
      <c r="AK46" s="386"/>
      <c r="AL46" s="387"/>
      <c r="AM46" s="434">
        <f t="shared" si="3"/>
        <v>0</v>
      </c>
      <c r="AN46" s="389"/>
      <c r="AO46" s="435"/>
      <c r="AP46" s="435"/>
      <c r="AQ46" s="435"/>
      <c r="AR46" s="346" t="e">
        <f t="shared" si="4"/>
        <v>#DIV/0!</v>
      </c>
      <c r="AS46" s="436"/>
      <c r="AT46" s="392">
        <v>24</v>
      </c>
      <c r="AU46" s="49"/>
      <c r="AV46" s="48"/>
      <c r="AW46" s="52"/>
      <c r="AX46" s="393" t="e">
        <f t="shared" si="5"/>
        <v>#DIV/0!</v>
      </c>
      <c r="AY46" s="77">
        <v>177</v>
      </c>
      <c r="AZ46" s="437">
        <f t="shared" si="99"/>
        <v>0</v>
      </c>
      <c r="BA46" s="395"/>
      <c r="BB46" s="396"/>
      <c r="BC46" s="397"/>
      <c r="BD46" s="398">
        <f t="shared" si="73"/>
        <v>24</v>
      </c>
      <c r="BE46" s="399">
        <f t="shared" si="78"/>
        <v>18</v>
      </c>
      <c r="BF46" s="400">
        <v>13</v>
      </c>
      <c r="BG46" s="400">
        <v>5</v>
      </c>
      <c r="BH46" s="401">
        <v>6</v>
      </c>
      <c r="BI46" s="402">
        <f t="shared" si="100"/>
        <v>23</v>
      </c>
      <c r="BJ46" s="403">
        <v>16</v>
      </c>
      <c r="BK46" s="404">
        <v>7</v>
      </c>
      <c r="BL46" s="405">
        <v>7</v>
      </c>
      <c r="BM46" s="457">
        <f t="shared" si="75"/>
        <v>22</v>
      </c>
      <c r="BN46" s="407">
        <f t="shared" si="9"/>
        <v>20</v>
      </c>
      <c r="BO46" s="12">
        <v>18</v>
      </c>
      <c r="BP46" s="12">
        <v>2</v>
      </c>
      <c r="BQ46" s="12">
        <v>2</v>
      </c>
      <c r="BR46" s="408">
        <f t="shared" si="76"/>
        <v>0.95652173913043481</v>
      </c>
      <c r="BS46" s="409">
        <f t="shared" si="79"/>
        <v>0</v>
      </c>
      <c r="BT46" s="410"/>
      <c r="BU46" s="411"/>
      <c r="BV46" s="438"/>
      <c r="BW46" s="412">
        <f t="shared" si="77"/>
        <v>0</v>
      </c>
    </row>
    <row r="47" spans="1:76" ht="16.899999999999999" customHeight="1" x14ac:dyDescent="0.3">
      <c r="A47" s="8" t="s">
        <v>140</v>
      </c>
      <c r="B47" s="9" t="s">
        <v>27</v>
      </c>
      <c r="C47" s="14" t="s">
        <v>104</v>
      </c>
      <c r="D47" s="40" t="s">
        <v>145</v>
      </c>
      <c r="E47" s="15" t="s">
        <v>103</v>
      </c>
      <c r="F47" s="59">
        <v>50</v>
      </c>
      <c r="G47" s="369">
        <f t="shared" si="86"/>
        <v>0</v>
      </c>
      <c r="H47" s="370">
        <v>50</v>
      </c>
      <c r="I47" s="371">
        <v>34</v>
      </c>
      <c r="J47" s="371">
        <v>16</v>
      </c>
      <c r="K47" s="372">
        <v>10</v>
      </c>
      <c r="L47" s="373">
        <f t="shared" si="87"/>
        <v>0</v>
      </c>
      <c r="M47" s="373">
        <f t="shared" si="88"/>
        <v>0</v>
      </c>
      <c r="N47" s="374">
        <f t="shared" si="89"/>
        <v>0</v>
      </c>
      <c r="O47" s="374">
        <f t="shared" si="90"/>
        <v>0</v>
      </c>
      <c r="P47" s="375">
        <f t="shared" si="91"/>
        <v>0</v>
      </c>
      <c r="Q47" s="376">
        <f t="shared" si="92"/>
        <v>0</v>
      </c>
      <c r="R47" s="374">
        <f t="shared" si="93"/>
        <v>0</v>
      </c>
      <c r="S47" s="377"/>
      <c r="T47" s="377"/>
      <c r="U47" s="377"/>
      <c r="V47" s="378">
        <f t="shared" si="71"/>
        <v>0</v>
      </c>
      <c r="W47" s="379">
        <v>93</v>
      </c>
      <c r="X47" s="380"/>
      <c r="Y47" s="376">
        <f t="shared" si="94"/>
        <v>0</v>
      </c>
      <c r="Z47" s="374">
        <f t="shared" si="95"/>
        <v>0</v>
      </c>
      <c r="AA47" s="381"/>
      <c r="AB47" s="381"/>
      <c r="AC47" s="382"/>
      <c r="AD47" s="376">
        <f t="shared" si="96"/>
        <v>0</v>
      </c>
      <c r="AE47" s="374">
        <f t="shared" si="97"/>
        <v>0</v>
      </c>
      <c r="AF47" s="381"/>
      <c r="AG47" s="381"/>
      <c r="AH47" s="383"/>
      <c r="AI47" s="433">
        <f t="shared" si="98"/>
        <v>0</v>
      </c>
      <c r="AJ47" s="385"/>
      <c r="AK47" s="386"/>
      <c r="AL47" s="387"/>
      <c r="AM47" s="434">
        <f t="shared" si="3"/>
        <v>0</v>
      </c>
      <c r="AN47" s="389"/>
      <c r="AO47" s="435"/>
      <c r="AP47" s="435"/>
      <c r="AQ47" s="435"/>
      <c r="AR47" s="346" t="e">
        <f t="shared" si="4"/>
        <v>#DIV/0!</v>
      </c>
      <c r="AS47" s="436"/>
      <c r="AT47" s="392">
        <v>27</v>
      </c>
      <c r="AU47" s="49"/>
      <c r="AV47" s="48"/>
      <c r="AW47" s="52"/>
      <c r="AX47" s="393" t="e">
        <f t="shared" si="5"/>
        <v>#DIV/0!</v>
      </c>
      <c r="AY47" s="77">
        <v>154</v>
      </c>
      <c r="AZ47" s="437">
        <f t="shared" si="99"/>
        <v>0</v>
      </c>
      <c r="BA47" s="395"/>
      <c r="BB47" s="396"/>
      <c r="BC47" s="397"/>
      <c r="BD47" s="398">
        <f t="shared" si="73"/>
        <v>21</v>
      </c>
      <c r="BE47" s="399">
        <f t="shared" si="78"/>
        <v>15</v>
      </c>
      <c r="BF47" s="400">
        <v>11</v>
      </c>
      <c r="BG47" s="400">
        <v>4</v>
      </c>
      <c r="BH47" s="401">
        <v>6</v>
      </c>
      <c r="BI47" s="402">
        <f t="shared" si="100"/>
        <v>20</v>
      </c>
      <c r="BJ47" s="403">
        <v>14</v>
      </c>
      <c r="BK47" s="404">
        <v>6</v>
      </c>
      <c r="BL47" s="405">
        <v>7</v>
      </c>
      <c r="BM47" s="457">
        <f t="shared" si="75"/>
        <v>21</v>
      </c>
      <c r="BN47" s="407">
        <f t="shared" si="9"/>
        <v>20</v>
      </c>
      <c r="BO47" s="12">
        <v>16</v>
      </c>
      <c r="BP47" s="12">
        <v>4</v>
      </c>
      <c r="BQ47" s="12">
        <v>1</v>
      </c>
      <c r="BR47" s="408">
        <f t="shared" si="76"/>
        <v>1.05</v>
      </c>
      <c r="BS47" s="409">
        <f t="shared" si="79"/>
        <v>0</v>
      </c>
      <c r="BT47" s="410"/>
      <c r="BU47" s="411"/>
      <c r="BV47" s="438"/>
      <c r="BW47" s="412">
        <f t="shared" si="77"/>
        <v>0</v>
      </c>
    </row>
    <row r="48" spans="1:76" ht="16.899999999999999" customHeight="1" x14ac:dyDescent="0.3">
      <c r="A48" s="8" t="s">
        <v>140</v>
      </c>
      <c r="B48" s="9" t="s">
        <v>27</v>
      </c>
      <c r="C48" s="14" t="s">
        <v>132</v>
      </c>
      <c r="D48" s="40" t="s">
        <v>133</v>
      </c>
      <c r="E48" s="15" t="s">
        <v>103</v>
      </c>
      <c r="F48" s="59">
        <v>25</v>
      </c>
      <c r="G48" s="369">
        <f t="shared" si="86"/>
        <v>0</v>
      </c>
      <c r="H48" s="370">
        <v>25</v>
      </c>
      <c r="I48" s="371">
        <v>16</v>
      </c>
      <c r="J48" s="371">
        <v>9</v>
      </c>
      <c r="K48" s="372">
        <v>5</v>
      </c>
      <c r="L48" s="373">
        <f t="shared" si="87"/>
        <v>0</v>
      </c>
      <c r="M48" s="373">
        <f t="shared" si="88"/>
        <v>0</v>
      </c>
      <c r="N48" s="374">
        <f t="shared" si="89"/>
        <v>0</v>
      </c>
      <c r="O48" s="374">
        <f t="shared" si="90"/>
        <v>0</v>
      </c>
      <c r="P48" s="375">
        <f t="shared" si="91"/>
        <v>0</v>
      </c>
      <c r="Q48" s="376">
        <f t="shared" si="92"/>
        <v>0</v>
      </c>
      <c r="R48" s="374">
        <f t="shared" si="93"/>
        <v>0</v>
      </c>
      <c r="S48" s="377"/>
      <c r="T48" s="377"/>
      <c r="U48" s="377"/>
      <c r="V48" s="378">
        <f t="shared" si="71"/>
        <v>0</v>
      </c>
      <c r="W48" s="379">
        <v>58.5</v>
      </c>
      <c r="X48" s="380"/>
      <c r="Y48" s="376">
        <f t="shared" si="94"/>
        <v>0</v>
      </c>
      <c r="Z48" s="374">
        <f t="shared" si="95"/>
        <v>0</v>
      </c>
      <c r="AA48" s="381"/>
      <c r="AB48" s="381"/>
      <c r="AC48" s="382"/>
      <c r="AD48" s="376">
        <f t="shared" si="96"/>
        <v>0</v>
      </c>
      <c r="AE48" s="374">
        <f t="shared" si="97"/>
        <v>0</v>
      </c>
      <c r="AF48" s="381"/>
      <c r="AG48" s="381"/>
      <c r="AH48" s="383"/>
      <c r="AI48" s="433">
        <f t="shared" si="98"/>
        <v>0</v>
      </c>
      <c r="AJ48" s="385"/>
      <c r="AK48" s="386"/>
      <c r="AL48" s="387"/>
      <c r="AM48" s="434">
        <f t="shared" si="3"/>
        <v>0</v>
      </c>
      <c r="AN48" s="389"/>
      <c r="AO48" s="435"/>
      <c r="AP48" s="435"/>
      <c r="AQ48" s="435"/>
      <c r="AR48" s="346" t="e">
        <f t="shared" si="4"/>
        <v>#DIV/0!</v>
      </c>
      <c r="AS48" s="436"/>
      <c r="AT48" s="392">
        <v>11</v>
      </c>
      <c r="AU48" s="49"/>
      <c r="AV48" s="48"/>
      <c r="AW48" s="52"/>
      <c r="AX48" s="393" t="e">
        <f t="shared" si="5"/>
        <v>#DIV/0!</v>
      </c>
      <c r="AY48" s="77">
        <v>472</v>
      </c>
      <c r="AZ48" s="437">
        <f t="shared" si="99"/>
        <v>0</v>
      </c>
      <c r="BA48" s="395"/>
      <c r="BB48" s="396"/>
      <c r="BC48" s="397"/>
      <c r="BD48" s="398">
        <f t="shared" si="73"/>
        <v>13</v>
      </c>
      <c r="BE48" s="399">
        <f t="shared" si="78"/>
        <v>9</v>
      </c>
      <c r="BF48" s="400">
        <v>2</v>
      </c>
      <c r="BG48" s="400">
        <v>7</v>
      </c>
      <c r="BH48" s="401">
        <v>4</v>
      </c>
      <c r="BI48" s="402">
        <f t="shared" si="100"/>
        <v>12</v>
      </c>
      <c r="BJ48" s="403">
        <v>4</v>
      </c>
      <c r="BK48" s="404">
        <v>8</v>
      </c>
      <c r="BL48" s="405">
        <v>4</v>
      </c>
      <c r="BM48" s="457">
        <f t="shared" si="75"/>
        <v>17</v>
      </c>
      <c r="BN48" s="407">
        <f t="shared" si="9"/>
        <v>16</v>
      </c>
      <c r="BO48" s="12">
        <v>13</v>
      </c>
      <c r="BP48" s="12">
        <v>3</v>
      </c>
      <c r="BQ48" s="12">
        <v>1</v>
      </c>
      <c r="BR48" s="408">
        <f t="shared" si="76"/>
        <v>1.4166666666666667</v>
      </c>
      <c r="BS48" s="409">
        <f t="shared" si="79"/>
        <v>0</v>
      </c>
      <c r="BT48" s="410"/>
      <c r="BU48" s="411"/>
      <c r="BV48" s="438"/>
      <c r="BW48" s="412">
        <f t="shared" si="77"/>
        <v>0</v>
      </c>
    </row>
    <row r="49" spans="1:76" ht="16.899999999999999" customHeight="1" x14ac:dyDescent="0.3">
      <c r="A49" s="8" t="s">
        <v>140</v>
      </c>
      <c r="B49" s="9" t="s">
        <v>27</v>
      </c>
      <c r="C49" s="14" t="s">
        <v>132</v>
      </c>
      <c r="D49" s="40" t="s">
        <v>135</v>
      </c>
      <c r="E49" s="15" t="s">
        <v>103</v>
      </c>
      <c r="F49" s="59">
        <v>25</v>
      </c>
      <c r="G49" s="369">
        <f t="shared" si="86"/>
        <v>0</v>
      </c>
      <c r="H49" s="370">
        <v>25</v>
      </c>
      <c r="I49" s="371">
        <v>16</v>
      </c>
      <c r="J49" s="371">
        <v>9</v>
      </c>
      <c r="K49" s="372">
        <v>5</v>
      </c>
      <c r="L49" s="373">
        <f t="shared" si="87"/>
        <v>0</v>
      </c>
      <c r="M49" s="373">
        <f t="shared" si="88"/>
        <v>0</v>
      </c>
      <c r="N49" s="374">
        <f t="shared" si="89"/>
        <v>0</v>
      </c>
      <c r="O49" s="374">
        <f t="shared" si="90"/>
        <v>0</v>
      </c>
      <c r="P49" s="375">
        <f t="shared" si="91"/>
        <v>0</v>
      </c>
      <c r="Q49" s="376">
        <f t="shared" si="92"/>
        <v>0</v>
      </c>
      <c r="R49" s="374">
        <f t="shared" si="93"/>
        <v>0</v>
      </c>
      <c r="S49" s="377"/>
      <c r="T49" s="377"/>
      <c r="U49" s="377"/>
      <c r="V49" s="378">
        <f t="shared" si="71"/>
        <v>0</v>
      </c>
      <c r="W49" s="379">
        <v>92.3</v>
      </c>
      <c r="X49" s="380"/>
      <c r="Y49" s="376">
        <f t="shared" si="94"/>
        <v>0</v>
      </c>
      <c r="Z49" s="374">
        <f t="shared" si="95"/>
        <v>0</v>
      </c>
      <c r="AA49" s="381"/>
      <c r="AB49" s="381"/>
      <c r="AC49" s="382"/>
      <c r="AD49" s="376">
        <f t="shared" si="96"/>
        <v>0</v>
      </c>
      <c r="AE49" s="374">
        <f t="shared" si="97"/>
        <v>0</v>
      </c>
      <c r="AF49" s="381"/>
      <c r="AG49" s="381"/>
      <c r="AH49" s="383"/>
      <c r="AI49" s="433">
        <f t="shared" si="98"/>
        <v>0</v>
      </c>
      <c r="AJ49" s="385"/>
      <c r="AK49" s="386"/>
      <c r="AL49" s="387"/>
      <c r="AM49" s="434">
        <f t="shared" si="3"/>
        <v>0</v>
      </c>
      <c r="AN49" s="389"/>
      <c r="AO49" s="435"/>
      <c r="AP49" s="435"/>
      <c r="AQ49" s="435"/>
      <c r="AR49" s="346" t="e">
        <f t="shared" si="4"/>
        <v>#DIV/0!</v>
      </c>
      <c r="AS49" s="436"/>
      <c r="AT49" s="392">
        <v>17</v>
      </c>
      <c r="AU49" s="49"/>
      <c r="AV49" s="48"/>
      <c r="AW49" s="52"/>
      <c r="AX49" s="393" t="e">
        <f t="shared" si="5"/>
        <v>#DIV/0!</v>
      </c>
      <c r="AY49" s="77">
        <v>477</v>
      </c>
      <c r="AZ49" s="437">
        <f t="shared" si="99"/>
        <v>0</v>
      </c>
      <c r="BA49" s="395"/>
      <c r="BB49" s="396"/>
      <c r="BC49" s="397"/>
      <c r="BD49" s="398">
        <f t="shared" si="73"/>
        <v>7</v>
      </c>
      <c r="BE49" s="399">
        <f t="shared" si="78"/>
        <v>3</v>
      </c>
      <c r="BF49" s="400">
        <v>-3</v>
      </c>
      <c r="BG49" s="400">
        <v>6</v>
      </c>
      <c r="BH49" s="401">
        <v>4</v>
      </c>
      <c r="BI49" s="402">
        <f t="shared" si="100"/>
        <v>6</v>
      </c>
      <c r="BJ49" s="403">
        <v>-1</v>
      </c>
      <c r="BK49" s="404">
        <v>7</v>
      </c>
      <c r="BL49" s="405">
        <v>4</v>
      </c>
      <c r="BM49" s="457">
        <f t="shared" si="75"/>
        <v>14</v>
      </c>
      <c r="BN49" s="407">
        <f t="shared" si="9"/>
        <v>13</v>
      </c>
      <c r="BO49" s="12">
        <v>10</v>
      </c>
      <c r="BP49" s="12">
        <v>3</v>
      </c>
      <c r="BQ49" s="12">
        <v>1</v>
      </c>
      <c r="BR49" s="408">
        <f t="shared" si="76"/>
        <v>2.3333333333333335</v>
      </c>
      <c r="BS49" s="409">
        <f t="shared" si="79"/>
        <v>0</v>
      </c>
      <c r="BT49" s="410"/>
      <c r="BU49" s="411"/>
      <c r="BV49" s="438"/>
      <c r="BW49" s="412">
        <f t="shared" si="77"/>
        <v>0</v>
      </c>
    </row>
    <row r="50" spans="1:76" ht="16.899999999999999" customHeight="1" x14ac:dyDescent="0.3">
      <c r="A50" s="8" t="s">
        <v>140</v>
      </c>
      <c r="B50" s="9" t="s">
        <v>27</v>
      </c>
      <c r="C50" s="14" t="s">
        <v>132</v>
      </c>
      <c r="D50" s="40" t="s">
        <v>146</v>
      </c>
      <c r="E50" s="15" t="s">
        <v>103</v>
      </c>
      <c r="F50" s="59">
        <v>25</v>
      </c>
      <c r="G50" s="369">
        <f t="shared" si="86"/>
        <v>0</v>
      </c>
      <c r="H50" s="370">
        <v>25</v>
      </c>
      <c r="I50" s="371">
        <v>16</v>
      </c>
      <c r="J50" s="371">
        <v>9</v>
      </c>
      <c r="K50" s="372">
        <v>5</v>
      </c>
      <c r="L50" s="373">
        <f t="shared" si="87"/>
        <v>0</v>
      </c>
      <c r="M50" s="373">
        <f t="shared" si="88"/>
        <v>0</v>
      </c>
      <c r="N50" s="374">
        <f t="shared" si="89"/>
        <v>0</v>
      </c>
      <c r="O50" s="374">
        <f t="shared" si="90"/>
        <v>0</v>
      </c>
      <c r="P50" s="375">
        <f t="shared" si="91"/>
        <v>0</v>
      </c>
      <c r="Q50" s="376">
        <f t="shared" si="92"/>
        <v>0</v>
      </c>
      <c r="R50" s="374">
        <f t="shared" si="93"/>
        <v>0</v>
      </c>
      <c r="S50" s="377"/>
      <c r="T50" s="377"/>
      <c r="U50" s="377"/>
      <c r="V50" s="378">
        <f t="shared" si="71"/>
        <v>0</v>
      </c>
      <c r="W50" s="379">
        <v>74.8</v>
      </c>
      <c r="X50" s="380"/>
      <c r="Y50" s="376">
        <f t="shared" si="94"/>
        <v>0</v>
      </c>
      <c r="Z50" s="374">
        <f t="shared" si="95"/>
        <v>0</v>
      </c>
      <c r="AA50" s="381"/>
      <c r="AB50" s="381"/>
      <c r="AC50" s="382"/>
      <c r="AD50" s="376">
        <f t="shared" si="96"/>
        <v>0</v>
      </c>
      <c r="AE50" s="374">
        <f t="shared" si="97"/>
        <v>0</v>
      </c>
      <c r="AF50" s="381"/>
      <c r="AG50" s="381"/>
      <c r="AH50" s="383"/>
      <c r="AI50" s="433">
        <f t="shared" si="98"/>
        <v>0</v>
      </c>
      <c r="AJ50" s="385"/>
      <c r="AK50" s="386"/>
      <c r="AL50" s="387"/>
      <c r="AM50" s="434">
        <f t="shared" si="3"/>
        <v>0</v>
      </c>
      <c r="AN50" s="389"/>
      <c r="AO50" s="435"/>
      <c r="AP50" s="435"/>
      <c r="AQ50" s="435"/>
      <c r="AR50" s="346" t="e">
        <f t="shared" si="4"/>
        <v>#DIV/0!</v>
      </c>
      <c r="AS50" s="436"/>
      <c r="AT50" s="392">
        <v>18</v>
      </c>
      <c r="AU50" s="49"/>
      <c r="AV50" s="48"/>
      <c r="AW50" s="52"/>
      <c r="AX50" s="393" t="e">
        <f t="shared" si="5"/>
        <v>#DIV/0!</v>
      </c>
      <c r="AY50" s="77">
        <v>91</v>
      </c>
      <c r="AZ50" s="437">
        <f t="shared" si="99"/>
        <v>0</v>
      </c>
      <c r="BA50" s="395"/>
      <c r="BB50" s="396"/>
      <c r="BC50" s="397"/>
      <c r="BD50" s="398">
        <f t="shared" si="73"/>
        <v>6</v>
      </c>
      <c r="BE50" s="399">
        <f t="shared" si="78"/>
        <v>3</v>
      </c>
      <c r="BF50" s="400">
        <v>1</v>
      </c>
      <c r="BG50" s="400">
        <v>2</v>
      </c>
      <c r="BH50" s="401">
        <v>3</v>
      </c>
      <c r="BI50" s="402">
        <f t="shared" si="100"/>
        <v>6</v>
      </c>
      <c r="BJ50" s="403">
        <v>3</v>
      </c>
      <c r="BK50" s="404">
        <v>3</v>
      </c>
      <c r="BL50" s="405">
        <v>3</v>
      </c>
      <c r="BM50" s="457">
        <f t="shared" si="75"/>
        <v>8</v>
      </c>
      <c r="BN50" s="407">
        <f t="shared" si="9"/>
        <v>8</v>
      </c>
      <c r="BO50" s="12">
        <v>8</v>
      </c>
      <c r="BP50" s="12">
        <v>0</v>
      </c>
      <c r="BQ50" s="12">
        <v>0</v>
      </c>
      <c r="BR50" s="408">
        <f t="shared" si="76"/>
        <v>1.3333333333333333</v>
      </c>
      <c r="BS50" s="409">
        <f t="shared" si="79"/>
        <v>0</v>
      </c>
      <c r="BT50" s="410"/>
      <c r="BU50" s="411"/>
      <c r="BV50" s="438"/>
      <c r="BW50" s="412">
        <f t="shared" si="77"/>
        <v>0</v>
      </c>
    </row>
    <row r="51" spans="1:76" ht="16.899999999999999" customHeight="1" x14ac:dyDescent="0.3">
      <c r="A51" s="8" t="s">
        <v>140</v>
      </c>
      <c r="B51" s="9" t="s">
        <v>27</v>
      </c>
      <c r="C51" s="14" t="s">
        <v>106</v>
      </c>
      <c r="D51" s="40" t="s">
        <v>147</v>
      </c>
      <c r="E51" s="15" t="s">
        <v>103</v>
      </c>
      <c r="F51" s="59">
        <v>50</v>
      </c>
      <c r="G51" s="369">
        <f t="shared" si="86"/>
        <v>0</v>
      </c>
      <c r="H51" s="370">
        <v>50</v>
      </c>
      <c r="I51" s="371">
        <v>34</v>
      </c>
      <c r="J51" s="371">
        <v>16</v>
      </c>
      <c r="K51" s="372">
        <v>10</v>
      </c>
      <c r="L51" s="373">
        <f t="shared" si="87"/>
        <v>0</v>
      </c>
      <c r="M51" s="373">
        <f t="shared" si="88"/>
        <v>0</v>
      </c>
      <c r="N51" s="374">
        <f t="shared" si="89"/>
        <v>0</v>
      </c>
      <c r="O51" s="374">
        <f t="shared" si="90"/>
        <v>0</v>
      </c>
      <c r="P51" s="375">
        <f t="shared" si="91"/>
        <v>0</v>
      </c>
      <c r="Q51" s="376">
        <f t="shared" si="92"/>
        <v>0</v>
      </c>
      <c r="R51" s="374">
        <f t="shared" si="93"/>
        <v>0</v>
      </c>
      <c r="S51" s="377"/>
      <c r="T51" s="377"/>
      <c r="U51" s="377"/>
      <c r="V51" s="378">
        <f t="shared" si="71"/>
        <v>0</v>
      </c>
      <c r="W51" s="379">
        <v>73.7</v>
      </c>
      <c r="X51" s="380"/>
      <c r="Y51" s="376">
        <f t="shared" si="94"/>
        <v>0</v>
      </c>
      <c r="Z51" s="374">
        <f t="shared" si="95"/>
        <v>0</v>
      </c>
      <c r="AA51" s="381"/>
      <c r="AB51" s="381"/>
      <c r="AC51" s="382"/>
      <c r="AD51" s="376">
        <f t="shared" si="96"/>
        <v>0</v>
      </c>
      <c r="AE51" s="374">
        <f t="shared" si="97"/>
        <v>0</v>
      </c>
      <c r="AF51" s="381"/>
      <c r="AG51" s="381"/>
      <c r="AH51" s="383"/>
      <c r="AI51" s="433">
        <f t="shared" si="98"/>
        <v>0</v>
      </c>
      <c r="AJ51" s="385"/>
      <c r="AK51" s="386"/>
      <c r="AL51" s="387"/>
      <c r="AM51" s="434">
        <f t="shared" si="3"/>
        <v>0</v>
      </c>
      <c r="AN51" s="389"/>
      <c r="AO51" s="435"/>
      <c r="AP51" s="435"/>
      <c r="AQ51" s="435"/>
      <c r="AR51" s="346" t="e">
        <f t="shared" si="4"/>
        <v>#DIV/0!</v>
      </c>
      <c r="AS51" s="436"/>
      <c r="AT51" s="392">
        <v>40</v>
      </c>
      <c r="AU51" s="49"/>
      <c r="AV51" s="48"/>
      <c r="AW51" s="52"/>
      <c r="AX51" s="393" t="e">
        <f t="shared" si="5"/>
        <v>#DIV/0!</v>
      </c>
      <c r="AY51" s="77">
        <v>292</v>
      </c>
      <c r="AZ51" s="437">
        <f t="shared" si="99"/>
        <v>0</v>
      </c>
      <c r="BA51" s="395"/>
      <c r="BB51" s="396"/>
      <c r="BC51" s="397"/>
      <c r="BD51" s="398">
        <f t="shared" si="73"/>
        <v>8</v>
      </c>
      <c r="BE51" s="399">
        <f t="shared" si="78"/>
        <v>3</v>
      </c>
      <c r="BF51" s="400">
        <v>-3</v>
      </c>
      <c r="BG51" s="400">
        <v>6</v>
      </c>
      <c r="BH51" s="401">
        <v>5</v>
      </c>
      <c r="BI51" s="402">
        <f t="shared" si="100"/>
        <v>8</v>
      </c>
      <c r="BJ51" s="403">
        <v>0</v>
      </c>
      <c r="BK51" s="404">
        <v>8</v>
      </c>
      <c r="BL51" s="405">
        <v>6</v>
      </c>
      <c r="BM51" s="457">
        <f t="shared" si="75"/>
        <v>21</v>
      </c>
      <c r="BN51" s="407">
        <f t="shared" si="9"/>
        <v>18</v>
      </c>
      <c r="BO51" s="12">
        <v>13</v>
      </c>
      <c r="BP51" s="12">
        <v>5</v>
      </c>
      <c r="BQ51" s="12">
        <v>3</v>
      </c>
      <c r="BR51" s="408">
        <f t="shared" si="76"/>
        <v>2.625</v>
      </c>
      <c r="BS51" s="409">
        <f t="shared" si="79"/>
        <v>0</v>
      </c>
      <c r="BT51" s="410"/>
      <c r="BU51" s="411"/>
      <c r="BV51" s="438"/>
      <c r="BW51" s="412">
        <f t="shared" si="77"/>
        <v>0</v>
      </c>
    </row>
    <row r="52" spans="1:76" ht="16.899999999999999" customHeight="1" x14ac:dyDescent="0.3">
      <c r="A52" s="8" t="s">
        <v>140</v>
      </c>
      <c r="B52" s="9" t="s">
        <v>27</v>
      </c>
      <c r="C52" s="14" t="s">
        <v>117</v>
      </c>
      <c r="D52" s="40" t="s">
        <v>148</v>
      </c>
      <c r="E52" s="15" t="s">
        <v>103</v>
      </c>
      <c r="F52" s="59">
        <v>75</v>
      </c>
      <c r="G52" s="369">
        <f t="shared" si="86"/>
        <v>0</v>
      </c>
      <c r="H52" s="370">
        <v>75</v>
      </c>
      <c r="I52" s="371">
        <v>52</v>
      </c>
      <c r="J52" s="371">
        <v>23</v>
      </c>
      <c r="K52" s="372">
        <v>15</v>
      </c>
      <c r="L52" s="373">
        <f t="shared" si="87"/>
        <v>0</v>
      </c>
      <c r="M52" s="373">
        <f t="shared" si="88"/>
        <v>0</v>
      </c>
      <c r="N52" s="374">
        <f t="shared" si="89"/>
        <v>0</v>
      </c>
      <c r="O52" s="374">
        <f t="shared" si="90"/>
        <v>0</v>
      </c>
      <c r="P52" s="375">
        <f t="shared" si="91"/>
        <v>0</v>
      </c>
      <c r="Q52" s="376">
        <f t="shared" si="92"/>
        <v>0</v>
      </c>
      <c r="R52" s="374">
        <f t="shared" si="93"/>
        <v>0</v>
      </c>
      <c r="S52" s="377"/>
      <c r="T52" s="377"/>
      <c r="U52" s="377"/>
      <c r="V52" s="378">
        <f t="shared" si="71"/>
        <v>0</v>
      </c>
      <c r="W52" s="379">
        <v>59.4</v>
      </c>
      <c r="X52" s="380"/>
      <c r="Y52" s="376">
        <f t="shared" si="94"/>
        <v>0</v>
      </c>
      <c r="Z52" s="374">
        <f t="shared" si="95"/>
        <v>0</v>
      </c>
      <c r="AA52" s="381"/>
      <c r="AB52" s="381"/>
      <c r="AC52" s="382"/>
      <c r="AD52" s="376">
        <f t="shared" si="96"/>
        <v>0</v>
      </c>
      <c r="AE52" s="374">
        <f t="shared" si="97"/>
        <v>0</v>
      </c>
      <c r="AF52" s="381"/>
      <c r="AG52" s="381"/>
      <c r="AH52" s="383"/>
      <c r="AI52" s="433">
        <f t="shared" si="98"/>
        <v>0</v>
      </c>
      <c r="AJ52" s="385"/>
      <c r="AK52" s="386"/>
      <c r="AL52" s="387"/>
      <c r="AM52" s="434">
        <f t="shared" si="3"/>
        <v>0</v>
      </c>
      <c r="AN52" s="389"/>
      <c r="AO52" s="435"/>
      <c r="AP52" s="435"/>
      <c r="AQ52" s="435"/>
      <c r="AR52" s="346" t="e">
        <f t="shared" si="4"/>
        <v>#DIV/0!</v>
      </c>
      <c r="AS52" s="436"/>
      <c r="AT52" s="392">
        <v>63</v>
      </c>
      <c r="AU52" s="49"/>
      <c r="AV52" s="48"/>
      <c r="AW52" s="52"/>
      <c r="AX52" s="393" t="e">
        <f t="shared" si="5"/>
        <v>#DIV/0!</v>
      </c>
      <c r="AY52" s="77">
        <v>335</v>
      </c>
      <c r="AZ52" s="437">
        <f t="shared" si="99"/>
        <v>0</v>
      </c>
      <c r="BA52" s="395"/>
      <c r="BB52" s="396"/>
      <c r="BC52" s="397"/>
      <c r="BD52" s="398">
        <f t="shared" si="73"/>
        <v>9</v>
      </c>
      <c r="BE52" s="399">
        <f t="shared" si="78"/>
        <v>0</v>
      </c>
      <c r="BF52" s="400">
        <v>-4</v>
      </c>
      <c r="BG52" s="400">
        <v>4</v>
      </c>
      <c r="BH52" s="401">
        <v>9</v>
      </c>
      <c r="BI52" s="402">
        <f t="shared" si="100"/>
        <v>7</v>
      </c>
      <c r="BJ52" s="403">
        <v>0</v>
      </c>
      <c r="BK52" s="404">
        <v>7</v>
      </c>
      <c r="BL52" s="405">
        <v>11</v>
      </c>
      <c r="BM52" s="457">
        <f t="shared" si="75"/>
        <v>47</v>
      </c>
      <c r="BN52" s="407">
        <f t="shared" si="9"/>
        <v>38</v>
      </c>
      <c r="BO52" s="12">
        <v>25</v>
      </c>
      <c r="BP52" s="12">
        <v>13</v>
      </c>
      <c r="BQ52" s="12">
        <v>9</v>
      </c>
      <c r="BR52" s="408">
        <f t="shared" si="76"/>
        <v>6.7142857142857144</v>
      </c>
      <c r="BS52" s="409">
        <f t="shared" si="79"/>
        <v>0</v>
      </c>
      <c r="BT52" s="410"/>
      <c r="BU52" s="411"/>
      <c r="BV52" s="438"/>
      <c r="BW52" s="412">
        <f t="shared" si="77"/>
        <v>0</v>
      </c>
    </row>
    <row r="53" spans="1:76" ht="16.899999999999999" customHeight="1" x14ac:dyDescent="0.3">
      <c r="A53" s="8" t="s">
        <v>140</v>
      </c>
      <c r="B53" s="9" t="s">
        <v>27</v>
      </c>
      <c r="C53" s="14" t="s">
        <v>117</v>
      </c>
      <c r="D53" s="40" t="s">
        <v>148</v>
      </c>
      <c r="E53" s="15" t="s">
        <v>137</v>
      </c>
      <c r="F53" s="59">
        <v>25</v>
      </c>
      <c r="G53" s="369">
        <f t="shared" si="86"/>
        <v>0</v>
      </c>
      <c r="H53" s="370">
        <v>25</v>
      </c>
      <c r="I53" s="371">
        <v>16</v>
      </c>
      <c r="J53" s="371">
        <v>9</v>
      </c>
      <c r="K53" s="372">
        <v>5</v>
      </c>
      <c r="L53" s="373">
        <f t="shared" si="87"/>
        <v>0</v>
      </c>
      <c r="M53" s="373">
        <f t="shared" si="88"/>
        <v>0</v>
      </c>
      <c r="N53" s="374">
        <f t="shared" si="89"/>
        <v>0</v>
      </c>
      <c r="O53" s="374">
        <f t="shared" si="90"/>
        <v>0</v>
      </c>
      <c r="P53" s="375">
        <f t="shared" si="91"/>
        <v>0</v>
      </c>
      <c r="Q53" s="376">
        <f t="shared" si="92"/>
        <v>0</v>
      </c>
      <c r="R53" s="374">
        <f t="shared" si="93"/>
        <v>0</v>
      </c>
      <c r="S53" s="377"/>
      <c r="T53" s="377"/>
      <c r="U53" s="377"/>
      <c r="V53" s="378">
        <f t="shared" si="71"/>
        <v>0</v>
      </c>
      <c r="W53" s="379">
        <v>88.5</v>
      </c>
      <c r="X53" s="380"/>
      <c r="Y53" s="376">
        <f t="shared" si="94"/>
        <v>0</v>
      </c>
      <c r="Z53" s="374">
        <f t="shared" si="95"/>
        <v>0</v>
      </c>
      <c r="AA53" s="381"/>
      <c r="AB53" s="381"/>
      <c r="AC53" s="382"/>
      <c r="AD53" s="376">
        <f t="shared" si="96"/>
        <v>0</v>
      </c>
      <c r="AE53" s="374">
        <f t="shared" si="97"/>
        <v>0</v>
      </c>
      <c r="AF53" s="381"/>
      <c r="AG53" s="381"/>
      <c r="AH53" s="383"/>
      <c r="AI53" s="433">
        <f t="shared" si="98"/>
        <v>0</v>
      </c>
      <c r="AJ53" s="385"/>
      <c r="AK53" s="386"/>
      <c r="AL53" s="387"/>
      <c r="AM53" s="434">
        <f t="shared" si="3"/>
        <v>0</v>
      </c>
      <c r="AN53" s="389"/>
      <c r="AO53" s="435"/>
      <c r="AP53" s="435"/>
      <c r="AQ53" s="435"/>
      <c r="AR53" s="346" t="e">
        <f t="shared" si="4"/>
        <v>#DIV/0!</v>
      </c>
      <c r="AS53" s="436"/>
      <c r="AT53" s="392">
        <v>10</v>
      </c>
      <c r="AU53" s="49"/>
      <c r="AV53" s="50"/>
      <c r="AW53" s="53"/>
      <c r="AX53" s="393" t="e">
        <f t="shared" si="5"/>
        <v>#DIV/0!</v>
      </c>
      <c r="AY53" s="78">
        <v>271</v>
      </c>
      <c r="AZ53" s="437">
        <f t="shared" si="99"/>
        <v>0</v>
      </c>
      <c r="BA53" s="395"/>
      <c r="BB53" s="396"/>
      <c r="BC53" s="397"/>
      <c r="BD53" s="398">
        <f t="shared" si="73"/>
        <v>14</v>
      </c>
      <c r="BE53" s="399">
        <f t="shared" si="78"/>
        <v>12</v>
      </c>
      <c r="BF53" s="400">
        <v>8</v>
      </c>
      <c r="BG53" s="400">
        <v>4</v>
      </c>
      <c r="BH53" s="401">
        <v>2</v>
      </c>
      <c r="BI53" s="402">
        <f t="shared" si="100"/>
        <v>15</v>
      </c>
      <c r="BJ53" s="403">
        <v>10</v>
      </c>
      <c r="BK53" s="404">
        <v>5</v>
      </c>
      <c r="BL53" s="405">
        <v>2</v>
      </c>
      <c r="BM53" s="457">
        <f t="shared" si="75"/>
        <v>18</v>
      </c>
      <c r="BN53" s="407">
        <f t="shared" si="9"/>
        <v>15</v>
      </c>
      <c r="BO53" s="12">
        <v>13</v>
      </c>
      <c r="BP53" s="12">
        <v>2</v>
      </c>
      <c r="BQ53" s="12">
        <v>3</v>
      </c>
      <c r="BR53" s="408">
        <f t="shared" si="76"/>
        <v>1.2</v>
      </c>
      <c r="BS53" s="409">
        <f t="shared" si="79"/>
        <v>0</v>
      </c>
      <c r="BT53" s="410"/>
      <c r="BU53" s="411"/>
      <c r="BV53" s="458"/>
      <c r="BW53" s="412">
        <f t="shared" si="77"/>
        <v>0</v>
      </c>
    </row>
    <row r="54" spans="1:76" ht="16.899999999999999" customHeight="1" x14ac:dyDescent="0.3">
      <c r="A54" s="8" t="s">
        <v>140</v>
      </c>
      <c r="B54" s="9" t="s">
        <v>27</v>
      </c>
      <c r="C54" s="14" t="s">
        <v>108</v>
      </c>
      <c r="D54" s="40" t="s">
        <v>149</v>
      </c>
      <c r="E54" s="15" t="s">
        <v>103</v>
      </c>
      <c r="F54" s="59">
        <v>50</v>
      </c>
      <c r="G54" s="369">
        <f t="shared" si="86"/>
        <v>0</v>
      </c>
      <c r="H54" s="370">
        <v>50</v>
      </c>
      <c r="I54" s="371">
        <v>34</v>
      </c>
      <c r="J54" s="371">
        <v>16</v>
      </c>
      <c r="K54" s="372">
        <v>0</v>
      </c>
      <c r="L54" s="373">
        <f t="shared" si="87"/>
        <v>0</v>
      </c>
      <c r="M54" s="373">
        <f t="shared" si="88"/>
        <v>0</v>
      </c>
      <c r="N54" s="374">
        <f t="shared" si="89"/>
        <v>0</v>
      </c>
      <c r="O54" s="374">
        <f t="shared" si="90"/>
        <v>0</v>
      </c>
      <c r="P54" s="375">
        <f t="shared" si="91"/>
        <v>0</v>
      </c>
      <c r="Q54" s="376">
        <f t="shared" si="92"/>
        <v>0</v>
      </c>
      <c r="R54" s="374">
        <f t="shared" si="93"/>
        <v>0</v>
      </c>
      <c r="S54" s="377"/>
      <c r="T54" s="377"/>
      <c r="U54" s="377"/>
      <c r="V54" s="378">
        <f t="shared" si="71"/>
        <v>0</v>
      </c>
      <c r="W54" s="379">
        <v>57</v>
      </c>
      <c r="X54" s="380"/>
      <c r="Y54" s="376">
        <f t="shared" si="94"/>
        <v>0</v>
      </c>
      <c r="Z54" s="374">
        <f t="shared" si="95"/>
        <v>0</v>
      </c>
      <c r="AA54" s="381"/>
      <c r="AB54" s="381"/>
      <c r="AC54" s="382"/>
      <c r="AD54" s="376">
        <f t="shared" si="96"/>
        <v>0</v>
      </c>
      <c r="AE54" s="374">
        <f t="shared" si="97"/>
        <v>0</v>
      </c>
      <c r="AF54" s="381"/>
      <c r="AG54" s="381"/>
      <c r="AH54" s="383"/>
      <c r="AI54" s="433">
        <f t="shared" si="98"/>
        <v>0</v>
      </c>
      <c r="AJ54" s="385"/>
      <c r="AK54" s="386"/>
      <c r="AL54" s="387"/>
      <c r="AM54" s="434">
        <f t="shared" si="3"/>
        <v>0</v>
      </c>
      <c r="AN54" s="389"/>
      <c r="AO54" s="435"/>
      <c r="AP54" s="435"/>
      <c r="AQ54" s="435"/>
      <c r="AR54" s="346" t="e">
        <f t="shared" si="4"/>
        <v>#DIV/0!</v>
      </c>
      <c r="AS54" s="436"/>
      <c r="AT54" s="392">
        <v>45</v>
      </c>
      <c r="AU54" s="49"/>
      <c r="AV54" s="48"/>
      <c r="AW54" s="52"/>
      <c r="AX54" s="393" t="e">
        <f t="shared" si="5"/>
        <v>#DIV/0!</v>
      </c>
      <c r="AY54" s="77">
        <v>159</v>
      </c>
      <c r="AZ54" s="437">
        <f t="shared" si="99"/>
        <v>0</v>
      </c>
      <c r="BA54" s="395"/>
      <c r="BB54" s="396"/>
      <c r="BC54" s="397"/>
      <c r="BD54" s="398">
        <f t="shared" si="73"/>
        <v>3</v>
      </c>
      <c r="BE54" s="399">
        <f t="shared" si="78"/>
        <v>0</v>
      </c>
      <c r="BF54" s="400">
        <v>0</v>
      </c>
      <c r="BG54" s="400">
        <v>0</v>
      </c>
      <c r="BH54" s="401">
        <v>3</v>
      </c>
      <c r="BI54" s="402">
        <f t="shared" si="100"/>
        <v>5</v>
      </c>
      <c r="BJ54" s="403">
        <v>3</v>
      </c>
      <c r="BK54" s="404">
        <v>2</v>
      </c>
      <c r="BL54" s="405">
        <v>4</v>
      </c>
      <c r="BM54" s="457">
        <f t="shared" si="75"/>
        <v>52</v>
      </c>
      <c r="BN54" s="407">
        <f t="shared" si="9"/>
        <v>49</v>
      </c>
      <c r="BO54" s="12">
        <v>40</v>
      </c>
      <c r="BP54" s="12">
        <v>9</v>
      </c>
      <c r="BQ54" s="12">
        <v>3</v>
      </c>
      <c r="BR54" s="408">
        <f t="shared" si="76"/>
        <v>10.4</v>
      </c>
      <c r="BS54" s="409">
        <f t="shared" si="79"/>
        <v>0</v>
      </c>
      <c r="BT54" s="410"/>
      <c r="BU54" s="411"/>
      <c r="BV54" s="438"/>
      <c r="BW54" s="412">
        <f t="shared" si="77"/>
        <v>0</v>
      </c>
    </row>
    <row r="55" spans="1:76" ht="16.899999999999999" customHeight="1" x14ac:dyDescent="0.3">
      <c r="A55" s="8" t="s">
        <v>140</v>
      </c>
      <c r="B55" s="9" t="s">
        <v>27</v>
      </c>
      <c r="C55" s="14" t="s">
        <v>108</v>
      </c>
      <c r="D55" s="40" t="s">
        <v>149</v>
      </c>
      <c r="E55" s="15" t="s">
        <v>137</v>
      </c>
      <c r="F55" s="59">
        <v>25</v>
      </c>
      <c r="G55" s="369">
        <f t="shared" si="86"/>
        <v>0</v>
      </c>
      <c r="H55" s="370">
        <v>25</v>
      </c>
      <c r="I55" s="371">
        <v>16</v>
      </c>
      <c r="J55" s="371">
        <v>9</v>
      </c>
      <c r="K55" s="372">
        <v>5</v>
      </c>
      <c r="L55" s="373">
        <f t="shared" si="87"/>
        <v>0</v>
      </c>
      <c r="M55" s="373">
        <f t="shared" si="88"/>
        <v>0</v>
      </c>
      <c r="N55" s="374">
        <f t="shared" si="89"/>
        <v>0</v>
      </c>
      <c r="O55" s="374">
        <f t="shared" si="90"/>
        <v>0</v>
      </c>
      <c r="P55" s="375">
        <f t="shared" si="91"/>
        <v>0</v>
      </c>
      <c r="Q55" s="376">
        <f t="shared" si="92"/>
        <v>0</v>
      </c>
      <c r="R55" s="374">
        <f t="shared" si="93"/>
        <v>0</v>
      </c>
      <c r="S55" s="377"/>
      <c r="T55" s="377"/>
      <c r="U55" s="377"/>
      <c r="V55" s="378">
        <f t="shared" si="71"/>
        <v>0</v>
      </c>
      <c r="W55" s="379">
        <v>62.8</v>
      </c>
      <c r="X55" s="380"/>
      <c r="Y55" s="376">
        <f t="shared" si="94"/>
        <v>0</v>
      </c>
      <c r="Z55" s="374">
        <f t="shared" si="95"/>
        <v>0</v>
      </c>
      <c r="AA55" s="381"/>
      <c r="AB55" s="381"/>
      <c r="AC55" s="382"/>
      <c r="AD55" s="376">
        <f t="shared" si="96"/>
        <v>0</v>
      </c>
      <c r="AE55" s="374">
        <f t="shared" si="97"/>
        <v>0</v>
      </c>
      <c r="AF55" s="381"/>
      <c r="AG55" s="381"/>
      <c r="AH55" s="383"/>
      <c r="AI55" s="433">
        <f t="shared" si="98"/>
        <v>0</v>
      </c>
      <c r="AJ55" s="385"/>
      <c r="AK55" s="386"/>
      <c r="AL55" s="387"/>
      <c r="AM55" s="434">
        <f t="shared" si="3"/>
        <v>0</v>
      </c>
      <c r="AN55" s="389"/>
      <c r="AO55" s="435"/>
      <c r="AP55" s="435"/>
      <c r="AQ55" s="435"/>
      <c r="AR55" s="346" t="e">
        <f t="shared" si="4"/>
        <v>#DIV/0!</v>
      </c>
      <c r="AS55" s="436"/>
      <c r="AT55" s="392">
        <v>12</v>
      </c>
      <c r="AU55" s="49"/>
      <c r="AV55" s="48"/>
      <c r="AW55" s="52"/>
      <c r="AX55" s="393" t="e">
        <f t="shared" si="5"/>
        <v>#DIV/0!</v>
      </c>
      <c r="AY55" s="77">
        <v>463</v>
      </c>
      <c r="AZ55" s="437">
        <f t="shared" si="99"/>
        <v>0</v>
      </c>
      <c r="BA55" s="395"/>
      <c r="BB55" s="396"/>
      <c r="BC55" s="397"/>
      <c r="BD55" s="398">
        <f t="shared" si="73"/>
        <v>12</v>
      </c>
      <c r="BE55" s="399">
        <f t="shared" si="78"/>
        <v>10</v>
      </c>
      <c r="BF55" s="400">
        <v>7</v>
      </c>
      <c r="BG55" s="400">
        <v>3</v>
      </c>
      <c r="BH55" s="401">
        <v>2</v>
      </c>
      <c r="BI55" s="402">
        <f t="shared" si="100"/>
        <v>13</v>
      </c>
      <c r="BJ55" s="403">
        <v>9</v>
      </c>
      <c r="BK55" s="404">
        <v>4</v>
      </c>
      <c r="BL55" s="405">
        <v>2</v>
      </c>
      <c r="BM55" s="457">
        <f t="shared" si="75"/>
        <v>17</v>
      </c>
      <c r="BN55" s="407">
        <f t="shared" si="9"/>
        <v>15</v>
      </c>
      <c r="BO55" s="12">
        <v>10</v>
      </c>
      <c r="BP55" s="12">
        <v>5</v>
      </c>
      <c r="BQ55" s="12">
        <v>2</v>
      </c>
      <c r="BR55" s="408">
        <f t="shared" si="76"/>
        <v>1.3076923076923077</v>
      </c>
      <c r="BS55" s="409">
        <f t="shared" si="79"/>
        <v>0</v>
      </c>
      <c r="BT55" s="410"/>
      <c r="BU55" s="411"/>
      <c r="BV55" s="438"/>
      <c r="BW55" s="412">
        <f t="shared" si="77"/>
        <v>0</v>
      </c>
    </row>
    <row r="56" spans="1:76" ht="16.899999999999999" customHeight="1" x14ac:dyDescent="0.3">
      <c r="A56" s="8" t="s">
        <v>140</v>
      </c>
      <c r="B56" s="9" t="s">
        <v>27</v>
      </c>
      <c r="C56" s="14" t="s">
        <v>115</v>
      </c>
      <c r="D56" s="40" t="s">
        <v>150</v>
      </c>
      <c r="E56" s="15" t="s">
        <v>103</v>
      </c>
      <c r="F56" s="59">
        <v>50</v>
      </c>
      <c r="G56" s="369">
        <f t="shared" si="86"/>
        <v>0</v>
      </c>
      <c r="H56" s="370">
        <v>50</v>
      </c>
      <c r="I56" s="371">
        <v>34</v>
      </c>
      <c r="J56" s="371">
        <v>16</v>
      </c>
      <c r="K56" s="372">
        <v>0</v>
      </c>
      <c r="L56" s="373">
        <f t="shared" si="87"/>
        <v>0</v>
      </c>
      <c r="M56" s="373">
        <f t="shared" si="88"/>
        <v>0</v>
      </c>
      <c r="N56" s="374">
        <f t="shared" si="89"/>
        <v>0</v>
      </c>
      <c r="O56" s="374">
        <f t="shared" si="90"/>
        <v>0</v>
      </c>
      <c r="P56" s="372">
        <f t="shared" si="91"/>
        <v>0</v>
      </c>
      <c r="Q56" s="376">
        <f t="shared" si="92"/>
        <v>0</v>
      </c>
      <c r="R56" s="374">
        <f t="shared" si="93"/>
        <v>0</v>
      </c>
      <c r="S56" s="377"/>
      <c r="T56" s="377"/>
      <c r="U56" s="377"/>
      <c r="V56" s="378">
        <f t="shared" si="71"/>
        <v>0</v>
      </c>
      <c r="W56" s="379">
        <v>66.7</v>
      </c>
      <c r="X56" s="380"/>
      <c r="Y56" s="376">
        <f t="shared" si="94"/>
        <v>0</v>
      </c>
      <c r="Z56" s="374">
        <f t="shared" si="95"/>
        <v>0</v>
      </c>
      <c r="AA56" s="381"/>
      <c r="AB56" s="381"/>
      <c r="AC56" s="382"/>
      <c r="AD56" s="376">
        <f t="shared" si="96"/>
        <v>0</v>
      </c>
      <c r="AE56" s="374">
        <f t="shared" si="97"/>
        <v>0</v>
      </c>
      <c r="AF56" s="381"/>
      <c r="AG56" s="381"/>
      <c r="AH56" s="383"/>
      <c r="AI56" s="433">
        <f t="shared" si="98"/>
        <v>0</v>
      </c>
      <c r="AJ56" s="385"/>
      <c r="AK56" s="386"/>
      <c r="AL56" s="387"/>
      <c r="AM56" s="434">
        <f t="shared" si="3"/>
        <v>0</v>
      </c>
      <c r="AN56" s="389"/>
      <c r="AO56" s="435"/>
      <c r="AP56" s="435"/>
      <c r="AQ56" s="435"/>
      <c r="AR56" s="346" t="e">
        <f t="shared" si="4"/>
        <v>#DIV/0!</v>
      </c>
      <c r="AS56" s="436"/>
      <c r="AT56" s="392">
        <v>45</v>
      </c>
      <c r="AU56" s="49"/>
      <c r="AV56" s="48"/>
      <c r="AW56" s="52"/>
      <c r="AX56" s="393" t="e">
        <f t="shared" si="5"/>
        <v>#DIV/0!</v>
      </c>
      <c r="AY56" s="77">
        <v>252</v>
      </c>
      <c r="AZ56" s="437">
        <f t="shared" si="99"/>
        <v>0</v>
      </c>
      <c r="BA56" s="395"/>
      <c r="BB56" s="396"/>
      <c r="BC56" s="397"/>
      <c r="BD56" s="398">
        <f t="shared" si="73"/>
        <v>3</v>
      </c>
      <c r="BE56" s="399">
        <f t="shared" si="78"/>
        <v>0</v>
      </c>
      <c r="BF56" s="400">
        <v>0</v>
      </c>
      <c r="BG56" s="400">
        <v>0</v>
      </c>
      <c r="BH56" s="401">
        <v>3</v>
      </c>
      <c r="BI56" s="402">
        <f t="shared" si="100"/>
        <v>5</v>
      </c>
      <c r="BJ56" s="403">
        <v>3</v>
      </c>
      <c r="BK56" s="404">
        <v>2</v>
      </c>
      <c r="BL56" s="405">
        <v>4</v>
      </c>
      <c r="BM56" s="457">
        <f t="shared" si="75"/>
        <v>74</v>
      </c>
      <c r="BN56" s="407">
        <f t="shared" si="9"/>
        <v>67</v>
      </c>
      <c r="BO56" s="12">
        <v>46</v>
      </c>
      <c r="BP56" s="12">
        <v>21</v>
      </c>
      <c r="BQ56" s="12">
        <v>7</v>
      </c>
      <c r="BR56" s="408">
        <f t="shared" si="76"/>
        <v>14.8</v>
      </c>
      <c r="BS56" s="409">
        <f t="shared" si="79"/>
        <v>0</v>
      </c>
      <c r="BT56" s="410"/>
      <c r="BU56" s="411"/>
      <c r="BV56" s="438"/>
      <c r="BW56" s="412">
        <f t="shared" si="77"/>
        <v>0</v>
      </c>
    </row>
    <row r="57" spans="1:76" ht="16.899999999999999" customHeight="1" x14ac:dyDescent="0.3">
      <c r="A57" s="8" t="s">
        <v>140</v>
      </c>
      <c r="B57" s="9" t="s">
        <v>27</v>
      </c>
      <c r="C57" s="14" t="s">
        <v>115</v>
      </c>
      <c r="D57" s="40" t="s">
        <v>150</v>
      </c>
      <c r="E57" s="15" t="s">
        <v>137</v>
      </c>
      <c r="F57" s="59">
        <v>25</v>
      </c>
      <c r="G57" s="369">
        <f t="shared" si="86"/>
        <v>0</v>
      </c>
      <c r="H57" s="370">
        <v>25</v>
      </c>
      <c r="I57" s="371">
        <v>16</v>
      </c>
      <c r="J57" s="371">
        <v>9</v>
      </c>
      <c r="K57" s="372">
        <v>5</v>
      </c>
      <c r="L57" s="373">
        <f t="shared" si="87"/>
        <v>0</v>
      </c>
      <c r="M57" s="373">
        <f t="shared" si="88"/>
        <v>0</v>
      </c>
      <c r="N57" s="374">
        <f t="shared" si="89"/>
        <v>0</v>
      </c>
      <c r="O57" s="374">
        <f t="shared" si="90"/>
        <v>0</v>
      </c>
      <c r="P57" s="375">
        <f t="shared" si="91"/>
        <v>0</v>
      </c>
      <c r="Q57" s="376">
        <f t="shared" si="92"/>
        <v>0</v>
      </c>
      <c r="R57" s="374">
        <f t="shared" si="93"/>
        <v>0</v>
      </c>
      <c r="S57" s="377"/>
      <c r="T57" s="377"/>
      <c r="U57" s="377"/>
      <c r="V57" s="378">
        <f t="shared" si="71"/>
        <v>0</v>
      </c>
      <c r="W57" s="379">
        <v>81.5</v>
      </c>
      <c r="X57" s="380"/>
      <c r="Y57" s="376">
        <f t="shared" si="94"/>
        <v>0</v>
      </c>
      <c r="Z57" s="374">
        <f t="shared" si="95"/>
        <v>0</v>
      </c>
      <c r="AA57" s="381"/>
      <c r="AB57" s="381"/>
      <c r="AC57" s="382"/>
      <c r="AD57" s="376">
        <f t="shared" si="96"/>
        <v>0</v>
      </c>
      <c r="AE57" s="374">
        <f t="shared" si="97"/>
        <v>0</v>
      </c>
      <c r="AF57" s="381"/>
      <c r="AG57" s="381"/>
      <c r="AH57" s="383"/>
      <c r="AI57" s="433">
        <f t="shared" si="98"/>
        <v>0</v>
      </c>
      <c r="AJ57" s="385"/>
      <c r="AK57" s="386"/>
      <c r="AL57" s="387"/>
      <c r="AM57" s="434">
        <f t="shared" si="3"/>
        <v>0</v>
      </c>
      <c r="AN57" s="389"/>
      <c r="AO57" s="435"/>
      <c r="AP57" s="435"/>
      <c r="AQ57" s="435"/>
      <c r="AR57" s="346" t="e">
        <f t="shared" si="4"/>
        <v>#DIV/0!</v>
      </c>
      <c r="AS57" s="436"/>
      <c r="AT57" s="392">
        <v>11</v>
      </c>
      <c r="AU57" s="49"/>
      <c r="AV57" s="48"/>
      <c r="AW57" s="52"/>
      <c r="AX57" s="393" t="e">
        <f t="shared" si="5"/>
        <v>#DIV/0!</v>
      </c>
      <c r="AY57" s="77">
        <v>185</v>
      </c>
      <c r="AZ57" s="437">
        <f t="shared" si="99"/>
        <v>0</v>
      </c>
      <c r="BA57" s="395"/>
      <c r="BB57" s="396"/>
      <c r="BC57" s="397"/>
      <c r="BD57" s="398">
        <f t="shared" si="73"/>
        <v>13</v>
      </c>
      <c r="BE57" s="399">
        <f t="shared" si="78"/>
        <v>13</v>
      </c>
      <c r="BF57" s="400">
        <v>7</v>
      </c>
      <c r="BG57" s="400">
        <v>6</v>
      </c>
      <c r="BH57" s="401">
        <v>0</v>
      </c>
      <c r="BI57" s="402">
        <f t="shared" si="100"/>
        <v>16</v>
      </c>
      <c r="BJ57" s="403">
        <v>9</v>
      </c>
      <c r="BK57" s="404">
        <v>7</v>
      </c>
      <c r="BL57" s="405">
        <v>0</v>
      </c>
      <c r="BM57" s="457">
        <f t="shared" si="75"/>
        <v>24</v>
      </c>
      <c r="BN57" s="407">
        <f t="shared" si="9"/>
        <v>24</v>
      </c>
      <c r="BO57" s="12">
        <v>13</v>
      </c>
      <c r="BP57" s="12">
        <v>11</v>
      </c>
      <c r="BQ57" s="12">
        <v>0</v>
      </c>
      <c r="BR57" s="408">
        <f t="shared" si="76"/>
        <v>1.5</v>
      </c>
      <c r="BS57" s="409">
        <f t="shared" si="79"/>
        <v>0</v>
      </c>
      <c r="BT57" s="410"/>
      <c r="BU57" s="411"/>
      <c r="BV57" s="438"/>
      <c r="BW57" s="412">
        <f t="shared" si="77"/>
        <v>0</v>
      </c>
    </row>
    <row r="58" spans="1:76" ht="16.899999999999999" customHeight="1" x14ac:dyDescent="0.3">
      <c r="A58" s="8" t="s">
        <v>140</v>
      </c>
      <c r="B58" s="9" t="s">
        <v>27</v>
      </c>
      <c r="C58" s="14" t="s">
        <v>110</v>
      </c>
      <c r="D58" s="40" t="s">
        <v>151</v>
      </c>
      <c r="E58" s="15" t="s">
        <v>103</v>
      </c>
      <c r="F58" s="59">
        <v>25</v>
      </c>
      <c r="G58" s="369">
        <f t="shared" si="86"/>
        <v>0</v>
      </c>
      <c r="H58" s="370">
        <v>25</v>
      </c>
      <c r="I58" s="371">
        <v>16</v>
      </c>
      <c r="J58" s="371">
        <v>9</v>
      </c>
      <c r="K58" s="372">
        <v>5</v>
      </c>
      <c r="L58" s="373">
        <f t="shared" si="87"/>
        <v>0</v>
      </c>
      <c r="M58" s="373">
        <f t="shared" si="88"/>
        <v>0</v>
      </c>
      <c r="N58" s="374">
        <f t="shared" si="89"/>
        <v>0</v>
      </c>
      <c r="O58" s="374">
        <f t="shared" si="90"/>
        <v>0</v>
      </c>
      <c r="P58" s="375">
        <f t="shared" si="91"/>
        <v>0</v>
      </c>
      <c r="Q58" s="376">
        <f t="shared" si="92"/>
        <v>0</v>
      </c>
      <c r="R58" s="374">
        <f t="shared" si="93"/>
        <v>0</v>
      </c>
      <c r="S58" s="377"/>
      <c r="T58" s="377"/>
      <c r="U58" s="377"/>
      <c r="V58" s="378">
        <f t="shared" si="71"/>
        <v>0</v>
      </c>
      <c r="W58" s="379">
        <v>65.3</v>
      </c>
      <c r="X58" s="380"/>
      <c r="Y58" s="376">
        <f t="shared" si="94"/>
        <v>0</v>
      </c>
      <c r="Z58" s="374">
        <f t="shared" si="95"/>
        <v>0</v>
      </c>
      <c r="AA58" s="381"/>
      <c r="AB58" s="381"/>
      <c r="AC58" s="382"/>
      <c r="AD58" s="376">
        <f t="shared" si="96"/>
        <v>0</v>
      </c>
      <c r="AE58" s="374">
        <f t="shared" si="97"/>
        <v>0</v>
      </c>
      <c r="AF58" s="381"/>
      <c r="AG58" s="381"/>
      <c r="AH58" s="383"/>
      <c r="AI58" s="433">
        <f t="shared" si="98"/>
        <v>0</v>
      </c>
      <c r="AJ58" s="385"/>
      <c r="AK58" s="386"/>
      <c r="AL58" s="387"/>
      <c r="AM58" s="434">
        <f t="shared" si="3"/>
        <v>0</v>
      </c>
      <c r="AN58" s="389"/>
      <c r="AO58" s="435"/>
      <c r="AP58" s="435"/>
      <c r="AQ58" s="435"/>
      <c r="AR58" s="346" t="e">
        <f t="shared" si="4"/>
        <v>#DIV/0!</v>
      </c>
      <c r="AS58" s="436"/>
      <c r="AT58" s="392">
        <v>21</v>
      </c>
      <c r="AU58" s="76"/>
      <c r="AV58" s="48"/>
      <c r="AW58" s="52"/>
      <c r="AX58" s="393" t="e">
        <f t="shared" si="5"/>
        <v>#DIV/0!</v>
      </c>
      <c r="AY58" s="77">
        <v>95</v>
      </c>
      <c r="AZ58" s="437">
        <f t="shared" si="99"/>
        <v>0</v>
      </c>
      <c r="BA58" s="395"/>
      <c r="BB58" s="396"/>
      <c r="BC58" s="397"/>
      <c r="BD58" s="398">
        <f t="shared" si="73"/>
        <v>3</v>
      </c>
      <c r="BE58" s="399">
        <f t="shared" si="78"/>
        <v>0</v>
      </c>
      <c r="BF58" s="400">
        <v>-3</v>
      </c>
      <c r="BG58" s="400">
        <v>3</v>
      </c>
      <c r="BH58" s="401">
        <v>3</v>
      </c>
      <c r="BI58" s="402">
        <f t="shared" si="100"/>
        <v>3</v>
      </c>
      <c r="BJ58" s="403">
        <v>-1</v>
      </c>
      <c r="BK58" s="404">
        <v>4</v>
      </c>
      <c r="BL58" s="405">
        <v>3</v>
      </c>
      <c r="BM58" s="457">
        <f t="shared" si="75"/>
        <v>9</v>
      </c>
      <c r="BN58" s="407">
        <f t="shared" si="9"/>
        <v>9</v>
      </c>
      <c r="BO58" s="12">
        <v>8</v>
      </c>
      <c r="BP58" s="12">
        <v>1</v>
      </c>
      <c r="BQ58" s="12">
        <v>0</v>
      </c>
      <c r="BR58" s="408">
        <f t="shared" si="76"/>
        <v>3</v>
      </c>
      <c r="BS58" s="409">
        <f t="shared" si="79"/>
        <v>0</v>
      </c>
      <c r="BT58" s="410"/>
      <c r="BU58" s="411"/>
      <c r="BV58" s="438"/>
      <c r="BW58" s="412">
        <f t="shared" si="77"/>
        <v>0</v>
      </c>
    </row>
    <row r="59" spans="1:76" ht="16.899999999999999" customHeight="1" x14ac:dyDescent="0.3">
      <c r="A59" s="4" t="s">
        <v>140</v>
      </c>
      <c r="B59" s="5" t="s">
        <v>28</v>
      </c>
      <c r="C59" s="5"/>
      <c r="D59" s="18" t="s">
        <v>21</v>
      </c>
      <c r="E59" s="6"/>
      <c r="F59" s="58">
        <f t="shared" ref="F59:K59" si="101">F60</f>
        <v>25</v>
      </c>
      <c r="G59" s="7">
        <f t="shared" si="101"/>
        <v>0</v>
      </c>
      <c r="H59" s="7">
        <f t="shared" si="101"/>
        <v>25</v>
      </c>
      <c r="I59" s="67">
        <f t="shared" si="101"/>
        <v>16</v>
      </c>
      <c r="J59" s="67">
        <f t="shared" si="101"/>
        <v>9</v>
      </c>
      <c r="K59" s="70">
        <f t="shared" si="101"/>
        <v>5</v>
      </c>
      <c r="L59" s="413">
        <f t="shared" ref="L59:U59" si="102">SUM(L60)</f>
        <v>0</v>
      </c>
      <c r="M59" s="413">
        <f t="shared" si="102"/>
        <v>0</v>
      </c>
      <c r="N59" s="413">
        <f t="shared" si="102"/>
        <v>0</v>
      </c>
      <c r="O59" s="413">
        <f t="shared" si="102"/>
        <v>0</v>
      </c>
      <c r="P59" s="414">
        <f t="shared" si="102"/>
        <v>0</v>
      </c>
      <c r="Q59" s="415">
        <f t="shared" si="102"/>
        <v>0</v>
      </c>
      <c r="R59" s="416">
        <f t="shared" si="102"/>
        <v>0</v>
      </c>
      <c r="S59" s="416">
        <f t="shared" si="102"/>
        <v>0</v>
      </c>
      <c r="T59" s="416">
        <f t="shared" si="102"/>
        <v>0</v>
      </c>
      <c r="U59" s="416">
        <f t="shared" si="102"/>
        <v>0</v>
      </c>
      <c r="V59" s="334">
        <f t="shared" si="71"/>
        <v>0</v>
      </c>
      <c r="W59" s="335">
        <f t="shared" ref="W59:AI59" si="103">SUM(W60)</f>
        <v>61.7</v>
      </c>
      <c r="X59" s="413">
        <f t="shared" si="103"/>
        <v>0</v>
      </c>
      <c r="Y59" s="415">
        <f t="shared" si="103"/>
        <v>0</v>
      </c>
      <c r="Z59" s="416">
        <f t="shared" si="103"/>
        <v>0</v>
      </c>
      <c r="AA59" s="416">
        <f t="shared" si="103"/>
        <v>0</v>
      </c>
      <c r="AB59" s="416">
        <f t="shared" si="103"/>
        <v>0</v>
      </c>
      <c r="AC59" s="417">
        <f t="shared" si="103"/>
        <v>0</v>
      </c>
      <c r="AD59" s="415">
        <f t="shared" si="103"/>
        <v>0</v>
      </c>
      <c r="AE59" s="416">
        <f t="shared" si="103"/>
        <v>0</v>
      </c>
      <c r="AF59" s="416">
        <f t="shared" si="103"/>
        <v>0</v>
      </c>
      <c r="AG59" s="416">
        <f t="shared" si="103"/>
        <v>0</v>
      </c>
      <c r="AH59" s="418">
        <f t="shared" si="103"/>
        <v>0</v>
      </c>
      <c r="AI59" s="339">
        <f t="shared" si="103"/>
        <v>0</v>
      </c>
      <c r="AJ59" s="340"/>
      <c r="AK59" s="341"/>
      <c r="AL59" s="342"/>
      <c r="AM59" s="420">
        <f t="shared" si="3"/>
        <v>0</v>
      </c>
      <c r="AN59" s="344"/>
      <c r="AO59" s="440"/>
      <c r="AP59" s="440"/>
      <c r="AQ59" s="440"/>
      <c r="AR59" s="346" t="e">
        <f t="shared" si="4"/>
        <v>#DIV/0!</v>
      </c>
      <c r="AS59" s="424">
        <v>1.526</v>
      </c>
      <c r="AT59" s="441">
        <f>SUM(AT60)</f>
        <v>8</v>
      </c>
      <c r="AU59" s="361"/>
      <c r="AV59" s="361"/>
      <c r="AW59" s="444"/>
      <c r="AX59" s="352" t="e">
        <f t="shared" si="5"/>
        <v>#DIV/0!</v>
      </c>
      <c r="AY59" s="449">
        <v>0.89500000000000002</v>
      </c>
      <c r="AZ59" s="354">
        <f>SUM(AZ60)</f>
        <v>0</v>
      </c>
      <c r="BA59" s="340"/>
      <c r="BB59" s="340"/>
      <c r="BC59" s="355"/>
      <c r="BD59" s="356">
        <f t="shared" si="73"/>
        <v>16</v>
      </c>
      <c r="BE59" s="356">
        <f t="shared" si="78"/>
        <v>11</v>
      </c>
      <c r="BF59" s="357">
        <f t="shared" ref="BF59:BL59" si="104">BF60</f>
        <v>5</v>
      </c>
      <c r="BG59" s="357">
        <f t="shared" si="104"/>
        <v>6</v>
      </c>
      <c r="BH59" s="358">
        <f t="shared" si="104"/>
        <v>5</v>
      </c>
      <c r="BI59" s="359">
        <f t="shared" si="104"/>
        <v>14</v>
      </c>
      <c r="BJ59" s="360">
        <f t="shared" si="104"/>
        <v>7</v>
      </c>
      <c r="BK59" s="361">
        <f t="shared" si="104"/>
        <v>7</v>
      </c>
      <c r="BL59" s="362">
        <f t="shared" si="104"/>
        <v>5</v>
      </c>
      <c r="BM59" s="363">
        <f t="shared" si="75"/>
        <v>15</v>
      </c>
      <c r="BN59" s="356">
        <f t="shared" si="9"/>
        <v>14</v>
      </c>
      <c r="BO59" s="357">
        <f>BO60</f>
        <v>11</v>
      </c>
      <c r="BP59" s="357">
        <f>BP60</f>
        <v>3</v>
      </c>
      <c r="BQ59" s="357">
        <f>BQ60</f>
        <v>1</v>
      </c>
      <c r="BR59" s="432">
        <f t="shared" si="76"/>
        <v>1.0714285714285714</v>
      </c>
      <c r="BS59" s="366">
        <f t="shared" si="79"/>
        <v>0</v>
      </c>
      <c r="BT59" s="367">
        <f>BT60</f>
        <v>0</v>
      </c>
      <c r="BU59" s="498">
        <f>BU60</f>
        <v>0</v>
      </c>
      <c r="BV59" s="453">
        <f>BV60</f>
        <v>0</v>
      </c>
      <c r="BW59" s="368">
        <f t="shared" si="77"/>
        <v>0</v>
      </c>
      <c r="BX59" t="s">
        <v>28</v>
      </c>
    </row>
    <row r="60" spans="1:76" ht="16.899999999999999" customHeight="1" x14ac:dyDescent="0.3">
      <c r="A60" s="8" t="s">
        <v>140</v>
      </c>
      <c r="B60" s="9" t="s">
        <v>28</v>
      </c>
      <c r="C60" s="9" t="s">
        <v>122</v>
      </c>
      <c r="D60" s="9" t="s">
        <v>152</v>
      </c>
      <c r="E60" s="10" t="s">
        <v>103</v>
      </c>
      <c r="F60" s="59">
        <v>25</v>
      </c>
      <c r="G60" s="369">
        <f>L60/F60</f>
        <v>0</v>
      </c>
      <c r="H60" s="370">
        <v>25</v>
      </c>
      <c r="I60" s="371">
        <v>16</v>
      </c>
      <c r="J60" s="371">
        <v>9</v>
      </c>
      <c r="K60" s="372">
        <v>5</v>
      </c>
      <c r="L60" s="373">
        <f>N60+O60+P60</f>
        <v>0</v>
      </c>
      <c r="M60" s="373">
        <f>N60+O60</f>
        <v>0</v>
      </c>
      <c r="N60" s="374">
        <f>AA60+AF60</f>
        <v>0</v>
      </c>
      <c r="O60" s="374">
        <f>AB60+AG60</f>
        <v>0</v>
      </c>
      <c r="P60" s="375">
        <f>AC60+AH60</f>
        <v>0</v>
      </c>
      <c r="Q60" s="376">
        <f>R60+U60</f>
        <v>0</v>
      </c>
      <c r="R60" s="374">
        <f>S60+T60</f>
        <v>0</v>
      </c>
      <c r="S60" s="377"/>
      <c r="T60" s="377"/>
      <c r="U60" s="377"/>
      <c r="V60" s="378">
        <f t="shared" si="71"/>
        <v>0</v>
      </c>
      <c r="W60" s="379">
        <v>61.7</v>
      </c>
      <c r="X60" s="380"/>
      <c r="Y60" s="376">
        <f>Z60+AC60</f>
        <v>0</v>
      </c>
      <c r="Z60" s="374">
        <f>AA60+AB60</f>
        <v>0</v>
      </c>
      <c r="AA60" s="381"/>
      <c r="AB60" s="381"/>
      <c r="AC60" s="382"/>
      <c r="AD60" s="376">
        <f>AE60+AH60</f>
        <v>0</v>
      </c>
      <c r="AE60" s="374">
        <f>AF60+AG60</f>
        <v>0</v>
      </c>
      <c r="AF60" s="381"/>
      <c r="AG60" s="381"/>
      <c r="AH60" s="383"/>
      <c r="AI60" s="433">
        <f>AJ60+AK60</f>
        <v>0</v>
      </c>
      <c r="AJ60" s="385"/>
      <c r="AK60" s="386"/>
      <c r="AL60" s="387"/>
      <c r="AM60" s="434">
        <f t="shared" si="3"/>
        <v>0</v>
      </c>
      <c r="AN60" s="389"/>
      <c r="AO60" s="435"/>
      <c r="AP60" s="435"/>
      <c r="AQ60" s="435"/>
      <c r="AR60" s="346" t="e">
        <f t="shared" si="4"/>
        <v>#DIV/0!</v>
      </c>
      <c r="AS60" s="436"/>
      <c r="AT60" s="392">
        <v>8</v>
      </c>
      <c r="AU60" s="50"/>
      <c r="AV60" s="50"/>
      <c r="AW60" s="53"/>
      <c r="AX60" s="393" t="e">
        <f t="shared" si="5"/>
        <v>#DIV/0!</v>
      </c>
      <c r="AY60" s="78">
        <v>209</v>
      </c>
      <c r="AZ60" s="437">
        <f>BA60+BB60</f>
        <v>0</v>
      </c>
      <c r="BA60" s="395"/>
      <c r="BB60" s="396"/>
      <c r="BC60" s="397"/>
      <c r="BD60" s="455">
        <f t="shared" si="73"/>
        <v>16</v>
      </c>
      <c r="BE60" s="435">
        <f t="shared" si="78"/>
        <v>11</v>
      </c>
      <c r="BF60" s="400">
        <v>5</v>
      </c>
      <c r="BG60" s="499">
        <v>6</v>
      </c>
      <c r="BH60" s="499">
        <v>5</v>
      </c>
      <c r="BI60" s="402">
        <f>SUM(BJ60:BK60)</f>
        <v>14</v>
      </c>
      <c r="BJ60" s="500">
        <v>7</v>
      </c>
      <c r="BK60" s="501">
        <v>7</v>
      </c>
      <c r="BL60" s="502">
        <v>5</v>
      </c>
      <c r="BM60" s="457">
        <f t="shared" si="75"/>
        <v>15</v>
      </c>
      <c r="BN60" s="407">
        <f t="shared" si="9"/>
        <v>14</v>
      </c>
      <c r="BO60" s="12">
        <v>11</v>
      </c>
      <c r="BP60" s="12">
        <v>3</v>
      </c>
      <c r="BQ60" s="12">
        <v>1</v>
      </c>
      <c r="BR60" s="408">
        <f t="shared" si="76"/>
        <v>1.0714285714285714</v>
      </c>
      <c r="BS60" s="409">
        <f t="shared" si="79"/>
        <v>0</v>
      </c>
      <c r="BT60" s="410"/>
      <c r="BU60" s="439"/>
      <c r="BV60" s="458"/>
      <c r="BW60" s="412">
        <f t="shared" si="77"/>
        <v>0</v>
      </c>
    </row>
    <row r="61" spans="1:76" ht="20.45" customHeight="1" x14ac:dyDescent="0.3">
      <c r="A61" s="742" t="s">
        <v>153</v>
      </c>
      <c r="B61" s="743"/>
      <c r="C61" s="743"/>
      <c r="D61" s="743"/>
      <c r="E61" s="744"/>
      <c r="F61" s="57">
        <f>F62+F68+F71</f>
        <v>250</v>
      </c>
      <c r="G61" s="288">
        <f>L61/F61</f>
        <v>0</v>
      </c>
      <c r="H61" s="503">
        <f t="shared" ref="H61:AI61" si="105">H62+H68+H71</f>
        <v>250</v>
      </c>
      <c r="I61" s="504">
        <f t="shared" si="105"/>
        <v>172</v>
      </c>
      <c r="J61" s="504">
        <f t="shared" si="105"/>
        <v>78</v>
      </c>
      <c r="K61" s="505">
        <f t="shared" si="105"/>
        <v>50</v>
      </c>
      <c r="L61" s="506">
        <f t="shared" si="105"/>
        <v>0</v>
      </c>
      <c r="M61" s="507">
        <f t="shared" si="105"/>
        <v>0</v>
      </c>
      <c r="N61" s="507">
        <f t="shared" si="105"/>
        <v>0</v>
      </c>
      <c r="O61" s="507">
        <f t="shared" si="105"/>
        <v>0</v>
      </c>
      <c r="P61" s="507">
        <f t="shared" si="105"/>
        <v>0</v>
      </c>
      <c r="Q61" s="507">
        <f t="shared" si="105"/>
        <v>0</v>
      </c>
      <c r="R61" s="507">
        <f t="shared" si="105"/>
        <v>0</v>
      </c>
      <c r="S61" s="507">
        <f t="shared" si="105"/>
        <v>0</v>
      </c>
      <c r="T61" s="507">
        <f t="shared" si="105"/>
        <v>0</v>
      </c>
      <c r="U61" s="507">
        <f t="shared" si="105"/>
        <v>0</v>
      </c>
      <c r="V61" s="507">
        <f t="shared" si="105"/>
        <v>0</v>
      </c>
      <c r="W61" s="507">
        <f t="shared" si="105"/>
        <v>679.7</v>
      </c>
      <c r="X61" s="507">
        <f t="shared" si="105"/>
        <v>0</v>
      </c>
      <c r="Y61" s="507">
        <f t="shared" si="105"/>
        <v>0</v>
      </c>
      <c r="Z61" s="507">
        <f t="shared" si="105"/>
        <v>0</v>
      </c>
      <c r="AA61" s="507">
        <f t="shared" si="105"/>
        <v>0</v>
      </c>
      <c r="AB61" s="507">
        <f t="shared" si="105"/>
        <v>0</v>
      </c>
      <c r="AC61" s="507">
        <f t="shared" si="105"/>
        <v>0</v>
      </c>
      <c r="AD61" s="507">
        <f t="shared" si="105"/>
        <v>0</v>
      </c>
      <c r="AE61" s="507">
        <f t="shared" si="105"/>
        <v>0</v>
      </c>
      <c r="AF61" s="507">
        <f t="shared" si="105"/>
        <v>0</v>
      </c>
      <c r="AG61" s="507">
        <f t="shared" si="105"/>
        <v>0</v>
      </c>
      <c r="AH61" s="507">
        <f t="shared" si="105"/>
        <v>0</v>
      </c>
      <c r="AI61" s="508">
        <f t="shared" si="105"/>
        <v>0</v>
      </c>
      <c r="AJ61" s="509"/>
      <c r="AK61" s="510"/>
      <c r="AL61" s="511"/>
      <c r="AM61" s="474">
        <f t="shared" si="3"/>
        <v>0</v>
      </c>
      <c r="AN61" s="475"/>
      <c r="AO61" s="512"/>
      <c r="AP61" s="512"/>
      <c r="AQ61" s="512"/>
      <c r="AR61" s="308" t="e">
        <f t="shared" si="4"/>
        <v>#DIV/0!</v>
      </c>
      <c r="AS61" s="309">
        <v>1.0389999999999999</v>
      </c>
      <c r="AT61" s="513">
        <f>AT62+AT68+AT71</f>
        <v>113</v>
      </c>
      <c r="AU61" s="479"/>
      <c r="AV61" s="479"/>
      <c r="AW61" s="480"/>
      <c r="AX61" s="481" t="e">
        <f t="shared" si="5"/>
        <v>#DIV/0!</v>
      </c>
      <c r="AY61" s="482">
        <v>0.64</v>
      </c>
      <c r="AZ61" s="483">
        <f>AZ62+AZ68+AZ71</f>
        <v>0</v>
      </c>
      <c r="BA61" s="485"/>
      <c r="BB61" s="485"/>
      <c r="BC61" s="486"/>
      <c r="BD61" s="514">
        <f t="shared" si="73"/>
        <v>113</v>
      </c>
      <c r="BE61" s="514">
        <f t="shared" si="78"/>
        <v>89</v>
      </c>
      <c r="BF61" s="515">
        <f t="shared" ref="BF61:BL61" si="106">BF62+BF68+BF71</f>
        <v>58</v>
      </c>
      <c r="BG61" s="515">
        <f t="shared" si="106"/>
        <v>31</v>
      </c>
      <c r="BH61" s="516">
        <f t="shared" si="106"/>
        <v>24</v>
      </c>
      <c r="BI61" s="490">
        <f t="shared" si="106"/>
        <v>116</v>
      </c>
      <c r="BJ61" s="491">
        <f t="shared" si="106"/>
        <v>76</v>
      </c>
      <c r="BK61" s="479">
        <f t="shared" si="106"/>
        <v>40</v>
      </c>
      <c r="BL61" s="492">
        <f t="shared" si="106"/>
        <v>35</v>
      </c>
      <c r="BM61" s="517">
        <f t="shared" si="75"/>
        <v>123</v>
      </c>
      <c r="BN61" s="487">
        <f t="shared" si="9"/>
        <v>107</v>
      </c>
      <c r="BO61" s="515">
        <f>BO62+BO68+BO71</f>
        <v>87</v>
      </c>
      <c r="BP61" s="515">
        <f>BP62+BP68+BP71</f>
        <v>20</v>
      </c>
      <c r="BQ61" s="515">
        <f>BQ62+BQ68+BQ71</f>
        <v>16</v>
      </c>
      <c r="BR61" s="494">
        <f t="shared" si="76"/>
        <v>1.0603448275862069</v>
      </c>
      <c r="BS61" s="327">
        <f t="shared" si="79"/>
        <v>0</v>
      </c>
      <c r="BT61" s="328">
        <f>BT62+BT68+BT71</f>
        <v>0</v>
      </c>
      <c r="BU61" s="328">
        <f>BU62+BU68+BU71</f>
        <v>0</v>
      </c>
      <c r="BV61" s="328">
        <f>BV62+BV68+BV71</f>
        <v>0</v>
      </c>
      <c r="BW61" s="329">
        <f t="shared" si="77"/>
        <v>0</v>
      </c>
    </row>
    <row r="62" spans="1:76" ht="16.899999999999999" customHeight="1" x14ac:dyDescent="0.3">
      <c r="A62" s="4" t="s">
        <v>154</v>
      </c>
      <c r="B62" s="5" t="s">
        <v>30</v>
      </c>
      <c r="C62" s="5"/>
      <c r="D62" s="13" t="s">
        <v>21</v>
      </c>
      <c r="E62" s="6"/>
      <c r="F62" s="58">
        <f t="shared" ref="F62:U62" si="107">SUM(F63:F67)</f>
        <v>150</v>
      </c>
      <c r="G62" s="7">
        <f t="shared" si="107"/>
        <v>0</v>
      </c>
      <c r="H62" s="20">
        <f t="shared" si="107"/>
        <v>150</v>
      </c>
      <c r="I62" s="66">
        <f t="shared" si="107"/>
        <v>104</v>
      </c>
      <c r="J62" s="66">
        <f t="shared" si="107"/>
        <v>46</v>
      </c>
      <c r="K62" s="70">
        <f t="shared" si="107"/>
        <v>30</v>
      </c>
      <c r="L62" s="413">
        <f t="shared" si="107"/>
        <v>0</v>
      </c>
      <c r="M62" s="413">
        <f t="shared" si="107"/>
        <v>0</v>
      </c>
      <c r="N62" s="413">
        <f t="shared" si="107"/>
        <v>0</v>
      </c>
      <c r="O62" s="413">
        <f t="shared" si="107"/>
        <v>0</v>
      </c>
      <c r="P62" s="414">
        <f t="shared" si="107"/>
        <v>0</v>
      </c>
      <c r="Q62" s="415">
        <f t="shared" si="107"/>
        <v>0</v>
      </c>
      <c r="R62" s="416">
        <f t="shared" si="107"/>
        <v>0</v>
      </c>
      <c r="S62" s="416">
        <f t="shared" si="107"/>
        <v>0</v>
      </c>
      <c r="T62" s="416">
        <f t="shared" si="107"/>
        <v>0</v>
      </c>
      <c r="U62" s="416">
        <f t="shared" si="107"/>
        <v>0</v>
      </c>
      <c r="V62" s="334">
        <f t="shared" ref="V62:V93" si="108">Q62/H62</f>
        <v>0</v>
      </c>
      <c r="W62" s="335">
        <f t="shared" ref="W62:AI62" si="109">SUM(W63:W67)</f>
        <v>380.40000000000003</v>
      </c>
      <c r="X62" s="413">
        <f t="shared" si="109"/>
        <v>0</v>
      </c>
      <c r="Y62" s="415">
        <f t="shared" si="109"/>
        <v>0</v>
      </c>
      <c r="Z62" s="416">
        <f t="shared" si="109"/>
        <v>0</v>
      </c>
      <c r="AA62" s="416">
        <f t="shared" si="109"/>
        <v>0</v>
      </c>
      <c r="AB62" s="416">
        <f t="shared" si="109"/>
        <v>0</v>
      </c>
      <c r="AC62" s="417">
        <f t="shared" si="109"/>
        <v>0</v>
      </c>
      <c r="AD62" s="415">
        <f t="shared" si="109"/>
        <v>0</v>
      </c>
      <c r="AE62" s="416">
        <f t="shared" si="109"/>
        <v>0</v>
      </c>
      <c r="AF62" s="416">
        <f t="shared" si="109"/>
        <v>0</v>
      </c>
      <c r="AG62" s="416">
        <f t="shared" si="109"/>
        <v>0</v>
      </c>
      <c r="AH62" s="418">
        <f t="shared" si="109"/>
        <v>0</v>
      </c>
      <c r="AI62" s="518">
        <f t="shared" si="109"/>
        <v>0</v>
      </c>
      <c r="AJ62" s="519"/>
      <c r="AK62" s="519"/>
      <c r="AL62" s="518"/>
      <c r="AM62" s="420">
        <f t="shared" si="3"/>
        <v>0</v>
      </c>
      <c r="AN62" s="344"/>
      <c r="AO62" s="520"/>
      <c r="AP62" s="520"/>
      <c r="AQ62" s="520"/>
      <c r="AR62" s="346" t="e">
        <f t="shared" si="4"/>
        <v>#DIV/0!</v>
      </c>
      <c r="AS62" s="424">
        <v>0.83299999999999996</v>
      </c>
      <c r="AT62" s="521">
        <f>SUM(AT63:AT67)</f>
        <v>53</v>
      </c>
      <c r="AU62" s="522"/>
      <c r="AV62" s="520"/>
      <c r="AW62" s="523"/>
      <c r="AX62" s="352" t="e">
        <f t="shared" si="5"/>
        <v>#DIV/0!</v>
      </c>
      <c r="AY62" s="427">
        <v>0.53300000000000003</v>
      </c>
      <c r="AZ62" s="524">
        <f>SUM(AZ63:AZ67)</f>
        <v>0</v>
      </c>
      <c r="BA62" s="520"/>
      <c r="BB62" s="520"/>
      <c r="BC62" s="525"/>
      <c r="BD62" s="522">
        <f t="shared" ref="BD62:BM62" si="110">SUM(BD63:BD67)</f>
        <v>87</v>
      </c>
      <c r="BE62" s="520">
        <f t="shared" si="110"/>
        <v>71</v>
      </c>
      <c r="BF62" s="520">
        <f t="shared" si="110"/>
        <v>49</v>
      </c>
      <c r="BG62" s="520">
        <f t="shared" si="110"/>
        <v>22</v>
      </c>
      <c r="BH62" s="523">
        <f t="shared" si="110"/>
        <v>16</v>
      </c>
      <c r="BI62" s="526">
        <f t="shared" si="110"/>
        <v>86</v>
      </c>
      <c r="BJ62" s="520">
        <f t="shared" si="110"/>
        <v>59</v>
      </c>
      <c r="BK62" s="520">
        <f t="shared" si="110"/>
        <v>27</v>
      </c>
      <c r="BL62" s="527">
        <f t="shared" si="110"/>
        <v>21</v>
      </c>
      <c r="BM62" s="528">
        <f t="shared" si="110"/>
        <v>65</v>
      </c>
      <c r="BN62" s="356">
        <f t="shared" si="9"/>
        <v>59</v>
      </c>
      <c r="BO62" s="520">
        <f t="shared" ref="BO62:BW62" si="111">SUM(BO63:BO67)</f>
        <v>54</v>
      </c>
      <c r="BP62" s="520">
        <f t="shared" si="111"/>
        <v>5</v>
      </c>
      <c r="BQ62" s="520">
        <f t="shared" si="111"/>
        <v>6</v>
      </c>
      <c r="BR62" s="525">
        <f t="shared" si="111"/>
        <v>4.2801619433198379</v>
      </c>
      <c r="BS62" s="522">
        <f t="shared" si="111"/>
        <v>0</v>
      </c>
      <c r="BT62" s="520">
        <f t="shared" si="111"/>
        <v>0</v>
      </c>
      <c r="BU62" s="520">
        <f t="shared" si="111"/>
        <v>0</v>
      </c>
      <c r="BV62" s="520">
        <f t="shared" si="111"/>
        <v>0</v>
      </c>
      <c r="BW62" s="414">
        <f t="shared" si="111"/>
        <v>0</v>
      </c>
      <c r="BX62" t="s">
        <v>30</v>
      </c>
    </row>
    <row r="63" spans="1:76" ht="16.899999999999999" customHeight="1" x14ac:dyDescent="0.3">
      <c r="A63" s="8" t="s">
        <v>154</v>
      </c>
      <c r="B63" s="9" t="s">
        <v>30</v>
      </c>
      <c r="C63" s="14" t="s">
        <v>110</v>
      </c>
      <c r="D63" s="39" t="s">
        <v>155</v>
      </c>
      <c r="E63" s="15" t="s">
        <v>103</v>
      </c>
      <c r="F63" s="59">
        <v>25</v>
      </c>
      <c r="G63" s="369">
        <f>L63/F63</f>
        <v>0</v>
      </c>
      <c r="H63" s="370">
        <v>25</v>
      </c>
      <c r="I63" s="371">
        <v>17</v>
      </c>
      <c r="J63" s="371">
        <v>8</v>
      </c>
      <c r="K63" s="372">
        <v>5</v>
      </c>
      <c r="L63" s="373">
        <f>N63+O63+P63</f>
        <v>0</v>
      </c>
      <c r="M63" s="373">
        <f>N63+O63</f>
        <v>0</v>
      </c>
      <c r="N63" s="374">
        <f t="shared" ref="N63:P67" si="112">AA63+AF63</f>
        <v>0</v>
      </c>
      <c r="O63" s="374">
        <f t="shared" si="112"/>
        <v>0</v>
      </c>
      <c r="P63" s="375">
        <f t="shared" si="112"/>
        <v>0</v>
      </c>
      <c r="Q63" s="376">
        <f>R63+U63</f>
        <v>0</v>
      </c>
      <c r="R63" s="374">
        <f>S63+T63</f>
        <v>0</v>
      </c>
      <c r="S63" s="377"/>
      <c r="T63" s="377"/>
      <c r="U63" s="377"/>
      <c r="V63" s="378">
        <f t="shared" si="108"/>
        <v>0</v>
      </c>
      <c r="W63" s="379">
        <v>92.3</v>
      </c>
      <c r="X63" s="380"/>
      <c r="Y63" s="376">
        <f>Z63+AC63</f>
        <v>0</v>
      </c>
      <c r="Z63" s="374">
        <f>AA63+AB63</f>
        <v>0</v>
      </c>
      <c r="AA63" s="381"/>
      <c r="AB63" s="381"/>
      <c r="AC63" s="382"/>
      <c r="AD63" s="376">
        <f>AE63+AH63</f>
        <v>0</v>
      </c>
      <c r="AE63" s="374">
        <f>AF63+AG63</f>
        <v>0</v>
      </c>
      <c r="AF63" s="381"/>
      <c r="AG63" s="381"/>
      <c r="AH63" s="383"/>
      <c r="AI63" s="433">
        <f>AJ63+AK63</f>
        <v>0</v>
      </c>
      <c r="AJ63" s="385"/>
      <c r="AK63" s="386"/>
      <c r="AL63" s="387"/>
      <c r="AM63" s="434">
        <f t="shared" si="3"/>
        <v>0</v>
      </c>
      <c r="AN63" s="389"/>
      <c r="AO63" s="435"/>
      <c r="AP63" s="435"/>
      <c r="AQ63" s="435"/>
      <c r="AR63" s="346" t="e">
        <f t="shared" si="4"/>
        <v>#DIV/0!</v>
      </c>
      <c r="AS63" s="436"/>
      <c r="AT63" s="392">
        <v>2</v>
      </c>
      <c r="AU63" s="48"/>
      <c r="AV63" s="48"/>
      <c r="AW63" s="52"/>
      <c r="AX63" s="393" t="e">
        <f t="shared" si="5"/>
        <v>#DIV/0!</v>
      </c>
      <c r="AY63" s="77">
        <v>159</v>
      </c>
      <c r="AZ63" s="437">
        <f>BA63+BB63</f>
        <v>0</v>
      </c>
      <c r="BA63" s="395"/>
      <c r="BB63" s="396"/>
      <c r="BC63" s="397"/>
      <c r="BD63" s="399">
        <f t="shared" ref="BD63:BD73" si="113">BE63+BH63</f>
        <v>20</v>
      </c>
      <c r="BE63" s="399">
        <f t="shared" ref="BE63:BE73" si="114">BF63+BG63</f>
        <v>17</v>
      </c>
      <c r="BF63" s="400">
        <v>12</v>
      </c>
      <c r="BG63" s="400">
        <v>5</v>
      </c>
      <c r="BH63" s="401">
        <v>3</v>
      </c>
      <c r="BI63" s="402">
        <f>SUM(BJ63:BK63)</f>
        <v>20</v>
      </c>
      <c r="BJ63" s="403">
        <v>14</v>
      </c>
      <c r="BK63" s="404">
        <v>6</v>
      </c>
      <c r="BL63" s="405">
        <v>4</v>
      </c>
      <c r="BM63" s="529">
        <f t="shared" ref="BM63:BM73" si="115">BN63+BQ63</f>
        <v>6</v>
      </c>
      <c r="BN63" s="407">
        <f t="shared" si="9"/>
        <v>6</v>
      </c>
      <c r="BO63" s="12">
        <v>5</v>
      </c>
      <c r="BP63" s="12">
        <v>1</v>
      </c>
      <c r="BQ63" s="12">
        <v>0</v>
      </c>
      <c r="BR63" s="408">
        <f t="shared" ref="BR63:BR99" si="116">BM63/BI63</f>
        <v>0.3</v>
      </c>
      <c r="BS63" s="409">
        <f t="shared" ref="BS63:BS73" si="117">BT63+BU63+BV63</f>
        <v>0</v>
      </c>
      <c r="BT63" s="410"/>
      <c r="BU63" s="411"/>
      <c r="BV63" s="438"/>
      <c r="BW63" s="412">
        <f t="shared" ref="BW63:BW73" si="118">BS63/BI63</f>
        <v>0</v>
      </c>
    </row>
    <row r="64" spans="1:76" ht="16.899999999999999" customHeight="1" x14ac:dyDescent="0.3">
      <c r="A64" s="8" t="s">
        <v>154</v>
      </c>
      <c r="B64" s="9" t="s">
        <v>30</v>
      </c>
      <c r="C64" s="14" t="s">
        <v>106</v>
      </c>
      <c r="D64" s="39" t="s">
        <v>156</v>
      </c>
      <c r="E64" s="15" t="s">
        <v>103</v>
      </c>
      <c r="F64" s="59">
        <v>25</v>
      </c>
      <c r="G64" s="369">
        <f>L64/F64</f>
        <v>0</v>
      </c>
      <c r="H64" s="370">
        <v>25</v>
      </c>
      <c r="I64" s="371">
        <v>17</v>
      </c>
      <c r="J64" s="371">
        <v>8</v>
      </c>
      <c r="K64" s="372">
        <v>5</v>
      </c>
      <c r="L64" s="373">
        <f>N64+O64+P64</f>
        <v>0</v>
      </c>
      <c r="M64" s="373">
        <f>N64+O64</f>
        <v>0</v>
      </c>
      <c r="N64" s="374">
        <f t="shared" si="112"/>
        <v>0</v>
      </c>
      <c r="O64" s="374">
        <f t="shared" si="112"/>
        <v>0</v>
      </c>
      <c r="P64" s="375">
        <f t="shared" si="112"/>
        <v>0</v>
      </c>
      <c r="Q64" s="376">
        <f>R64+U64</f>
        <v>0</v>
      </c>
      <c r="R64" s="374">
        <f>S64+T64</f>
        <v>0</v>
      </c>
      <c r="S64" s="377"/>
      <c r="T64" s="377"/>
      <c r="U64" s="377"/>
      <c r="V64" s="378">
        <f t="shared" si="108"/>
        <v>0</v>
      </c>
      <c r="W64" s="379">
        <v>76.400000000000006</v>
      </c>
      <c r="X64" s="380"/>
      <c r="Y64" s="376">
        <f>Z64+AC64</f>
        <v>0</v>
      </c>
      <c r="Z64" s="374">
        <f>AA64+AB64</f>
        <v>0</v>
      </c>
      <c r="AA64" s="381"/>
      <c r="AB64" s="381"/>
      <c r="AC64" s="382"/>
      <c r="AD64" s="376">
        <f>AE64+AH64</f>
        <v>0</v>
      </c>
      <c r="AE64" s="374">
        <f>AF64+AG64</f>
        <v>0</v>
      </c>
      <c r="AF64" s="381"/>
      <c r="AG64" s="381"/>
      <c r="AH64" s="383"/>
      <c r="AI64" s="433">
        <f>AJ64+AK64</f>
        <v>0</v>
      </c>
      <c r="AJ64" s="385"/>
      <c r="AK64" s="386"/>
      <c r="AL64" s="387"/>
      <c r="AM64" s="434">
        <f t="shared" si="3"/>
        <v>0</v>
      </c>
      <c r="AN64" s="389"/>
      <c r="AO64" s="435"/>
      <c r="AP64" s="435"/>
      <c r="AQ64" s="435"/>
      <c r="AR64" s="346" t="e">
        <f t="shared" si="4"/>
        <v>#DIV/0!</v>
      </c>
      <c r="AS64" s="436"/>
      <c r="AT64" s="392">
        <v>3</v>
      </c>
      <c r="AU64" s="48"/>
      <c r="AV64" s="48"/>
      <c r="AW64" s="52"/>
      <c r="AX64" s="393" t="e">
        <f t="shared" si="5"/>
        <v>#DIV/0!</v>
      </c>
      <c r="AY64" s="77">
        <v>363</v>
      </c>
      <c r="AZ64" s="437">
        <f>BA64+BB64</f>
        <v>0</v>
      </c>
      <c r="BA64" s="395"/>
      <c r="BB64" s="396"/>
      <c r="BC64" s="397"/>
      <c r="BD64" s="399">
        <f t="shared" si="113"/>
        <v>19</v>
      </c>
      <c r="BE64" s="399">
        <f t="shared" si="114"/>
        <v>16</v>
      </c>
      <c r="BF64" s="400">
        <v>10</v>
      </c>
      <c r="BG64" s="400">
        <v>6</v>
      </c>
      <c r="BH64" s="401">
        <v>3</v>
      </c>
      <c r="BI64" s="402">
        <f>SUM(BJ64:BK64)</f>
        <v>19</v>
      </c>
      <c r="BJ64" s="403">
        <v>12</v>
      </c>
      <c r="BK64" s="404">
        <v>7</v>
      </c>
      <c r="BL64" s="405">
        <v>4</v>
      </c>
      <c r="BM64" s="529">
        <f t="shared" si="115"/>
        <v>10</v>
      </c>
      <c r="BN64" s="407">
        <f t="shared" si="9"/>
        <v>10</v>
      </c>
      <c r="BO64" s="12">
        <v>10</v>
      </c>
      <c r="BP64" s="12">
        <v>0</v>
      </c>
      <c r="BQ64" s="12">
        <v>0</v>
      </c>
      <c r="BR64" s="408">
        <f t="shared" si="116"/>
        <v>0.52631578947368418</v>
      </c>
      <c r="BS64" s="409">
        <f t="shared" si="117"/>
        <v>0</v>
      </c>
      <c r="BT64" s="410"/>
      <c r="BU64" s="411"/>
      <c r="BV64" s="438"/>
      <c r="BW64" s="412">
        <f t="shared" si="118"/>
        <v>0</v>
      </c>
    </row>
    <row r="65" spans="1:76" ht="16.899999999999999" customHeight="1" x14ac:dyDescent="0.3">
      <c r="A65" s="8" t="s">
        <v>154</v>
      </c>
      <c r="B65" s="9" t="s">
        <v>30</v>
      </c>
      <c r="C65" s="14" t="s">
        <v>53</v>
      </c>
      <c r="D65" s="39" t="s">
        <v>157</v>
      </c>
      <c r="E65" s="15" t="s">
        <v>103</v>
      </c>
      <c r="F65" s="59">
        <v>25</v>
      </c>
      <c r="G65" s="369">
        <f>L65/F65</f>
        <v>0</v>
      </c>
      <c r="H65" s="370">
        <v>25</v>
      </c>
      <c r="I65" s="371">
        <v>17</v>
      </c>
      <c r="J65" s="371">
        <v>8</v>
      </c>
      <c r="K65" s="372">
        <v>5</v>
      </c>
      <c r="L65" s="373">
        <f>N65+O65+P65</f>
        <v>0</v>
      </c>
      <c r="M65" s="373">
        <f>N65+O65</f>
        <v>0</v>
      </c>
      <c r="N65" s="374">
        <f t="shared" si="112"/>
        <v>0</v>
      </c>
      <c r="O65" s="374">
        <f t="shared" si="112"/>
        <v>0</v>
      </c>
      <c r="P65" s="375">
        <f t="shared" si="112"/>
        <v>0</v>
      </c>
      <c r="Q65" s="376">
        <f>R65+U65</f>
        <v>0</v>
      </c>
      <c r="R65" s="374">
        <f>S65+T65</f>
        <v>0</v>
      </c>
      <c r="S65" s="530"/>
      <c r="T65" s="377"/>
      <c r="U65" s="377"/>
      <c r="V65" s="378">
        <f t="shared" si="108"/>
        <v>0</v>
      </c>
      <c r="W65" s="379">
        <v>67.5</v>
      </c>
      <c r="X65" s="380"/>
      <c r="Y65" s="376">
        <f>Z65+AC65</f>
        <v>0</v>
      </c>
      <c r="Z65" s="374">
        <f>AA65+AB65</f>
        <v>0</v>
      </c>
      <c r="AA65" s="381"/>
      <c r="AB65" s="381"/>
      <c r="AC65" s="382"/>
      <c r="AD65" s="376">
        <f>AE65+AH65</f>
        <v>0</v>
      </c>
      <c r="AE65" s="374">
        <f>AF65+AG65</f>
        <v>0</v>
      </c>
      <c r="AF65" s="381"/>
      <c r="AG65" s="381"/>
      <c r="AH65" s="383"/>
      <c r="AI65" s="433">
        <f>AJ65+AK65</f>
        <v>0</v>
      </c>
      <c r="AJ65" s="385"/>
      <c r="AK65" s="386"/>
      <c r="AL65" s="387"/>
      <c r="AM65" s="434">
        <f t="shared" si="3"/>
        <v>0</v>
      </c>
      <c r="AN65" s="389"/>
      <c r="AO65" s="435"/>
      <c r="AP65" s="435"/>
      <c r="AQ65" s="435"/>
      <c r="AR65" s="346" t="e">
        <f t="shared" si="4"/>
        <v>#DIV/0!</v>
      </c>
      <c r="AS65" s="436"/>
      <c r="AT65" s="392">
        <v>2</v>
      </c>
      <c r="AU65" s="50"/>
      <c r="AV65" s="50"/>
      <c r="AW65" s="53"/>
      <c r="AX65" s="393" t="e">
        <f t="shared" si="5"/>
        <v>#DIV/0!</v>
      </c>
      <c r="AY65" s="78">
        <v>245</v>
      </c>
      <c r="AZ65" s="437">
        <f>BA65+BB65</f>
        <v>0</v>
      </c>
      <c r="BA65" s="395"/>
      <c r="BB65" s="396"/>
      <c r="BC65" s="397"/>
      <c r="BD65" s="399">
        <f t="shared" si="113"/>
        <v>20</v>
      </c>
      <c r="BE65" s="399">
        <f t="shared" si="114"/>
        <v>17</v>
      </c>
      <c r="BF65" s="400">
        <v>12</v>
      </c>
      <c r="BG65" s="400">
        <v>5</v>
      </c>
      <c r="BH65" s="401">
        <v>3</v>
      </c>
      <c r="BI65" s="402">
        <f>SUM(BJ65:BK65)</f>
        <v>20</v>
      </c>
      <c r="BJ65" s="403">
        <v>14</v>
      </c>
      <c r="BK65" s="404">
        <v>6</v>
      </c>
      <c r="BL65" s="405">
        <v>4</v>
      </c>
      <c r="BM65" s="529">
        <f t="shared" si="115"/>
        <v>6</v>
      </c>
      <c r="BN65" s="407">
        <f t="shared" si="9"/>
        <v>5</v>
      </c>
      <c r="BO65" s="12">
        <v>5</v>
      </c>
      <c r="BP65" s="12">
        <v>0</v>
      </c>
      <c r="BQ65" s="12">
        <v>1</v>
      </c>
      <c r="BR65" s="408">
        <f t="shared" si="116"/>
        <v>0.3</v>
      </c>
      <c r="BS65" s="409">
        <f t="shared" si="117"/>
        <v>0</v>
      </c>
      <c r="BT65" s="410"/>
      <c r="BU65" s="411"/>
      <c r="BV65" s="438"/>
      <c r="BW65" s="412">
        <f t="shared" si="118"/>
        <v>0</v>
      </c>
    </row>
    <row r="66" spans="1:76" ht="16.899999999999999" customHeight="1" x14ac:dyDescent="0.3">
      <c r="A66" s="8" t="s">
        <v>154</v>
      </c>
      <c r="B66" s="9" t="s">
        <v>30</v>
      </c>
      <c r="C66" s="14" t="s">
        <v>117</v>
      </c>
      <c r="D66" s="39" t="s">
        <v>158</v>
      </c>
      <c r="E66" s="15" t="s">
        <v>103</v>
      </c>
      <c r="F66" s="59">
        <v>25</v>
      </c>
      <c r="G66" s="369">
        <f>L66/F66</f>
        <v>0</v>
      </c>
      <c r="H66" s="370">
        <v>25</v>
      </c>
      <c r="I66" s="371">
        <v>17</v>
      </c>
      <c r="J66" s="371">
        <v>8</v>
      </c>
      <c r="K66" s="372">
        <v>5</v>
      </c>
      <c r="L66" s="373">
        <f>N66+O66+P66</f>
        <v>0</v>
      </c>
      <c r="M66" s="373">
        <f>N66+O66</f>
        <v>0</v>
      </c>
      <c r="N66" s="374">
        <f t="shared" si="112"/>
        <v>0</v>
      </c>
      <c r="O66" s="374">
        <f t="shared" si="112"/>
        <v>0</v>
      </c>
      <c r="P66" s="375">
        <f t="shared" si="112"/>
        <v>0</v>
      </c>
      <c r="Q66" s="376">
        <f>R66+U66</f>
        <v>0</v>
      </c>
      <c r="R66" s="374">
        <f>S66+T66</f>
        <v>0</v>
      </c>
      <c r="S66" s="377"/>
      <c r="T66" s="377"/>
      <c r="U66" s="377"/>
      <c r="V66" s="378">
        <f t="shared" si="108"/>
        <v>0</v>
      </c>
      <c r="W66" s="379">
        <v>78.400000000000006</v>
      </c>
      <c r="X66" s="380"/>
      <c r="Y66" s="376">
        <f>Z66+AC66</f>
        <v>0</v>
      </c>
      <c r="Z66" s="374">
        <f>AA66+AB66</f>
        <v>0</v>
      </c>
      <c r="AA66" s="381"/>
      <c r="AB66" s="381"/>
      <c r="AC66" s="382"/>
      <c r="AD66" s="376">
        <f>AE66+AH66</f>
        <v>0</v>
      </c>
      <c r="AE66" s="374">
        <f>AF66+AG66</f>
        <v>0</v>
      </c>
      <c r="AF66" s="381"/>
      <c r="AG66" s="381"/>
      <c r="AH66" s="383"/>
      <c r="AI66" s="433">
        <f>AJ66+AK66</f>
        <v>0</v>
      </c>
      <c r="AJ66" s="385"/>
      <c r="AK66" s="386"/>
      <c r="AL66" s="387"/>
      <c r="AM66" s="434">
        <f t="shared" si="3"/>
        <v>0</v>
      </c>
      <c r="AN66" s="389"/>
      <c r="AO66" s="435"/>
      <c r="AP66" s="435"/>
      <c r="AQ66" s="435"/>
      <c r="AR66" s="346" t="e">
        <f t="shared" si="4"/>
        <v>#DIV/0!</v>
      </c>
      <c r="AS66" s="436"/>
      <c r="AT66" s="392">
        <v>9</v>
      </c>
      <c r="AU66" s="48"/>
      <c r="AV66" s="48"/>
      <c r="AW66" s="52"/>
      <c r="AX66" s="393" t="e">
        <f t="shared" si="5"/>
        <v>#DIV/0!</v>
      </c>
      <c r="AY66" s="77">
        <v>407</v>
      </c>
      <c r="AZ66" s="437">
        <f>BA66+BB66</f>
        <v>0</v>
      </c>
      <c r="BA66" s="395"/>
      <c r="BB66" s="396"/>
      <c r="BC66" s="397"/>
      <c r="BD66" s="399">
        <f t="shared" si="113"/>
        <v>13</v>
      </c>
      <c r="BE66" s="399">
        <f t="shared" si="114"/>
        <v>10</v>
      </c>
      <c r="BF66" s="400">
        <v>5</v>
      </c>
      <c r="BG66" s="400">
        <v>5</v>
      </c>
      <c r="BH66" s="401">
        <v>3</v>
      </c>
      <c r="BI66" s="402">
        <f>SUM(BJ66:BK66)</f>
        <v>13</v>
      </c>
      <c r="BJ66" s="403">
        <v>7</v>
      </c>
      <c r="BK66" s="404">
        <v>6</v>
      </c>
      <c r="BL66" s="405">
        <v>4</v>
      </c>
      <c r="BM66" s="529">
        <f t="shared" si="115"/>
        <v>15</v>
      </c>
      <c r="BN66" s="407">
        <f t="shared" si="9"/>
        <v>13</v>
      </c>
      <c r="BO66" s="12">
        <v>11</v>
      </c>
      <c r="BP66" s="12">
        <v>2</v>
      </c>
      <c r="BQ66" s="12">
        <v>2</v>
      </c>
      <c r="BR66" s="408">
        <f t="shared" si="116"/>
        <v>1.1538461538461537</v>
      </c>
      <c r="BS66" s="409">
        <f t="shared" si="117"/>
        <v>0</v>
      </c>
      <c r="BT66" s="410"/>
      <c r="BU66" s="411"/>
      <c r="BV66" s="438"/>
      <c r="BW66" s="412">
        <f t="shared" si="118"/>
        <v>0</v>
      </c>
    </row>
    <row r="67" spans="1:76" ht="16.899999999999999" customHeight="1" x14ac:dyDescent="0.3">
      <c r="A67" s="8" t="s">
        <v>154</v>
      </c>
      <c r="B67" s="9" t="s">
        <v>30</v>
      </c>
      <c r="C67" s="14" t="s">
        <v>115</v>
      </c>
      <c r="D67" s="39" t="s">
        <v>116</v>
      </c>
      <c r="E67" s="15" t="s">
        <v>103</v>
      </c>
      <c r="F67" s="59">
        <v>50</v>
      </c>
      <c r="G67" s="369">
        <f>L67/F67</f>
        <v>0</v>
      </c>
      <c r="H67" s="370">
        <v>50</v>
      </c>
      <c r="I67" s="371">
        <v>36</v>
      </c>
      <c r="J67" s="371">
        <v>14</v>
      </c>
      <c r="K67" s="372">
        <v>10</v>
      </c>
      <c r="L67" s="373">
        <f>N67+O67+P67</f>
        <v>0</v>
      </c>
      <c r="M67" s="373">
        <f>N67+O67</f>
        <v>0</v>
      </c>
      <c r="N67" s="374">
        <f t="shared" si="112"/>
        <v>0</v>
      </c>
      <c r="O67" s="374">
        <f t="shared" si="112"/>
        <v>0</v>
      </c>
      <c r="P67" s="375">
        <f t="shared" si="112"/>
        <v>0</v>
      </c>
      <c r="Q67" s="376">
        <f>R67+U67</f>
        <v>0</v>
      </c>
      <c r="R67" s="374">
        <f>S67+T67</f>
        <v>0</v>
      </c>
      <c r="S67" s="377"/>
      <c r="T67" s="377"/>
      <c r="U67" s="377"/>
      <c r="V67" s="378">
        <f t="shared" si="108"/>
        <v>0</v>
      </c>
      <c r="W67" s="379">
        <v>65.8</v>
      </c>
      <c r="X67" s="380"/>
      <c r="Y67" s="376">
        <f>Z67+AC67</f>
        <v>0</v>
      </c>
      <c r="Z67" s="374">
        <f>AA67+AB67</f>
        <v>0</v>
      </c>
      <c r="AA67" s="381"/>
      <c r="AB67" s="381"/>
      <c r="AC67" s="382"/>
      <c r="AD67" s="376">
        <f>AE67+AH67</f>
        <v>0</v>
      </c>
      <c r="AE67" s="374">
        <f>AF67+AG67</f>
        <v>0</v>
      </c>
      <c r="AF67" s="381"/>
      <c r="AG67" s="381"/>
      <c r="AH67" s="383"/>
      <c r="AI67" s="433">
        <f>AJ67+AK67</f>
        <v>0</v>
      </c>
      <c r="AJ67" s="385"/>
      <c r="AK67" s="386"/>
      <c r="AL67" s="387"/>
      <c r="AM67" s="434">
        <f t="shared" si="3"/>
        <v>0</v>
      </c>
      <c r="AN67" s="389"/>
      <c r="AO67" s="435"/>
      <c r="AP67" s="435"/>
      <c r="AQ67" s="435"/>
      <c r="AR67" s="346" t="e">
        <f t="shared" si="4"/>
        <v>#DIV/0!</v>
      </c>
      <c r="AS67" s="436"/>
      <c r="AT67" s="392">
        <v>37</v>
      </c>
      <c r="AU67" s="48"/>
      <c r="AV67" s="48"/>
      <c r="AW67" s="52"/>
      <c r="AX67" s="393" t="e">
        <f t="shared" si="5"/>
        <v>#DIV/0!</v>
      </c>
      <c r="AY67" s="77">
        <v>405</v>
      </c>
      <c r="AZ67" s="437">
        <f>BA67+BB67</f>
        <v>0</v>
      </c>
      <c r="BA67" s="395"/>
      <c r="BB67" s="396"/>
      <c r="BC67" s="397"/>
      <c r="BD67" s="399">
        <f t="shared" si="113"/>
        <v>15</v>
      </c>
      <c r="BE67" s="399">
        <f t="shared" si="114"/>
        <v>11</v>
      </c>
      <c r="BF67" s="400">
        <v>10</v>
      </c>
      <c r="BG67" s="400">
        <v>1</v>
      </c>
      <c r="BH67" s="401">
        <v>4</v>
      </c>
      <c r="BI67" s="402">
        <f>SUM(BJ67:BK67)</f>
        <v>14</v>
      </c>
      <c r="BJ67" s="403">
        <v>12</v>
      </c>
      <c r="BK67" s="404">
        <v>2</v>
      </c>
      <c r="BL67" s="405">
        <v>5</v>
      </c>
      <c r="BM67" s="529">
        <f t="shared" si="115"/>
        <v>28</v>
      </c>
      <c r="BN67" s="407">
        <f t="shared" si="9"/>
        <v>25</v>
      </c>
      <c r="BO67" s="12">
        <v>23</v>
      </c>
      <c r="BP67" s="12">
        <v>2</v>
      </c>
      <c r="BQ67" s="12">
        <v>3</v>
      </c>
      <c r="BR67" s="408">
        <f t="shared" si="116"/>
        <v>2</v>
      </c>
      <c r="BS67" s="409">
        <f t="shared" si="117"/>
        <v>0</v>
      </c>
      <c r="BT67" s="410"/>
      <c r="BU67" s="411"/>
      <c r="BV67" s="438"/>
      <c r="BW67" s="412">
        <f t="shared" si="118"/>
        <v>0</v>
      </c>
    </row>
    <row r="68" spans="1:76" ht="16.899999999999999" customHeight="1" x14ac:dyDescent="0.3">
      <c r="A68" s="4" t="s">
        <v>154</v>
      </c>
      <c r="B68" s="5" t="s">
        <v>31</v>
      </c>
      <c r="C68" s="19"/>
      <c r="D68" s="5" t="s">
        <v>21</v>
      </c>
      <c r="E68" s="20"/>
      <c r="F68" s="58">
        <f t="shared" ref="F68:U68" si="119">SUM(F69:F70)</f>
        <v>50</v>
      </c>
      <c r="G68" s="7">
        <f t="shared" si="119"/>
        <v>0</v>
      </c>
      <c r="H68" s="7">
        <f t="shared" si="119"/>
        <v>50</v>
      </c>
      <c r="I68" s="67">
        <f t="shared" si="119"/>
        <v>34</v>
      </c>
      <c r="J68" s="67">
        <f t="shared" si="119"/>
        <v>16</v>
      </c>
      <c r="K68" s="70">
        <f t="shared" si="119"/>
        <v>10</v>
      </c>
      <c r="L68" s="413">
        <f t="shared" si="119"/>
        <v>0</v>
      </c>
      <c r="M68" s="413">
        <f t="shared" si="119"/>
        <v>0</v>
      </c>
      <c r="N68" s="413">
        <f t="shared" si="119"/>
        <v>0</v>
      </c>
      <c r="O68" s="413">
        <f t="shared" si="119"/>
        <v>0</v>
      </c>
      <c r="P68" s="414">
        <f t="shared" si="119"/>
        <v>0</v>
      </c>
      <c r="Q68" s="415">
        <f t="shared" si="119"/>
        <v>0</v>
      </c>
      <c r="R68" s="416">
        <f t="shared" si="119"/>
        <v>0</v>
      </c>
      <c r="S68" s="416">
        <f t="shared" si="119"/>
        <v>0</v>
      </c>
      <c r="T68" s="416">
        <f t="shared" si="119"/>
        <v>0</v>
      </c>
      <c r="U68" s="416">
        <f t="shared" si="119"/>
        <v>0</v>
      </c>
      <c r="V68" s="334">
        <f t="shared" si="108"/>
        <v>0</v>
      </c>
      <c r="W68" s="335">
        <f t="shared" ref="W68:AI68" si="120">SUM(W69:W70)</f>
        <v>175.2</v>
      </c>
      <c r="X68" s="413">
        <f t="shared" si="120"/>
        <v>0</v>
      </c>
      <c r="Y68" s="415">
        <f t="shared" si="120"/>
        <v>0</v>
      </c>
      <c r="Z68" s="416">
        <f t="shared" si="120"/>
        <v>0</v>
      </c>
      <c r="AA68" s="416">
        <f t="shared" si="120"/>
        <v>0</v>
      </c>
      <c r="AB68" s="416">
        <f t="shared" si="120"/>
        <v>0</v>
      </c>
      <c r="AC68" s="417">
        <f t="shared" si="120"/>
        <v>0</v>
      </c>
      <c r="AD68" s="415">
        <f t="shared" si="120"/>
        <v>0</v>
      </c>
      <c r="AE68" s="416">
        <f t="shared" si="120"/>
        <v>0</v>
      </c>
      <c r="AF68" s="416">
        <f t="shared" si="120"/>
        <v>0</v>
      </c>
      <c r="AG68" s="416">
        <f t="shared" si="120"/>
        <v>0</v>
      </c>
      <c r="AH68" s="418">
        <f t="shared" si="120"/>
        <v>0</v>
      </c>
      <c r="AI68" s="339">
        <f t="shared" si="120"/>
        <v>0</v>
      </c>
      <c r="AJ68" s="340"/>
      <c r="AK68" s="341"/>
      <c r="AL68" s="342"/>
      <c r="AM68" s="420">
        <f t="shared" si="3"/>
        <v>0</v>
      </c>
      <c r="AN68" s="344"/>
      <c r="AO68" s="440"/>
      <c r="AP68" s="440"/>
      <c r="AQ68" s="440"/>
      <c r="AR68" s="346" t="e">
        <f t="shared" si="4"/>
        <v>#DIV/0!</v>
      </c>
      <c r="AS68" s="424">
        <v>1.175</v>
      </c>
      <c r="AT68" s="441">
        <f>SUM(AT69:AT70)</f>
        <v>21</v>
      </c>
      <c r="AU68" s="361"/>
      <c r="AV68" s="361"/>
      <c r="AW68" s="444"/>
      <c r="AX68" s="352" t="e">
        <f t="shared" si="5"/>
        <v>#DIV/0!</v>
      </c>
      <c r="AY68" s="427">
        <v>0.55000000000000004</v>
      </c>
      <c r="AZ68" s="354">
        <f>SUM(AZ69:AZ70)</f>
        <v>0</v>
      </c>
      <c r="BA68" s="340"/>
      <c r="BB68" s="340"/>
      <c r="BC68" s="355"/>
      <c r="BD68" s="356">
        <f t="shared" si="113"/>
        <v>23</v>
      </c>
      <c r="BE68" s="445">
        <f t="shared" si="114"/>
        <v>17</v>
      </c>
      <c r="BF68" s="446">
        <f t="shared" ref="BF68:BL68" si="121">SUM(BF69:BF70)</f>
        <v>9</v>
      </c>
      <c r="BG68" s="446">
        <f t="shared" si="121"/>
        <v>8</v>
      </c>
      <c r="BH68" s="447">
        <f t="shared" si="121"/>
        <v>6</v>
      </c>
      <c r="BI68" s="359">
        <f t="shared" si="121"/>
        <v>23</v>
      </c>
      <c r="BJ68" s="360">
        <f t="shared" si="121"/>
        <v>13</v>
      </c>
      <c r="BK68" s="361">
        <f t="shared" si="121"/>
        <v>10</v>
      </c>
      <c r="BL68" s="362">
        <f t="shared" si="121"/>
        <v>8</v>
      </c>
      <c r="BM68" s="363">
        <f t="shared" si="115"/>
        <v>29</v>
      </c>
      <c r="BN68" s="356">
        <f t="shared" si="9"/>
        <v>29</v>
      </c>
      <c r="BO68" s="446">
        <f>SUM(BO69:BO70)</f>
        <v>20</v>
      </c>
      <c r="BP68" s="446">
        <f>SUM(BP69:BP70)</f>
        <v>9</v>
      </c>
      <c r="BQ68" s="446">
        <f>SUM(BQ69:BQ70)</f>
        <v>0</v>
      </c>
      <c r="BR68" s="432">
        <f t="shared" si="116"/>
        <v>1.2608695652173914</v>
      </c>
      <c r="BS68" s="366">
        <f t="shared" si="117"/>
        <v>0</v>
      </c>
      <c r="BT68" s="367">
        <f>SUM(BT69:BT70)</f>
        <v>0</v>
      </c>
      <c r="BU68" s="367">
        <f>SUM(BU69:BU70)</f>
        <v>0</v>
      </c>
      <c r="BV68" s="367">
        <f>SUM(BV69:BV70)</f>
        <v>0</v>
      </c>
      <c r="BW68" s="368">
        <f t="shared" si="118"/>
        <v>0</v>
      </c>
      <c r="BX68" t="s">
        <v>31</v>
      </c>
    </row>
    <row r="69" spans="1:76" ht="16.899999999999999" customHeight="1" x14ac:dyDescent="0.3">
      <c r="A69" s="8" t="s">
        <v>154</v>
      </c>
      <c r="B69" s="9" t="s">
        <v>31</v>
      </c>
      <c r="C69" s="14" t="s">
        <v>101</v>
      </c>
      <c r="D69" s="25" t="s">
        <v>159</v>
      </c>
      <c r="E69" s="15" t="s">
        <v>103</v>
      </c>
      <c r="F69" s="59">
        <v>25</v>
      </c>
      <c r="G69" s="369">
        <f>L69/F69</f>
        <v>0</v>
      </c>
      <c r="H69" s="370">
        <v>25</v>
      </c>
      <c r="I69" s="371">
        <v>17</v>
      </c>
      <c r="J69" s="371">
        <v>8</v>
      </c>
      <c r="K69" s="372">
        <v>5</v>
      </c>
      <c r="L69" s="373">
        <f>N69+O69+P69</f>
        <v>0</v>
      </c>
      <c r="M69" s="373">
        <f>N69+O69</f>
        <v>0</v>
      </c>
      <c r="N69" s="374">
        <f t="shared" ref="N69:P70" si="122">AA69+AF69</f>
        <v>0</v>
      </c>
      <c r="O69" s="374">
        <f t="shared" si="122"/>
        <v>0</v>
      </c>
      <c r="P69" s="375">
        <f t="shared" si="122"/>
        <v>0</v>
      </c>
      <c r="Q69" s="376">
        <f>R69+U69</f>
        <v>0</v>
      </c>
      <c r="R69" s="374">
        <f>S69+T69</f>
        <v>0</v>
      </c>
      <c r="S69" s="377"/>
      <c r="T69" s="377"/>
      <c r="U69" s="377"/>
      <c r="V69" s="378">
        <f t="shared" si="108"/>
        <v>0</v>
      </c>
      <c r="W69" s="379">
        <v>86.2</v>
      </c>
      <c r="X69" s="380"/>
      <c r="Y69" s="376">
        <f>Z69+AC69</f>
        <v>0</v>
      </c>
      <c r="Z69" s="374">
        <f>AA69+AB69</f>
        <v>0</v>
      </c>
      <c r="AA69" s="381"/>
      <c r="AB69" s="381"/>
      <c r="AC69" s="382"/>
      <c r="AD69" s="376">
        <f>AE69+AH69</f>
        <v>0</v>
      </c>
      <c r="AE69" s="374">
        <f>AF69+AG69</f>
        <v>0</v>
      </c>
      <c r="AF69" s="381"/>
      <c r="AG69" s="381"/>
      <c r="AH69" s="383"/>
      <c r="AI69" s="433">
        <f>AJ69+AK69</f>
        <v>0</v>
      </c>
      <c r="AJ69" s="385"/>
      <c r="AK69" s="386"/>
      <c r="AL69" s="387"/>
      <c r="AM69" s="434">
        <f t="shared" si="3"/>
        <v>0</v>
      </c>
      <c r="AN69" s="389"/>
      <c r="AO69" s="435"/>
      <c r="AP69" s="435"/>
      <c r="AQ69" s="435"/>
      <c r="AR69" s="346" t="e">
        <f t="shared" si="4"/>
        <v>#DIV/0!</v>
      </c>
      <c r="AS69" s="436"/>
      <c r="AT69" s="392">
        <v>12</v>
      </c>
      <c r="AU69" s="50"/>
      <c r="AV69" s="50"/>
      <c r="AW69" s="53"/>
      <c r="AX69" s="393" t="e">
        <f t="shared" si="5"/>
        <v>#DIV/0!</v>
      </c>
      <c r="AY69" s="78">
        <v>143</v>
      </c>
      <c r="AZ69" s="437">
        <f>BA69+BB69</f>
        <v>0</v>
      </c>
      <c r="BA69" s="395"/>
      <c r="BB69" s="396"/>
      <c r="BC69" s="397"/>
      <c r="BD69" s="398">
        <f t="shared" si="113"/>
        <v>10</v>
      </c>
      <c r="BE69" s="531">
        <f t="shared" si="114"/>
        <v>7</v>
      </c>
      <c r="BF69" s="532">
        <v>3</v>
      </c>
      <c r="BG69" s="532">
        <v>4</v>
      </c>
      <c r="BH69" s="533">
        <v>3</v>
      </c>
      <c r="BI69" s="402">
        <f>SUM(BJ69:BK69)</f>
        <v>10</v>
      </c>
      <c r="BJ69" s="403">
        <v>5</v>
      </c>
      <c r="BK69" s="403">
        <v>5</v>
      </c>
      <c r="BL69" s="534">
        <v>4</v>
      </c>
      <c r="BM69" s="406">
        <f t="shared" si="115"/>
        <v>17</v>
      </c>
      <c r="BN69" s="407">
        <f t="shared" si="9"/>
        <v>17</v>
      </c>
      <c r="BO69" s="12">
        <v>14</v>
      </c>
      <c r="BP69" s="12">
        <v>3</v>
      </c>
      <c r="BQ69" s="12">
        <v>0</v>
      </c>
      <c r="BR69" s="408">
        <f t="shared" si="116"/>
        <v>1.7</v>
      </c>
      <c r="BS69" s="409">
        <f t="shared" si="117"/>
        <v>0</v>
      </c>
      <c r="BT69" s="410"/>
      <c r="BU69" s="439"/>
      <c r="BV69" s="458"/>
      <c r="BW69" s="412">
        <f t="shared" si="118"/>
        <v>0</v>
      </c>
    </row>
    <row r="70" spans="1:76" ht="16.899999999999999" customHeight="1" x14ac:dyDescent="0.3">
      <c r="A70" s="8" t="s">
        <v>154</v>
      </c>
      <c r="B70" s="9" t="s">
        <v>31</v>
      </c>
      <c r="C70" s="14" t="s">
        <v>122</v>
      </c>
      <c r="D70" s="25" t="s">
        <v>160</v>
      </c>
      <c r="E70" s="15" t="s">
        <v>103</v>
      </c>
      <c r="F70" s="59">
        <v>25</v>
      </c>
      <c r="G70" s="369">
        <f>L70/F70</f>
        <v>0</v>
      </c>
      <c r="H70" s="370">
        <v>25</v>
      </c>
      <c r="I70" s="371">
        <v>17</v>
      </c>
      <c r="J70" s="371">
        <v>8</v>
      </c>
      <c r="K70" s="372">
        <v>5</v>
      </c>
      <c r="L70" s="373">
        <f>N70+O70+P70</f>
        <v>0</v>
      </c>
      <c r="M70" s="373">
        <f>N70+O70</f>
        <v>0</v>
      </c>
      <c r="N70" s="374">
        <f t="shared" si="122"/>
        <v>0</v>
      </c>
      <c r="O70" s="374">
        <f t="shared" si="122"/>
        <v>0</v>
      </c>
      <c r="P70" s="375">
        <f t="shared" si="122"/>
        <v>0</v>
      </c>
      <c r="Q70" s="376">
        <f>R70+U70</f>
        <v>0</v>
      </c>
      <c r="R70" s="374">
        <f>S70+T70</f>
        <v>0</v>
      </c>
      <c r="S70" s="377"/>
      <c r="T70" s="377"/>
      <c r="U70" s="377"/>
      <c r="V70" s="378">
        <f t="shared" si="108"/>
        <v>0</v>
      </c>
      <c r="W70" s="379">
        <v>89</v>
      </c>
      <c r="X70" s="380"/>
      <c r="Y70" s="376">
        <f>Z70+AC70</f>
        <v>0</v>
      </c>
      <c r="Z70" s="374">
        <f>AA70+AB70</f>
        <v>0</v>
      </c>
      <c r="AA70" s="381"/>
      <c r="AB70" s="381"/>
      <c r="AC70" s="382"/>
      <c r="AD70" s="376">
        <f>AE70+AH70</f>
        <v>0</v>
      </c>
      <c r="AE70" s="374">
        <f>AF70+AG70</f>
        <v>0</v>
      </c>
      <c r="AF70" s="381"/>
      <c r="AG70" s="381"/>
      <c r="AH70" s="383"/>
      <c r="AI70" s="433">
        <f>AJ70+AK70</f>
        <v>0</v>
      </c>
      <c r="AJ70" s="385"/>
      <c r="AK70" s="386"/>
      <c r="AL70" s="387"/>
      <c r="AM70" s="434">
        <f t="shared" si="3"/>
        <v>0</v>
      </c>
      <c r="AN70" s="389"/>
      <c r="AO70" s="435"/>
      <c r="AP70" s="435"/>
      <c r="AQ70" s="435"/>
      <c r="AR70" s="346" t="e">
        <f t="shared" si="4"/>
        <v>#DIV/0!</v>
      </c>
      <c r="AS70" s="436"/>
      <c r="AT70" s="392">
        <v>9</v>
      </c>
      <c r="AU70" s="48"/>
      <c r="AV70" s="48"/>
      <c r="AW70" s="52"/>
      <c r="AX70" s="393" t="e">
        <f t="shared" si="5"/>
        <v>#DIV/0!</v>
      </c>
      <c r="AY70" s="77">
        <v>344</v>
      </c>
      <c r="AZ70" s="437">
        <f>BA70+BB70</f>
        <v>0</v>
      </c>
      <c r="BA70" s="395"/>
      <c r="BB70" s="396"/>
      <c r="BC70" s="397"/>
      <c r="BD70" s="398">
        <f t="shared" si="113"/>
        <v>13</v>
      </c>
      <c r="BE70" s="531">
        <f t="shared" si="114"/>
        <v>10</v>
      </c>
      <c r="BF70" s="532">
        <v>6</v>
      </c>
      <c r="BG70" s="532">
        <v>4</v>
      </c>
      <c r="BH70" s="533">
        <v>3</v>
      </c>
      <c r="BI70" s="402">
        <f>SUM(BJ70:BK70)</f>
        <v>13</v>
      </c>
      <c r="BJ70" s="500">
        <v>8</v>
      </c>
      <c r="BK70" s="501">
        <v>5</v>
      </c>
      <c r="BL70" s="502">
        <v>4</v>
      </c>
      <c r="BM70" s="406">
        <f t="shared" si="115"/>
        <v>12</v>
      </c>
      <c r="BN70" s="407">
        <f t="shared" si="9"/>
        <v>12</v>
      </c>
      <c r="BO70" s="12">
        <v>6</v>
      </c>
      <c r="BP70" s="12">
        <v>6</v>
      </c>
      <c r="BQ70" s="12">
        <v>0</v>
      </c>
      <c r="BR70" s="408">
        <f t="shared" si="116"/>
        <v>0.92307692307692313</v>
      </c>
      <c r="BS70" s="409">
        <f t="shared" si="117"/>
        <v>0</v>
      </c>
      <c r="BT70" s="410"/>
      <c r="BU70" s="411"/>
      <c r="BV70" s="438"/>
      <c r="BW70" s="412">
        <f t="shared" si="118"/>
        <v>0</v>
      </c>
    </row>
    <row r="71" spans="1:76" ht="16.899999999999999" customHeight="1" x14ac:dyDescent="0.3">
      <c r="A71" s="4" t="s">
        <v>154</v>
      </c>
      <c r="B71" s="5" t="s">
        <v>32</v>
      </c>
      <c r="C71" s="19"/>
      <c r="D71" s="5" t="s">
        <v>21</v>
      </c>
      <c r="E71" s="20"/>
      <c r="F71" s="58">
        <f t="shared" ref="F71:U71" si="123">SUM(F72:F73)</f>
        <v>50</v>
      </c>
      <c r="G71" s="7">
        <f t="shared" si="123"/>
        <v>0</v>
      </c>
      <c r="H71" s="7">
        <f t="shared" si="123"/>
        <v>50</v>
      </c>
      <c r="I71" s="67">
        <f t="shared" si="123"/>
        <v>34</v>
      </c>
      <c r="J71" s="67">
        <f t="shared" si="123"/>
        <v>16</v>
      </c>
      <c r="K71" s="70">
        <f t="shared" si="123"/>
        <v>10</v>
      </c>
      <c r="L71" s="413">
        <f t="shared" si="123"/>
        <v>0</v>
      </c>
      <c r="M71" s="413">
        <f t="shared" si="123"/>
        <v>0</v>
      </c>
      <c r="N71" s="413">
        <f t="shared" si="123"/>
        <v>0</v>
      </c>
      <c r="O71" s="413">
        <f t="shared" si="123"/>
        <v>0</v>
      </c>
      <c r="P71" s="414">
        <f t="shared" si="123"/>
        <v>0</v>
      </c>
      <c r="Q71" s="415">
        <f t="shared" si="123"/>
        <v>0</v>
      </c>
      <c r="R71" s="416">
        <f t="shared" si="123"/>
        <v>0</v>
      </c>
      <c r="S71" s="416">
        <f t="shared" si="123"/>
        <v>0</v>
      </c>
      <c r="T71" s="416">
        <f t="shared" si="123"/>
        <v>0</v>
      </c>
      <c r="U71" s="416">
        <f t="shared" si="123"/>
        <v>0</v>
      </c>
      <c r="V71" s="334">
        <f t="shared" si="108"/>
        <v>0</v>
      </c>
      <c r="W71" s="335">
        <f t="shared" ref="W71:AI71" si="124">SUM(W72:W73)</f>
        <v>124.1</v>
      </c>
      <c r="X71" s="413">
        <f t="shared" si="124"/>
        <v>0</v>
      </c>
      <c r="Y71" s="415">
        <f t="shared" si="124"/>
        <v>0</v>
      </c>
      <c r="Z71" s="416">
        <f t="shared" si="124"/>
        <v>0</v>
      </c>
      <c r="AA71" s="416">
        <f t="shared" si="124"/>
        <v>0</v>
      </c>
      <c r="AB71" s="416">
        <f t="shared" si="124"/>
        <v>0</v>
      </c>
      <c r="AC71" s="417">
        <f t="shared" si="124"/>
        <v>0</v>
      </c>
      <c r="AD71" s="415">
        <f t="shared" si="124"/>
        <v>0</v>
      </c>
      <c r="AE71" s="416">
        <f t="shared" si="124"/>
        <v>0</v>
      </c>
      <c r="AF71" s="416">
        <f t="shared" si="124"/>
        <v>0</v>
      </c>
      <c r="AG71" s="416">
        <f t="shared" si="124"/>
        <v>0</v>
      </c>
      <c r="AH71" s="418">
        <f t="shared" si="124"/>
        <v>0</v>
      </c>
      <c r="AI71" s="339">
        <f t="shared" si="124"/>
        <v>0</v>
      </c>
      <c r="AJ71" s="340"/>
      <c r="AK71" s="341"/>
      <c r="AL71" s="342"/>
      <c r="AM71" s="420">
        <f t="shared" ref="AM71:AM134" si="125">AN71+AQ71</f>
        <v>0</v>
      </c>
      <c r="AN71" s="344"/>
      <c r="AO71" s="446"/>
      <c r="AP71" s="440"/>
      <c r="AQ71" s="440"/>
      <c r="AR71" s="346" t="e">
        <f t="shared" ref="AR71:AR134" si="126">AM71/AI71</f>
        <v>#DIV/0!</v>
      </c>
      <c r="AS71" s="424">
        <v>1.488</v>
      </c>
      <c r="AT71" s="441">
        <f>SUM(AT72:AT73)</f>
        <v>39</v>
      </c>
      <c r="AU71" s="361"/>
      <c r="AV71" s="361"/>
      <c r="AW71" s="444"/>
      <c r="AX71" s="352" t="e">
        <f t="shared" ref="AX71:AX134" si="127">AT71/AI71</f>
        <v>#DIV/0!</v>
      </c>
      <c r="AY71" s="449">
        <v>1.0229999999999999</v>
      </c>
      <c r="AZ71" s="354">
        <f>SUM(AZ72:AZ73)</f>
        <v>0</v>
      </c>
      <c r="BA71" s="340"/>
      <c r="BB71" s="340"/>
      <c r="BC71" s="355"/>
      <c r="BD71" s="356">
        <f t="shared" si="113"/>
        <v>3</v>
      </c>
      <c r="BE71" s="356">
        <f t="shared" si="114"/>
        <v>1</v>
      </c>
      <c r="BF71" s="357">
        <f t="shared" ref="BF71:BL71" si="128">SUM(BF72:BF73)</f>
        <v>0</v>
      </c>
      <c r="BG71" s="357">
        <f t="shared" si="128"/>
        <v>1</v>
      </c>
      <c r="BH71" s="358">
        <f t="shared" si="128"/>
        <v>2</v>
      </c>
      <c r="BI71" s="359">
        <f t="shared" si="128"/>
        <v>7</v>
      </c>
      <c r="BJ71" s="360">
        <f t="shared" si="128"/>
        <v>4</v>
      </c>
      <c r="BK71" s="361">
        <f t="shared" si="128"/>
        <v>3</v>
      </c>
      <c r="BL71" s="362">
        <f t="shared" si="128"/>
        <v>6</v>
      </c>
      <c r="BM71" s="363">
        <f t="shared" si="115"/>
        <v>29</v>
      </c>
      <c r="BN71" s="356">
        <f t="shared" ref="BN71:BN134" si="129">BO71+BP71</f>
        <v>19</v>
      </c>
      <c r="BO71" s="357">
        <f>SUM(BO72:BO73)</f>
        <v>13</v>
      </c>
      <c r="BP71" s="357">
        <f>SUM(BP72:BP73)</f>
        <v>6</v>
      </c>
      <c r="BQ71" s="357">
        <f>SUM(BQ72:BQ73)</f>
        <v>10</v>
      </c>
      <c r="BR71" s="432">
        <f t="shared" si="116"/>
        <v>4.1428571428571432</v>
      </c>
      <c r="BS71" s="366">
        <f t="shared" si="117"/>
        <v>0</v>
      </c>
      <c r="BT71" s="367">
        <f>SUM(BT72:BT73)</f>
        <v>0</v>
      </c>
      <c r="BU71" s="367">
        <f>SUM(BU72:BU73)</f>
        <v>0</v>
      </c>
      <c r="BV71" s="367">
        <f>SUM(BV72:BV73)</f>
        <v>0</v>
      </c>
      <c r="BW71" s="368">
        <f t="shared" si="118"/>
        <v>0</v>
      </c>
      <c r="BX71" t="s">
        <v>32</v>
      </c>
    </row>
    <row r="72" spans="1:76" ht="16.899999999999999" customHeight="1" x14ac:dyDescent="0.3">
      <c r="A72" s="8" t="s">
        <v>154</v>
      </c>
      <c r="B72" s="9" t="s">
        <v>32</v>
      </c>
      <c r="C72" s="14" t="s">
        <v>117</v>
      </c>
      <c r="D72" s="39" t="s">
        <v>161</v>
      </c>
      <c r="E72" s="15" t="s">
        <v>103</v>
      </c>
      <c r="F72" s="59">
        <v>25</v>
      </c>
      <c r="G72" s="369">
        <f>L72/F72</f>
        <v>0</v>
      </c>
      <c r="H72" s="370">
        <v>25</v>
      </c>
      <c r="I72" s="371">
        <v>17</v>
      </c>
      <c r="J72" s="371">
        <v>8</v>
      </c>
      <c r="K72" s="372">
        <v>5</v>
      </c>
      <c r="L72" s="373">
        <f>N72+O72+P72</f>
        <v>0</v>
      </c>
      <c r="M72" s="373">
        <f>N72+O72</f>
        <v>0</v>
      </c>
      <c r="N72" s="374">
        <f t="shared" ref="N72:P73" si="130">AA72+AF72</f>
        <v>0</v>
      </c>
      <c r="O72" s="374">
        <f t="shared" si="130"/>
        <v>0</v>
      </c>
      <c r="P72" s="375">
        <f t="shared" si="130"/>
        <v>0</v>
      </c>
      <c r="Q72" s="376">
        <f>R72+U72</f>
        <v>0</v>
      </c>
      <c r="R72" s="374">
        <f>S72+T72</f>
        <v>0</v>
      </c>
      <c r="S72" s="377"/>
      <c r="T72" s="377"/>
      <c r="U72" s="377"/>
      <c r="V72" s="378">
        <f t="shared" si="108"/>
        <v>0</v>
      </c>
      <c r="W72" s="379">
        <v>59.8</v>
      </c>
      <c r="X72" s="380"/>
      <c r="Y72" s="376">
        <f>Z72+AC72</f>
        <v>0</v>
      </c>
      <c r="Z72" s="374">
        <f>AA72+AB72</f>
        <v>0</v>
      </c>
      <c r="AA72" s="381"/>
      <c r="AB72" s="381"/>
      <c r="AC72" s="382"/>
      <c r="AD72" s="376">
        <f>AE72+AH72</f>
        <v>0</v>
      </c>
      <c r="AE72" s="374">
        <f>AF72+AG72</f>
        <v>0</v>
      </c>
      <c r="AF72" s="381"/>
      <c r="AG72" s="381"/>
      <c r="AH72" s="383"/>
      <c r="AI72" s="433">
        <f>AJ72+AK72</f>
        <v>0</v>
      </c>
      <c r="AJ72" s="385"/>
      <c r="AK72" s="386"/>
      <c r="AL72" s="387"/>
      <c r="AM72" s="434">
        <f t="shared" si="125"/>
        <v>0</v>
      </c>
      <c r="AN72" s="389"/>
      <c r="AO72" s="435"/>
      <c r="AP72" s="435"/>
      <c r="AQ72" s="435"/>
      <c r="AR72" s="346" t="e">
        <f t="shared" si="126"/>
        <v>#DIV/0!</v>
      </c>
      <c r="AS72" s="436"/>
      <c r="AT72" s="392">
        <v>20</v>
      </c>
      <c r="AU72" s="50"/>
      <c r="AV72" s="50"/>
      <c r="AW72" s="53"/>
      <c r="AX72" s="393" t="e">
        <f t="shared" si="127"/>
        <v>#DIV/0!</v>
      </c>
      <c r="AY72" s="78">
        <v>9</v>
      </c>
      <c r="AZ72" s="437">
        <f>BA72+BB72</f>
        <v>0</v>
      </c>
      <c r="BA72" s="395"/>
      <c r="BB72" s="396"/>
      <c r="BC72" s="397"/>
      <c r="BD72" s="398">
        <f t="shared" si="113"/>
        <v>1</v>
      </c>
      <c r="BE72" s="531">
        <f t="shared" si="114"/>
        <v>0</v>
      </c>
      <c r="BF72" s="532">
        <v>0</v>
      </c>
      <c r="BG72" s="532">
        <v>0</v>
      </c>
      <c r="BH72" s="533">
        <v>1</v>
      </c>
      <c r="BI72" s="402">
        <f>SUM(BJ72:BK72)</f>
        <v>3</v>
      </c>
      <c r="BJ72" s="403">
        <v>2</v>
      </c>
      <c r="BK72" s="403">
        <v>1</v>
      </c>
      <c r="BL72" s="534">
        <v>3</v>
      </c>
      <c r="BM72" s="406">
        <f t="shared" si="115"/>
        <v>19</v>
      </c>
      <c r="BN72" s="407">
        <f t="shared" si="129"/>
        <v>13</v>
      </c>
      <c r="BO72" s="12">
        <v>9</v>
      </c>
      <c r="BP72" s="12">
        <v>4</v>
      </c>
      <c r="BQ72" s="12">
        <v>6</v>
      </c>
      <c r="BR72" s="408">
        <f t="shared" si="116"/>
        <v>6.333333333333333</v>
      </c>
      <c r="BS72" s="409">
        <f t="shared" si="117"/>
        <v>0</v>
      </c>
      <c r="BT72" s="410"/>
      <c r="BU72" s="439"/>
      <c r="BV72" s="458"/>
      <c r="BW72" s="412">
        <f t="shared" si="118"/>
        <v>0</v>
      </c>
    </row>
    <row r="73" spans="1:76" ht="16.899999999999999" customHeight="1" x14ac:dyDescent="0.3">
      <c r="A73" s="8" t="s">
        <v>154</v>
      </c>
      <c r="B73" s="9" t="s">
        <v>32</v>
      </c>
      <c r="C73" s="14" t="s">
        <v>117</v>
      </c>
      <c r="D73" s="39" t="s">
        <v>162</v>
      </c>
      <c r="E73" s="15" t="s">
        <v>103</v>
      </c>
      <c r="F73" s="59">
        <v>25</v>
      </c>
      <c r="G73" s="369">
        <f>L73/F73</f>
        <v>0</v>
      </c>
      <c r="H73" s="370">
        <v>25</v>
      </c>
      <c r="I73" s="371">
        <v>17</v>
      </c>
      <c r="J73" s="371">
        <v>8</v>
      </c>
      <c r="K73" s="372">
        <v>5</v>
      </c>
      <c r="L73" s="373">
        <f>N73+O73+P73</f>
        <v>0</v>
      </c>
      <c r="M73" s="373">
        <f>N73+O73</f>
        <v>0</v>
      </c>
      <c r="N73" s="374">
        <f t="shared" si="130"/>
        <v>0</v>
      </c>
      <c r="O73" s="374">
        <f t="shared" si="130"/>
        <v>0</v>
      </c>
      <c r="P73" s="375">
        <f t="shared" si="130"/>
        <v>0</v>
      </c>
      <c r="Q73" s="376">
        <f>R73+U73</f>
        <v>0</v>
      </c>
      <c r="R73" s="374">
        <f>S73+T73</f>
        <v>0</v>
      </c>
      <c r="S73" s="377"/>
      <c r="T73" s="377"/>
      <c r="U73" s="377"/>
      <c r="V73" s="378">
        <f t="shared" si="108"/>
        <v>0</v>
      </c>
      <c r="W73" s="379">
        <v>64.3</v>
      </c>
      <c r="X73" s="380"/>
      <c r="Y73" s="376">
        <f>Z73+AC73</f>
        <v>0</v>
      </c>
      <c r="Z73" s="374">
        <f>AA73+AB73</f>
        <v>0</v>
      </c>
      <c r="AA73" s="381"/>
      <c r="AB73" s="381"/>
      <c r="AC73" s="382"/>
      <c r="AD73" s="376">
        <f>AE73+AH73</f>
        <v>0</v>
      </c>
      <c r="AE73" s="374">
        <f>AF73+AG73</f>
        <v>0</v>
      </c>
      <c r="AF73" s="381"/>
      <c r="AG73" s="381"/>
      <c r="AH73" s="383"/>
      <c r="AI73" s="433">
        <f>AJ73+AK73</f>
        <v>0</v>
      </c>
      <c r="AJ73" s="385"/>
      <c r="AK73" s="386"/>
      <c r="AL73" s="387"/>
      <c r="AM73" s="434">
        <f t="shared" si="125"/>
        <v>0</v>
      </c>
      <c r="AN73" s="389"/>
      <c r="AO73" s="435"/>
      <c r="AP73" s="435"/>
      <c r="AQ73" s="435"/>
      <c r="AR73" s="346" t="e">
        <f t="shared" si="126"/>
        <v>#DIV/0!</v>
      </c>
      <c r="AS73" s="436"/>
      <c r="AT73" s="392">
        <v>19</v>
      </c>
      <c r="AU73" s="48"/>
      <c r="AV73" s="48"/>
      <c r="AW73" s="52"/>
      <c r="AX73" s="393" t="e">
        <f t="shared" si="127"/>
        <v>#DIV/0!</v>
      </c>
      <c r="AY73" s="79">
        <v>5</v>
      </c>
      <c r="AZ73" s="437">
        <f>BA73+BB73</f>
        <v>0</v>
      </c>
      <c r="BA73" s="395"/>
      <c r="BB73" s="396"/>
      <c r="BC73" s="397"/>
      <c r="BD73" s="398">
        <f t="shared" si="113"/>
        <v>2</v>
      </c>
      <c r="BE73" s="531">
        <f t="shared" si="114"/>
        <v>1</v>
      </c>
      <c r="BF73" s="532">
        <v>0</v>
      </c>
      <c r="BG73" s="532">
        <v>1</v>
      </c>
      <c r="BH73" s="533">
        <v>1</v>
      </c>
      <c r="BI73" s="402">
        <f>SUM(BJ73:BK73)</f>
        <v>4</v>
      </c>
      <c r="BJ73" s="500">
        <v>2</v>
      </c>
      <c r="BK73" s="501">
        <v>2</v>
      </c>
      <c r="BL73" s="502">
        <v>3</v>
      </c>
      <c r="BM73" s="406">
        <f t="shared" si="115"/>
        <v>10</v>
      </c>
      <c r="BN73" s="407">
        <f t="shared" si="129"/>
        <v>6</v>
      </c>
      <c r="BO73" s="12">
        <v>4</v>
      </c>
      <c r="BP73" s="12">
        <v>2</v>
      </c>
      <c r="BQ73" s="12">
        <v>4</v>
      </c>
      <c r="BR73" s="408">
        <f t="shared" si="116"/>
        <v>2.5</v>
      </c>
      <c r="BS73" s="409">
        <f t="shared" si="117"/>
        <v>0</v>
      </c>
      <c r="BT73" s="410"/>
      <c r="BU73" s="411"/>
      <c r="BV73" s="438"/>
      <c r="BW73" s="412">
        <f t="shared" si="118"/>
        <v>0</v>
      </c>
    </row>
    <row r="74" spans="1:76" ht="20.45" customHeight="1" x14ac:dyDescent="0.3">
      <c r="A74" s="742" t="s">
        <v>163</v>
      </c>
      <c r="B74" s="743"/>
      <c r="C74" s="743"/>
      <c r="D74" s="743"/>
      <c r="E74" s="744"/>
      <c r="F74" s="57">
        <f>F75+F86+F94+F103</f>
        <v>885</v>
      </c>
      <c r="G74" s="288">
        <f>L74/F74</f>
        <v>8.5875706214689262E-2</v>
      </c>
      <c r="H74" s="503">
        <f t="shared" ref="H74:U74" si="131">H75+H86+H94+H103</f>
        <v>885</v>
      </c>
      <c r="I74" s="504">
        <f t="shared" si="131"/>
        <v>590</v>
      </c>
      <c r="J74" s="504">
        <f t="shared" si="131"/>
        <v>295</v>
      </c>
      <c r="K74" s="505">
        <f t="shared" si="131"/>
        <v>177</v>
      </c>
      <c r="L74" s="506">
        <f t="shared" si="131"/>
        <v>76</v>
      </c>
      <c r="M74" s="506">
        <f t="shared" si="131"/>
        <v>0</v>
      </c>
      <c r="N74" s="506">
        <f t="shared" si="131"/>
        <v>0</v>
      </c>
      <c r="O74" s="506">
        <f t="shared" si="131"/>
        <v>0</v>
      </c>
      <c r="P74" s="535">
        <f t="shared" si="131"/>
        <v>0</v>
      </c>
      <c r="Q74" s="468">
        <f t="shared" si="131"/>
        <v>0</v>
      </c>
      <c r="R74" s="469">
        <f t="shared" si="131"/>
        <v>0</v>
      </c>
      <c r="S74" s="469">
        <f t="shared" si="131"/>
        <v>0</v>
      </c>
      <c r="T74" s="469">
        <f t="shared" si="131"/>
        <v>0</v>
      </c>
      <c r="U74" s="469">
        <f t="shared" si="131"/>
        <v>0</v>
      </c>
      <c r="V74" s="466">
        <f t="shared" si="108"/>
        <v>0</v>
      </c>
      <c r="W74" s="464">
        <f t="shared" ref="W74:AI74" si="132">W75+W86+W94+W103</f>
        <v>2195.1999999999998</v>
      </c>
      <c r="X74" s="506">
        <f t="shared" si="132"/>
        <v>0</v>
      </c>
      <c r="Y74" s="468">
        <f t="shared" si="132"/>
        <v>0</v>
      </c>
      <c r="Z74" s="469">
        <f t="shared" si="132"/>
        <v>0</v>
      </c>
      <c r="AA74" s="469">
        <f t="shared" si="132"/>
        <v>0</v>
      </c>
      <c r="AB74" s="469">
        <f t="shared" si="132"/>
        <v>0</v>
      </c>
      <c r="AC74" s="467">
        <f t="shared" si="132"/>
        <v>0</v>
      </c>
      <c r="AD74" s="468">
        <f t="shared" si="132"/>
        <v>0</v>
      </c>
      <c r="AE74" s="469">
        <f t="shared" si="132"/>
        <v>0</v>
      </c>
      <c r="AF74" s="469">
        <f t="shared" si="132"/>
        <v>0</v>
      </c>
      <c r="AG74" s="469">
        <f t="shared" si="132"/>
        <v>0</v>
      </c>
      <c r="AH74" s="470">
        <f t="shared" si="132"/>
        <v>0</v>
      </c>
      <c r="AI74" s="536">
        <f t="shared" si="132"/>
        <v>0</v>
      </c>
      <c r="AJ74" s="537"/>
      <c r="AK74" s="537"/>
      <c r="AL74" s="536"/>
      <c r="AM74" s="474">
        <f t="shared" si="125"/>
        <v>0</v>
      </c>
      <c r="AN74" s="475"/>
      <c r="AO74" s="538"/>
      <c r="AP74" s="538"/>
      <c r="AQ74" s="538"/>
      <c r="AR74" s="308" t="e">
        <f t="shared" si="126"/>
        <v>#DIV/0!</v>
      </c>
      <c r="AS74" s="309">
        <v>1.37</v>
      </c>
      <c r="AT74" s="539">
        <f>AT75+AT86+AT94+AT103</f>
        <v>601</v>
      </c>
      <c r="AU74" s="540"/>
      <c r="AV74" s="541"/>
      <c r="AW74" s="542"/>
      <c r="AX74" s="481" t="e">
        <f t="shared" si="127"/>
        <v>#DIV/0!</v>
      </c>
      <c r="AY74" s="482">
        <v>0.84099999999999997</v>
      </c>
      <c r="AZ74" s="543">
        <f>AZ75+AZ86+AZ94+AZ103</f>
        <v>0</v>
      </c>
      <c r="BA74" s="541"/>
      <c r="BB74" s="541"/>
      <c r="BC74" s="544"/>
      <c r="BD74" s="540">
        <f t="shared" ref="BD74:BM74" si="133">BD75+BD86+BD94+BD103</f>
        <v>205</v>
      </c>
      <c r="BE74" s="541">
        <f t="shared" si="133"/>
        <v>163</v>
      </c>
      <c r="BF74" s="541">
        <f t="shared" si="133"/>
        <v>96</v>
      </c>
      <c r="BG74" s="541">
        <f t="shared" si="133"/>
        <v>67</v>
      </c>
      <c r="BH74" s="542">
        <f t="shared" si="133"/>
        <v>42</v>
      </c>
      <c r="BI74" s="545">
        <f t="shared" si="133"/>
        <v>248</v>
      </c>
      <c r="BJ74" s="541">
        <f t="shared" si="133"/>
        <v>159</v>
      </c>
      <c r="BK74" s="541">
        <f t="shared" si="133"/>
        <v>89</v>
      </c>
      <c r="BL74" s="546">
        <f t="shared" si="133"/>
        <v>94</v>
      </c>
      <c r="BM74" s="547">
        <f t="shared" si="133"/>
        <v>480</v>
      </c>
      <c r="BN74" s="487">
        <f t="shared" si="129"/>
        <v>428</v>
      </c>
      <c r="BO74" s="541">
        <f>BO75+BO86+BO94+BO103</f>
        <v>346</v>
      </c>
      <c r="BP74" s="541">
        <f>BP75+BP86+BP94+BP103</f>
        <v>82</v>
      </c>
      <c r="BQ74" s="541">
        <f>BQ75+BQ86+BQ94+BQ103</f>
        <v>52</v>
      </c>
      <c r="BR74" s="494">
        <f t="shared" si="116"/>
        <v>1.935483870967742</v>
      </c>
      <c r="BS74" s="540">
        <f>BS75+BS86+BS94+BS103</f>
        <v>0</v>
      </c>
      <c r="BT74" s="541">
        <f>BT75+BT86+BT94+BT103</f>
        <v>0</v>
      </c>
      <c r="BU74" s="541">
        <f>BU75+BU86+BU94+BU103</f>
        <v>0</v>
      </c>
      <c r="BV74" s="541">
        <f>BV75+BV86+BV94+BV103</f>
        <v>0</v>
      </c>
      <c r="BW74" s="548">
        <f>BW75+BW86+BW94+BW103</f>
        <v>0</v>
      </c>
    </row>
    <row r="75" spans="1:76" ht="16.899999999999999" customHeight="1" x14ac:dyDescent="0.3">
      <c r="A75" s="4" t="s">
        <v>33</v>
      </c>
      <c r="B75" s="5" t="s">
        <v>34</v>
      </c>
      <c r="C75" s="5"/>
      <c r="D75" s="13" t="s">
        <v>21</v>
      </c>
      <c r="E75" s="6"/>
      <c r="F75" s="58">
        <f t="shared" ref="F75:U75" si="134">SUM(F76:F85)</f>
        <v>310</v>
      </c>
      <c r="G75" s="7">
        <f t="shared" si="134"/>
        <v>0</v>
      </c>
      <c r="H75" s="7">
        <f t="shared" si="134"/>
        <v>310</v>
      </c>
      <c r="I75" s="67">
        <f t="shared" si="134"/>
        <v>212</v>
      </c>
      <c r="J75" s="67">
        <f t="shared" si="134"/>
        <v>98</v>
      </c>
      <c r="K75" s="70">
        <f t="shared" si="134"/>
        <v>62</v>
      </c>
      <c r="L75" s="413">
        <f t="shared" si="134"/>
        <v>0</v>
      </c>
      <c r="M75" s="413">
        <f t="shared" si="134"/>
        <v>0</v>
      </c>
      <c r="N75" s="413">
        <f t="shared" si="134"/>
        <v>0</v>
      </c>
      <c r="O75" s="413">
        <f t="shared" si="134"/>
        <v>0</v>
      </c>
      <c r="P75" s="414">
        <f t="shared" si="134"/>
        <v>0</v>
      </c>
      <c r="Q75" s="415">
        <f t="shared" si="134"/>
        <v>0</v>
      </c>
      <c r="R75" s="416">
        <f t="shared" si="134"/>
        <v>0</v>
      </c>
      <c r="S75" s="416">
        <f t="shared" si="134"/>
        <v>0</v>
      </c>
      <c r="T75" s="416">
        <f t="shared" si="134"/>
        <v>0</v>
      </c>
      <c r="U75" s="416">
        <f t="shared" si="134"/>
        <v>0</v>
      </c>
      <c r="V75" s="334">
        <f t="shared" si="108"/>
        <v>0</v>
      </c>
      <c r="W75" s="335">
        <f t="shared" ref="W75:AI75" si="135">SUM(W76:W85)</f>
        <v>768.69999999999993</v>
      </c>
      <c r="X75" s="413">
        <f t="shared" si="135"/>
        <v>0</v>
      </c>
      <c r="Y75" s="415">
        <f t="shared" si="135"/>
        <v>0</v>
      </c>
      <c r="Z75" s="416">
        <f t="shared" si="135"/>
        <v>0</v>
      </c>
      <c r="AA75" s="416">
        <f t="shared" si="135"/>
        <v>0</v>
      </c>
      <c r="AB75" s="416">
        <f t="shared" si="135"/>
        <v>0</v>
      </c>
      <c r="AC75" s="417">
        <f t="shared" si="135"/>
        <v>0</v>
      </c>
      <c r="AD75" s="415">
        <f t="shared" si="135"/>
        <v>0</v>
      </c>
      <c r="AE75" s="416">
        <f t="shared" si="135"/>
        <v>0</v>
      </c>
      <c r="AF75" s="416">
        <f t="shared" si="135"/>
        <v>0</v>
      </c>
      <c r="AG75" s="416">
        <f t="shared" si="135"/>
        <v>0</v>
      </c>
      <c r="AH75" s="418">
        <f t="shared" si="135"/>
        <v>0</v>
      </c>
      <c r="AI75" s="339">
        <f t="shared" si="135"/>
        <v>0</v>
      </c>
      <c r="AJ75" s="340"/>
      <c r="AK75" s="341"/>
      <c r="AL75" s="342"/>
      <c r="AM75" s="420">
        <f t="shared" si="125"/>
        <v>0</v>
      </c>
      <c r="AN75" s="344"/>
      <c r="AO75" s="440"/>
      <c r="AP75" s="440"/>
      <c r="AQ75" s="440"/>
      <c r="AR75" s="346" t="e">
        <f t="shared" si="126"/>
        <v>#DIV/0!</v>
      </c>
      <c r="AS75" s="424">
        <v>1.26</v>
      </c>
      <c r="AT75" s="441">
        <f>SUM(AT76:AT85)</f>
        <v>183</v>
      </c>
      <c r="AU75" s="361"/>
      <c r="AV75" s="361"/>
      <c r="AW75" s="444"/>
      <c r="AX75" s="352" t="e">
        <f t="shared" si="127"/>
        <v>#DIV/0!</v>
      </c>
      <c r="AY75" s="427">
        <v>0.80600000000000005</v>
      </c>
      <c r="AZ75" s="354">
        <f>SUM(AZ76:AZ85)</f>
        <v>0</v>
      </c>
      <c r="BA75" s="340"/>
      <c r="BB75" s="340"/>
      <c r="BC75" s="355"/>
      <c r="BD75" s="356">
        <f t="shared" ref="BD75:BD106" si="136">BE75+BH75</f>
        <v>83</v>
      </c>
      <c r="BE75" s="445">
        <f t="shared" ref="BE75:BE106" si="137">BF75+BG75</f>
        <v>69</v>
      </c>
      <c r="BF75" s="446">
        <f t="shared" ref="BF75:BL75" si="138">SUM(BF76:BF85)</f>
        <v>43</v>
      </c>
      <c r="BG75" s="446">
        <f t="shared" si="138"/>
        <v>26</v>
      </c>
      <c r="BH75" s="447">
        <f t="shared" si="138"/>
        <v>14</v>
      </c>
      <c r="BI75" s="359">
        <f t="shared" si="138"/>
        <v>105</v>
      </c>
      <c r="BJ75" s="360">
        <f t="shared" si="138"/>
        <v>67</v>
      </c>
      <c r="BK75" s="361">
        <f t="shared" si="138"/>
        <v>38</v>
      </c>
      <c r="BL75" s="362">
        <f t="shared" si="138"/>
        <v>36</v>
      </c>
      <c r="BM75" s="363">
        <f t="shared" ref="BM75:BM102" si="139">BN75+BQ75</f>
        <v>187</v>
      </c>
      <c r="BN75" s="356">
        <f t="shared" si="129"/>
        <v>168</v>
      </c>
      <c r="BO75" s="446">
        <f>SUM(BO76:BO85)</f>
        <v>138</v>
      </c>
      <c r="BP75" s="446">
        <f>SUM(BP76:BP85)</f>
        <v>30</v>
      </c>
      <c r="BQ75" s="446">
        <f>SUM(BQ76:BQ85)</f>
        <v>19</v>
      </c>
      <c r="BR75" s="432">
        <f t="shared" si="116"/>
        <v>1.7809523809523808</v>
      </c>
      <c r="BS75" s="366">
        <f t="shared" ref="BS75:BS106" si="140">BT75+BU75+BV75</f>
        <v>0</v>
      </c>
      <c r="BT75" s="367">
        <f>SUM(BT76:BT85)</f>
        <v>0</v>
      </c>
      <c r="BU75" s="367">
        <f>SUM(BU76:BU85)</f>
        <v>0</v>
      </c>
      <c r="BV75" s="367">
        <f>SUM(BV76:BV85)</f>
        <v>0</v>
      </c>
      <c r="BW75" s="368">
        <f t="shared" ref="BW75:BW106" si="141">BS75/BI75</f>
        <v>0</v>
      </c>
      <c r="BX75" t="s">
        <v>34</v>
      </c>
    </row>
    <row r="76" spans="1:76" ht="16.899999999999999" customHeight="1" x14ac:dyDescent="0.3">
      <c r="A76" s="8" t="s">
        <v>33</v>
      </c>
      <c r="B76" s="9" t="s">
        <v>34</v>
      </c>
      <c r="C76" s="14" t="s">
        <v>106</v>
      </c>
      <c r="D76" s="40" t="s">
        <v>107</v>
      </c>
      <c r="E76" s="15" t="s">
        <v>103</v>
      </c>
      <c r="F76" s="59">
        <v>25</v>
      </c>
      <c r="G76" s="369">
        <f t="shared" ref="G76:G85" si="142">L76/F76</f>
        <v>0</v>
      </c>
      <c r="H76" s="370">
        <v>25</v>
      </c>
      <c r="I76" s="371">
        <v>17</v>
      </c>
      <c r="J76" s="371">
        <v>8</v>
      </c>
      <c r="K76" s="372">
        <v>5</v>
      </c>
      <c r="L76" s="373">
        <f t="shared" ref="L76:L85" si="143">N76+O76+P76</f>
        <v>0</v>
      </c>
      <c r="M76" s="373">
        <f t="shared" ref="M76:M85" si="144">N76+O76</f>
        <v>0</v>
      </c>
      <c r="N76" s="374">
        <f t="shared" ref="N76:N85" si="145">AA76+AF76</f>
        <v>0</v>
      </c>
      <c r="O76" s="374">
        <f t="shared" ref="O76:O85" si="146">AB76+AG76</f>
        <v>0</v>
      </c>
      <c r="P76" s="375">
        <f t="shared" ref="P76:P85" si="147">AC76+AH76</f>
        <v>0</v>
      </c>
      <c r="Q76" s="376">
        <f t="shared" ref="Q76:Q85" si="148">R76+U76</f>
        <v>0</v>
      </c>
      <c r="R76" s="374">
        <f t="shared" ref="R76:R85" si="149">S76+T76</f>
        <v>0</v>
      </c>
      <c r="S76" s="377"/>
      <c r="T76" s="377"/>
      <c r="U76" s="377"/>
      <c r="V76" s="378">
        <f t="shared" si="108"/>
        <v>0</v>
      </c>
      <c r="W76" s="379">
        <v>57.2</v>
      </c>
      <c r="X76" s="380"/>
      <c r="Y76" s="376">
        <f t="shared" ref="Y76:Y85" si="150">Z76+AC76</f>
        <v>0</v>
      </c>
      <c r="Z76" s="374">
        <f t="shared" ref="Z76:Z85" si="151">AA76+AB76</f>
        <v>0</v>
      </c>
      <c r="AA76" s="381"/>
      <c r="AB76" s="381"/>
      <c r="AC76" s="382"/>
      <c r="AD76" s="376">
        <f t="shared" ref="AD76:AD85" si="152">AE76+AH76</f>
        <v>0</v>
      </c>
      <c r="AE76" s="374">
        <f t="shared" ref="AE76:AE85" si="153">AF76+AG76</f>
        <v>0</v>
      </c>
      <c r="AF76" s="381"/>
      <c r="AG76" s="381"/>
      <c r="AH76" s="383"/>
      <c r="AI76" s="433">
        <f t="shared" ref="AI76:AI85" si="154">AJ76+AK76</f>
        <v>0</v>
      </c>
      <c r="AJ76" s="385"/>
      <c r="AK76" s="386"/>
      <c r="AL76" s="387"/>
      <c r="AM76" s="434">
        <f t="shared" si="125"/>
        <v>0</v>
      </c>
      <c r="AN76" s="389"/>
      <c r="AO76" s="435"/>
      <c r="AP76" s="435"/>
      <c r="AQ76" s="435"/>
      <c r="AR76" s="346" t="e">
        <f t="shared" si="126"/>
        <v>#DIV/0!</v>
      </c>
      <c r="AS76" s="436"/>
      <c r="AT76" s="392">
        <v>9</v>
      </c>
      <c r="AU76" s="48"/>
      <c r="AV76" s="48"/>
      <c r="AW76" s="52"/>
      <c r="AX76" s="393" t="e">
        <f t="shared" si="127"/>
        <v>#DIV/0!</v>
      </c>
      <c r="AY76" s="77">
        <v>422</v>
      </c>
      <c r="AZ76" s="437">
        <f t="shared" ref="AZ76:AZ85" si="155">BA76+BB76</f>
        <v>0</v>
      </c>
      <c r="BA76" s="395"/>
      <c r="BB76" s="396"/>
      <c r="BC76" s="397"/>
      <c r="BD76" s="399">
        <f t="shared" si="136"/>
        <v>12</v>
      </c>
      <c r="BE76" s="531">
        <f t="shared" si="137"/>
        <v>10</v>
      </c>
      <c r="BF76" s="532">
        <v>5</v>
      </c>
      <c r="BG76" s="532">
        <v>5</v>
      </c>
      <c r="BH76" s="533">
        <v>2</v>
      </c>
      <c r="BI76" s="402">
        <f t="shared" ref="BI76:BI85" si="156">SUM(BJ76:BK76)</f>
        <v>13</v>
      </c>
      <c r="BJ76" s="403">
        <v>7</v>
      </c>
      <c r="BK76" s="404">
        <v>6</v>
      </c>
      <c r="BL76" s="405">
        <v>4</v>
      </c>
      <c r="BM76" s="529">
        <f t="shared" si="139"/>
        <v>12</v>
      </c>
      <c r="BN76" s="407">
        <f t="shared" si="129"/>
        <v>11</v>
      </c>
      <c r="BO76" s="12">
        <v>9</v>
      </c>
      <c r="BP76" s="12">
        <v>2</v>
      </c>
      <c r="BQ76" s="12">
        <v>1</v>
      </c>
      <c r="BR76" s="408">
        <f t="shared" si="116"/>
        <v>0.92307692307692313</v>
      </c>
      <c r="BS76" s="409">
        <f t="shared" si="140"/>
        <v>0</v>
      </c>
      <c r="BT76" s="410"/>
      <c r="BU76" s="439"/>
      <c r="BV76" s="458"/>
      <c r="BW76" s="412">
        <f t="shared" si="141"/>
        <v>0</v>
      </c>
    </row>
    <row r="77" spans="1:76" ht="16.899999999999999" customHeight="1" x14ac:dyDescent="0.3">
      <c r="A77" s="8" t="s">
        <v>33</v>
      </c>
      <c r="B77" s="9" t="s">
        <v>34</v>
      </c>
      <c r="C77" s="14" t="s">
        <v>132</v>
      </c>
      <c r="D77" s="40" t="s">
        <v>136</v>
      </c>
      <c r="E77" s="15" t="s">
        <v>103</v>
      </c>
      <c r="F77" s="59">
        <v>25</v>
      </c>
      <c r="G77" s="369">
        <f t="shared" si="142"/>
        <v>0</v>
      </c>
      <c r="H77" s="370">
        <v>25</v>
      </c>
      <c r="I77" s="371">
        <v>17</v>
      </c>
      <c r="J77" s="371">
        <v>8</v>
      </c>
      <c r="K77" s="372">
        <v>5</v>
      </c>
      <c r="L77" s="373">
        <f t="shared" si="143"/>
        <v>0</v>
      </c>
      <c r="M77" s="373">
        <f t="shared" si="144"/>
        <v>0</v>
      </c>
      <c r="N77" s="374">
        <f t="shared" si="145"/>
        <v>0</v>
      </c>
      <c r="O77" s="374">
        <f t="shared" si="146"/>
        <v>0</v>
      </c>
      <c r="P77" s="375">
        <f t="shared" si="147"/>
        <v>0</v>
      </c>
      <c r="Q77" s="376">
        <f t="shared" si="148"/>
        <v>0</v>
      </c>
      <c r="R77" s="374">
        <f t="shared" si="149"/>
        <v>0</v>
      </c>
      <c r="S77" s="377"/>
      <c r="T77" s="377"/>
      <c r="U77" s="377"/>
      <c r="V77" s="378">
        <f t="shared" si="108"/>
        <v>0</v>
      </c>
      <c r="W77" s="379">
        <v>86.4</v>
      </c>
      <c r="X77" s="380"/>
      <c r="Y77" s="376">
        <f t="shared" si="150"/>
        <v>0</v>
      </c>
      <c r="Z77" s="374">
        <f t="shared" si="151"/>
        <v>0</v>
      </c>
      <c r="AA77" s="381"/>
      <c r="AB77" s="381"/>
      <c r="AC77" s="382"/>
      <c r="AD77" s="376">
        <f t="shared" si="152"/>
        <v>0</v>
      </c>
      <c r="AE77" s="374">
        <f t="shared" si="153"/>
        <v>0</v>
      </c>
      <c r="AF77" s="381"/>
      <c r="AG77" s="381"/>
      <c r="AH77" s="383"/>
      <c r="AI77" s="433">
        <f t="shared" si="154"/>
        <v>0</v>
      </c>
      <c r="AJ77" s="385"/>
      <c r="AK77" s="386"/>
      <c r="AL77" s="387"/>
      <c r="AM77" s="434">
        <f t="shared" si="125"/>
        <v>0</v>
      </c>
      <c r="AN77" s="389"/>
      <c r="AO77" s="435"/>
      <c r="AP77" s="435"/>
      <c r="AQ77" s="435"/>
      <c r="AR77" s="346" t="e">
        <f t="shared" si="126"/>
        <v>#DIV/0!</v>
      </c>
      <c r="AS77" s="436"/>
      <c r="AT77" s="392">
        <v>18</v>
      </c>
      <c r="AU77" s="50"/>
      <c r="AV77" s="50"/>
      <c r="AW77" s="53"/>
      <c r="AX77" s="393" t="e">
        <f t="shared" si="127"/>
        <v>#DIV/0!</v>
      </c>
      <c r="AY77" s="78">
        <v>37</v>
      </c>
      <c r="AZ77" s="437">
        <f t="shared" si="155"/>
        <v>0</v>
      </c>
      <c r="BA77" s="395"/>
      <c r="BB77" s="396"/>
      <c r="BC77" s="397"/>
      <c r="BD77" s="399">
        <f t="shared" si="136"/>
        <v>3</v>
      </c>
      <c r="BE77" s="531">
        <f t="shared" si="137"/>
        <v>2</v>
      </c>
      <c r="BF77" s="532">
        <v>2</v>
      </c>
      <c r="BG77" s="532">
        <v>0</v>
      </c>
      <c r="BH77" s="533">
        <v>1</v>
      </c>
      <c r="BI77" s="402">
        <f t="shared" si="156"/>
        <v>5</v>
      </c>
      <c r="BJ77" s="403">
        <v>4</v>
      </c>
      <c r="BK77" s="404">
        <v>1</v>
      </c>
      <c r="BL77" s="405">
        <v>3</v>
      </c>
      <c r="BM77" s="529">
        <f t="shared" si="139"/>
        <v>15</v>
      </c>
      <c r="BN77" s="407">
        <f t="shared" si="129"/>
        <v>14</v>
      </c>
      <c r="BO77" s="12">
        <v>13</v>
      </c>
      <c r="BP77" s="12">
        <v>1</v>
      </c>
      <c r="BQ77" s="12">
        <v>1</v>
      </c>
      <c r="BR77" s="408">
        <f t="shared" si="116"/>
        <v>3</v>
      </c>
      <c r="BS77" s="409">
        <f t="shared" si="140"/>
        <v>0</v>
      </c>
      <c r="BT77" s="410"/>
      <c r="BU77" s="411"/>
      <c r="BV77" s="438"/>
      <c r="BW77" s="412">
        <f t="shared" si="141"/>
        <v>0</v>
      </c>
    </row>
    <row r="78" spans="1:76" ht="16.899999999999999" customHeight="1" x14ac:dyDescent="0.3">
      <c r="A78" s="8" t="s">
        <v>33</v>
      </c>
      <c r="B78" s="9" t="s">
        <v>34</v>
      </c>
      <c r="C78" s="14" t="s">
        <v>132</v>
      </c>
      <c r="D78" s="40" t="s">
        <v>164</v>
      </c>
      <c r="E78" s="15" t="s">
        <v>103</v>
      </c>
      <c r="F78" s="59">
        <v>25</v>
      </c>
      <c r="G78" s="369">
        <f t="shared" si="142"/>
        <v>0</v>
      </c>
      <c r="H78" s="370">
        <v>25</v>
      </c>
      <c r="I78" s="371">
        <v>17</v>
      </c>
      <c r="J78" s="371">
        <v>8</v>
      </c>
      <c r="K78" s="372">
        <v>5</v>
      </c>
      <c r="L78" s="373">
        <f t="shared" si="143"/>
        <v>0</v>
      </c>
      <c r="M78" s="373">
        <f t="shared" si="144"/>
        <v>0</v>
      </c>
      <c r="N78" s="374">
        <f t="shared" si="145"/>
        <v>0</v>
      </c>
      <c r="O78" s="374">
        <f t="shared" si="146"/>
        <v>0</v>
      </c>
      <c r="P78" s="375">
        <f t="shared" si="147"/>
        <v>0</v>
      </c>
      <c r="Q78" s="376">
        <f t="shared" si="148"/>
        <v>0</v>
      </c>
      <c r="R78" s="374">
        <f t="shared" si="149"/>
        <v>0</v>
      </c>
      <c r="S78" s="377"/>
      <c r="T78" s="377"/>
      <c r="U78" s="377"/>
      <c r="V78" s="378">
        <f t="shared" si="108"/>
        <v>0</v>
      </c>
      <c r="W78" s="379">
        <v>80.099999999999994</v>
      </c>
      <c r="X78" s="380"/>
      <c r="Y78" s="376">
        <f t="shared" si="150"/>
        <v>0</v>
      </c>
      <c r="Z78" s="374">
        <f t="shared" si="151"/>
        <v>0</v>
      </c>
      <c r="AA78" s="381"/>
      <c r="AB78" s="381"/>
      <c r="AC78" s="382"/>
      <c r="AD78" s="376">
        <f t="shared" si="152"/>
        <v>0</v>
      </c>
      <c r="AE78" s="374">
        <f t="shared" si="153"/>
        <v>0</v>
      </c>
      <c r="AF78" s="381"/>
      <c r="AG78" s="381"/>
      <c r="AH78" s="383"/>
      <c r="AI78" s="433">
        <f t="shared" si="154"/>
        <v>0</v>
      </c>
      <c r="AJ78" s="385"/>
      <c r="AK78" s="386"/>
      <c r="AL78" s="387"/>
      <c r="AM78" s="434">
        <f t="shared" si="125"/>
        <v>0</v>
      </c>
      <c r="AN78" s="389"/>
      <c r="AO78" s="435"/>
      <c r="AP78" s="435"/>
      <c r="AQ78" s="435"/>
      <c r="AR78" s="346" t="e">
        <f t="shared" si="126"/>
        <v>#DIV/0!</v>
      </c>
      <c r="AS78" s="436"/>
      <c r="AT78" s="392">
        <v>19</v>
      </c>
      <c r="AU78" s="48"/>
      <c r="AV78" s="48"/>
      <c r="AW78" s="52"/>
      <c r="AX78" s="393" t="e">
        <f t="shared" si="127"/>
        <v>#DIV/0!</v>
      </c>
      <c r="AY78" s="77">
        <v>190</v>
      </c>
      <c r="AZ78" s="437">
        <f t="shared" si="155"/>
        <v>0</v>
      </c>
      <c r="BA78" s="395"/>
      <c r="BB78" s="396"/>
      <c r="BC78" s="397"/>
      <c r="BD78" s="399">
        <f t="shared" si="136"/>
        <v>2</v>
      </c>
      <c r="BE78" s="531">
        <f t="shared" si="137"/>
        <v>1</v>
      </c>
      <c r="BF78" s="532">
        <v>0</v>
      </c>
      <c r="BG78" s="532">
        <v>1</v>
      </c>
      <c r="BH78" s="533">
        <v>1</v>
      </c>
      <c r="BI78" s="402">
        <f t="shared" si="156"/>
        <v>4</v>
      </c>
      <c r="BJ78" s="403">
        <v>2</v>
      </c>
      <c r="BK78" s="404">
        <v>2</v>
      </c>
      <c r="BL78" s="405">
        <v>3</v>
      </c>
      <c r="BM78" s="529">
        <f t="shared" si="139"/>
        <v>19</v>
      </c>
      <c r="BN78" s="407">
        <f t="shared" si="129"/>
        <v>18</v>
      </c>
      <c r="BO78" s="12">
        <v>13</v>
      </c>
      <c r="BP78" s="12">
        <v>5</v>
      </c>
      <c r="BQ78" s="12">
        <v>1</v>
      </c>
      <c r="BR78" s="408">
        <f t="shared" si="116"/>
        <v>4.75</v>
      </c>
      <c r="BS78" s="409">
        <f t="shared" si="140"/>
        <v>0</v>
      </c>
      <c r="BT78" s="410"/>
      <c r="BU78" s="439"/>
      <c r="BV78" s="458"/>
      <c r="BW78" s="412">
        <f t="shared" si="141"/>
        <v>0</v>
      </c>
    </row>
    <row r="79" spans="1:76" ht="16.899999999999999" customHeight="1" x14ac:dyDescent="0.3">
      <c r="A79" s="8" t="s">
        <v>33</v>
      </c>
      <c r="B79" s="9" t="s">
        <v>34</v>
      </c>
      <c r="C79" s="14" t="s">
        <v>117</v>
      </c>
      <c r="D79" s="40" t="s">
        <v>165</v>
      </c>
      <c r="E79" s="15" t="s">
        <v>103</v>
      </c>
      <c r="F79" s="59">
        <v>50</v>
      </c>
      <c r="G79" s="369">
        <f t="shared" si="142"/>
        <v>0</v>
      </c>
      <c r="H79" s="370">
        <v>50</v>
      </c>
      <c r="I79" s="371">
        <v>34</v>
      </c>
      <c r="J79" s="371">
        <v>16</v>
      </c>
      <c r="K79" s="372">
        <v>10</v>
      </c>
      <c r="L79" s="373">
        <f t="shared" si="143"/>
        <v>0</v>
      </c>
      <c r="M79" s="373">
        <f t="shared" si="144"/>
        <v>0</v>
      </c>
      <c r="N79" s="374">
        <f t="shared" si="145"/>
        <v>0</v>
      </c>
      <c r="O79" s="374">
        <f t="shared" si="146"/>
        <v>0</v>
      </c>
      <c r="P79" s="375">
        <f t="shared" si="147"/>
        <v>0</v>
      </c>
      <c r="Q79" s="376">
        <f t="shared" si="148"/>
        <v>0</v>
      </c>
      <c r="R79" s="374">
        <f t="shared" si="149"/>
        <v>0</v>
      </c>
      <c r="S79" s="377"/>
      <c r="T79" s="377"/>
      <c r="U79" s="377"/>
      <c r="V79" s="378">
        <f t="shared" si="108"/>
        <v>0</v>
      </c>
      <c r="W79" s="379">
        <v>91.8</v>
      </c>
      <c r="X79" s="380"/>
      <c r="Y79" s="376">
        <f t="shared" si="150"/>
        <v>0</v>
      </c>
      <c r="Z79" s="374">
        <f t="shared" si="151"/>
        <v>0</v>
      </c>
      <c r="AA79" s="381"/>
      <c r="AB79" s="381"/>
      <c r="AC79" s="382"/>
      <c r="AD79" s="376">
        <f t="shared" si="152"/>
        <v>0</v>
      </c>
      <c r="AE79" s="374">
        <f t="shared" si="153"/>
        <v>0</v>
      </c>
      <c r="AF79" s="381"/>
      <c r="AG79" s="381"/>
      <c r="AH79" s="383"/>
      <c r="AI79" s="433">
        <f t="shared" si="154"/>
        <v>0</v>
      </c>
      <c r="AJ79" s="385"/>
      <c r="AK79" s="386"/>
      <c r="AL79" s="387"/>
      <c r="AM79" s="434">
        <f t="shared" si="125"/>
        <v>0</v>
      </c>
      <c r="AN79" s="389"/>
      <c r="AO79" s="435"/>
      <c r="AP79" s="435"/>
      <c r="AQ79" s="435"/>
      <c r="AR79" s="346" t="e">
        <f t="shared" si="126"/>
        <v>#DIV/0!</v>
      </c>
      <c r="AS79" s="436"/>
      <c r="AT79" s="392">
        <v>40</v>
      </c>
      <c r="AU79" s="48"/>
      <c r="AV79" s="48"/>
      <c r="AW79" s="52"/>
      <c r="AX79" s="393" t="e">
        <f t="shared" si="127"/>
        <v>#DIV/0!</v>
      </c>
      <c r="AY79" s="77">
        <v>90</v>
      </c>
      <c r="AZ79" s="437">
        <f t="shared" si="155"/>
        <v>0</v>
      </c>
      <c r="BA79" s="395"/>
      <c r="BB79" s="396"/>
      <c r="BC79" s="397"/>
      <c r="BD79" s="399">
        <f t="shared" si="136"/>
        <v>2</v>
      </c>
      <c r="BE79" s="531">
        <f t="shared" si="137"/>
        <v>1</v>
      </c>
      <c r="BF79" s="532">
        <v>1</v>
      </c>
      <c r="BG79" s="532">
        <v>0</v>
      </c>
      <c r="BH79" s="533">
        <v>1</v>
      </c>
      <c r="BI79" s="402">
        <f t="shared" si="156"/>
        <v>7</v>
      </c>
      <c r="BJ79" s="403">
        <v>5</v>
      </c>
      <c r="BK79" s="404">
        <v>2</v>
      </c>
      <c r="BL79" s="405">
        <v>5</v>
      </c>
      <c r="BM79" s="529">
        <f t="shared" si="139"/>
        <v>44</v>
      </c>
      <c r="BN79" s="407">
        <f t="shared" si="129"/>
        <v>39</v>
      </c>
      <c r="BO79" s="12">
        <v>34</v>
      </c>
      <c r="BP79" s="12">
        <v>5</v>
      </c>
      <c r="BQ79" s="12">
        <v>5</v>
      </c>
      <c r="BR79" s="408">
        <f t="shared" si="116"/>
        <v>6.2857142857142856</v>
      </c>
      <c r="BS79" s="409">
        <f t="shared" si="140"/>
        <v>0</v>
      </c>
      <c r="BT79" s="410"/>
      <c r="BU79" s="411"/>
      <c r="BV79" s="438"/>
      <c r="BW79" s="412">
        <f t="shared" si="141"/>
        <v>0</v>
      </c>
    </row>
    <row r="80" spans="1:76" ht="16.899999999999999" customHeight="1" x14ac:dyDescent="0.3">
      <c r="A80" s="8" t="s">
        <v>33</v>
      </c>
      <c r="B80" s="9" t="s">
        <v>34</v>
      </c>
      <c r="C80" s="14" t="s">
        <v>110</v>
      </c>
      <c r="D80" s="40" t="s">
        <v>166</v>
      </c>
      <c r="E80" s="15" t="s">
        <v>103</v>
      </c>
      <c r="F80" s="59">
        <v>25</v>
      </c>
      <c r="G80" s="369">
        <f t="shared" si="142"/>
        <v>0</v>
      </c>
      <c r="H80" s="370">
        <v>25</v>
      </c>
      <c r="I80" s="371">
        <v>17</v>
      </c>
      <c r="J80" s="371">
        <v>8</v>
      </c>
      <c r="K80" s="372">
        <v>5</v>
      </c>
      <c r="L80" s="373">
        <f t="shared" si="143"/>
        <v>0</v>
      </c>
      <c r="M80" s="373">
        <f t="shared" si="144"/>
        <v>0</v>
      </c>
      <c r="N80" s="374">
        <f t="shared" si="145"/>
        <v>0</v>
      </c>
      <c r="O80" s="374">
        <f t="shared" si="146"/>
        <v>0</v>
      </c>
      <c r="P80" s="375">
        <f t="shared" si="147"/>
        <v>0</v>
      </c>
      <c r="Q80" s="376">
        <f t="shared" si="148"/>
        <v>0</v>
      </c>
      <c r="R80" s="374">
        <f t="shared" si="149"/>
        <v>0</v>
      </c>
      <c r="S80" s="377"/>
      <c r="T80" s="377"/>
      <c r="U80" s="377"/>
      <c r="V80" s="378">
        <f t="shared" si="108"/>
        <v>0</v>
      </c>
      <c r="W80" s="379">
        <v>62.4</v>
      </c>
      <c r="X80" s="380"/>
      <c r="Y80" s="376">
        <f t="shared" si="150"/>
        <v>0</v>
      </c>
      <c r="Z80" s="374">
        <f t="shared" si="151"/>
        <v>0</v>
      </c>
      <c r="AA80" s="381"/>
      <c r="AB80" s="381"/>
      <c r="AC80" s="382"/>
      <c r="AD80" s="376">
        <f t="shared" si="152"/>
        <v>0</v>
      </c>
      <c r="AE80" s="374">
        <f t="shared" si="153"/>
        <v>0</v>
      </c>
      <c r="AF80" s="381"/>
      <c r="AG80" s="381"/>
      <c r="AH80" s="383"/>
      <c r="AI80" s="433">
        <f t="shared" si="154"/>
        <v>0</v>
      </c>
      <c r="AJ80" s="385"/>
      <c r="AK80" s="386"/>
      <c r="AL80" s="387"/>
      <c r="AM80" s="434">
        <f t="shared" si="125"/>
        <v>0</v>
      </c>
      <c r="AN80" s="389"/>
      <c r="AO80" s="435"/>
      <c r="AP80" s="435"/>
      <c r="AQ80" s="435"/>
      <c r="AR80" s="346" t="e">
        <f t="shared" si="126"/>
        <v>#DIV/0!</v>
      </c>
      <c r="AS80" s="436"/>
      <c r="AT80" s="392">
        <v>3</v>
      </c>
      <c r="AU80" s="48"/>
      <c r="AV80" s="48"/>
      <c r="AW80" s="52"/>
      <c r="AX80" s="393" t="e">
        <f t="shared" si="127"/>
        <v>#DIV/0!</v>
      </c>
      <c r="AY80" s="77">
        <v>281</v>
      </c>
      <c r="AZ80" s="437">
        <f t="shared" si="155"/>
        <v>0</v>
      </c>
      <c r="BA80" s="395"/>
      <c r="BB80" s="396"/>
      <c r="BC80" s="397"/>
      <c r="BD80" s="399">
        <f t="shared" si="136"/>
        <v>18</v>
      </c>
      <c r="BE80" s="531">
        <f t="shared" si="137"/>
        <v>16</v>
      </c>
      <c r="BF80" s="532">
        <v>11</v>
      </c>
      <c r="BG80" s="532">
        <v>5</v>
      </c>
      <c r="BH80" s="533">
        <v>2</v>
      </c>
      <c r="BI80" s="402">
        <f t="shared" si="156"/>
        <v>19</v>
      </c>
      <c r="BJ80" s="403">
        <v>13</v>
      </c>
      <c r="BK80" s="404">
        <v>6</v>
      </c>
      <c r="BL80" s="405">
        <v>4</v>
      </c>
      <c r="BM80" s="529">
        <f t="shared" si="139"/>
        <v>9</v>
      </c>
      <c r="BN80" s="407">
        <f t="shared" si="129"/>
        <v>8</v>
      </c>
      <c r="BO80" s="12">
        <v>6</v>
      </c>
      <c r="BP80" s="12">
        <v>2</v>
      </c>
      <c r="BQ80" s="12">
        <v>1</v>
      </c>
      <c r="BR80" s="408">
        <f t="shared" si="116"/>
        <v>0.47368421052631576</v>
      </c>
      <c r="BS80" s="409">
        <f t="shared" si="140"/>
        <v>0</v>
      </c>
      <c r="BT80" s="410"/>
      <c r="BU80" s="411"/>
      <c r="BV80" s="438"/>
      <c r="BW80" s="412">
        <f t="shared" si="141"/>
        <v>0</v>
      </c>
    </row>
    <row r="81" spans="1:76" ht="16.899999999999999" customHeight="1" x14ac:dyDescent="0.3">
      <c r="A81" s="8" t="s">
        <v>33</v>
      </c>
      <c r="B81" s="9" t="s">
        <v>34</v>
      </c>
      <c r="C81" s="14" t="s">
        <v>106</v>
      </c>
      <c r="D81" s="40" t="s">
        <v>167</v>
      </c>
      <c r="E81" s="15" t="s">
        <v>103</v>
      </c>
      <c r="F81" s="59">
        <v>25</v>
      </c>
      <c r="G81" s="369">
        <f t="shared" si="142"/>
        <v>0</v>
      </c>
      <c r="H81" s="370">
        <v>25</v>
      </c>
      <c r="I81" s="371">
        <v>17</v>
      </c>
      <c r="J81" s="371">
        <v>8</v>
      </c>
      <c r="K81" s="372">
        <v>5</v>
      </c>
      <c r="L81" s="373">
        <f t="shared" si="143"/>
        <v>0</v>
      </c>
      <c r="M81" s="373">
        <f t="shared" si="144"/>
        <v>0</v>
      </c>
      <c r="N81" s="374">
        <f t="shared" si="145"/>
        <v>0</v>
      </c>
      <c r="O81" s="374">
        <f t="shared" si="146"/>
        <v>0</v>
      </c>
      <c r="P81" s="375">
        <f t="shared" si="147"/>
        <v>0</v>
      </c>
      <c r="Q81" s="376">
        <f t="shared" si="148"/>
        <v>0</v>
      </c>
      <c r="R81" s="374">
        <f t="shared" si="149"/>
        <v>0</v>
      </c>
      <c r="S81" s="377"/>
      <c r="T81" s="377"/>
      <c r="U81" s="377"/>
      <c r="V81" s="378">
        <f t="shared" si="108"/>
        <v>0</v>
      </c>
      <c r="W81" s="379">
        <v>92.4</v>
      </c>
      <c r="X81" s="380"/>
      <c r="Y81" s="376">
        <f t="shared" si="150"/>
        <v>0</v>
      </c>
      <c r="Z81" s="374">
        <f t="shared" si="151"/>
        <v>0</v>
      </c>
      <c r="AA81" s="381"/>
      <c r="AB81" s="381"/>
      <c r="AC81" s="382"/>
      <c r="AD81" s="376">
        <f t="shared" si="152"/>
        <v>0</v>
      </c>
      <c r="AE81" s="374">
        <f t="shared" si="153"/>
        <v>0</v>
      </c>
      <c r="AF81" s="381"/>
      <c r="AG81" s="381"/>
      <c r="AH81" s="383"/>
      <c r="AI81" s="433">
        <f t="shared" si="154"/>
        <v>0</v>
      </c>
      <c r="AJ81" s="385"/>
      <c r="AK81" s="386"/>
      <c r="AL81" s="387"/>
      <c r="AM81" s="434">
        <f t="shared" si="125"/>
        <v>0</v>
      </c>
      <c r="AN81" s="389"/>
      <c r="AO81" s="435"/>
      <c r="AP81" s="435"/>
      <c r="AQ81" s="435"/>
      <c r="AR81" s="346" t="e">
        <f t="shared" si="126"/>
        <v>#DIV/0!</v>
      </c>
      <c r="AS81" s="436"/>
      <c r="AT81" s="392">
        <v>15</v>
      </c>
      <c r="AU81" s="48"/>
      <c r="AV81" s="48"/>
      <c r="AW81" s="52"/>
      <c r="AX81" s="393" t="e">
        <f t="shared" si="127"/>
        <v>#DIV/0!</v>
      </c>
      <c r="AY81" s="77">
        <v>92</v>
      </c>
      <c r="AZ81" s="437">
        <f t="shared" si="155"/>
        <v>0</v>
      </c>
      <c r="BA81" s="395"/>
      <c r="BB81" s="396"/>
      <c r="BC81" s="397"/>
      <c r="BD81" s="399">
        <f t="shared" si="136"/>
        <v>6</v>
      </c>
      <c r="BE81" s="531">
        <f t="shared" si="137"/>
        <v>6</v>
      </c>
      <c r="BF81" s="532">
        <v>4</v>
      </c>
      <c r="BG81" s="532">
        <v>2</v>
      </c>
      <c r="BH81" s="533">
        <v>0</v>
      </c>
      <c r="BI81" s="402">
        <f t="shared" si="156"/>
        <v>9</v>
      </c>
      <c r="BJ81" s="403">
        <v>6</v>
      </c>
      <c r="BK81" s="404">
        <v>3</v>
      </c>
      <c r="BL81" s="405">
        <v>2</v>
      </c>
      <c r="BM81" s="529">
        <f t="shared" si="139"/>
        <v>16</v>
      </c>
      <c r="BN81" s="407">
        <f t="shared" si="129"/>
        <v>14</v>
      </c>
      <c r="BO81" s="12">
        <v>12</v>
      </c>
      <c r="BP81" s="12">
        <v>2</v>
      </c>
      <c r="BQ81" s="12">
        <v>2</v>
      </c>
      <c r="BR81" s="408">
        <f t="shared" si="116"/>
        <v>1.7777777777777777</v>
      </c>
      <c r="BS81" s="409">
        <f t="shared" si="140"/>
        <v>0</v>
      </c>
      <c r="BT81" s="410"/>
      <c r="BU81" s="411"/>
      <c r="BV81" s="438"/>
      <c r="BW81" s="412">
        <f t="shared" si="141"/>
        <v>0</v>
      </c>
    </row>
    <row r="82" spans="1:76" ht="16.899999999999999" customHeight="1" x14ac:dyDescent="0.3">
      <c r="A82" s="8" t="s">
        <v>33</v>
      </c>
      <c r="B82" s="9" t="s">
        <v>34</v>
      </c>
      <c r="C82" s="14" t="s">
        <v>110</v>
      </c>
      <c r="D82" s="40" t="s">
        <v>168</v>
      </c>
      <c r="E82" s="15" t="s">
        <v>103</v>
      </c>
      <c r="F82" s="59">
        <v>25</v>
      </c>
      <c r="G82" s="369">
        <f t="shared" si="142"/>
        <v>0</v>
      </c>
      <c r="H82" s="370">
        <v>25</v>
      </c>
      <c r="I82" s="371">
        <v>17</v>
      </c>
      <c r="J82" s="371">
        <v>8</v>
      </c>
      <c r="K82" s="372">
        <v>5</v>
      </c>
      <c r="L82" s="373">
        <f t="shared" si="143"/>
        <v>0</v>
      </c>
      <c r="M82" s="373">
        <f t="shared" si="144"/>
        <v>0</v>
      </c>
      <c r="N82" s="374">
        <f t="shared" si="145"/>
        <v>0</v>
      </c>
      <c r="O82" s="374">
        <f t="shared" si="146"/>
        <v>0</v>
      </c>
      <c r="P82" s="375">
        <f t="shared" si="147"/>
        <v>0</v>
      </c>
      <c r="Q82" s="376">
        <f t="shared" si="148"/>
        <v>0</v>
      </c>
      <c r="R82" s="374">
        <f t="shared" si="149"/>
        <v>0</v>
      </c>
      <c r="S82" s="377"/>
      <c r="T82" s="377"/>
      <c r="U82" s="377"/>
      <c r="V82" s="378">
        <f t="shared" si="108"/>
        <v>0</v>
      </c>
      <c r="W82" s="379">
        <v>68.3</v>
      </c>
      <c r="X82" s="380"/>
      <c r="Y82" s="376">
        <f t="shared" si="150"/>
        <v>0</v>
      </c>
      <c r="Z82" s="374">
        <f t="shared" si="151"/>
        <v>0</v>
      </c>
      <c r="AA82" s="381"/>
      <c r="AB82" s="381"/>
      <c r="AC82" s="382"/>
      <c r="AD82" s="376">
        <f t="shared" si="152"/>
        <v>0</v>
      </c>
      <c r="AE82" s="374">
        <f t="shared" si="153"/>
        <v>0</v>
      </c>
      <c r="AF82" s="381"/>
      <c r="AG82" s="381"/>
      <c r="AH82" s="383"/>
      <c r="AI82" s="433">
        <f t="shared" si="154"/>
        <v>0</v>
      </c>
      <c r="AJ82" s="385"/>
      <c r="AK82" s="386"/>
      <c r="AL82" s="387"/>
      <c r="AM82" s="434">
        <f t="shared" si="125"/>
        <v>0</v>
      </c>
      <c r="AN82" s="389"/>
      <c r="AO82" s="435"/>
      <c r="AP82" s="435"/>
      <c r="AQ82" s="435"/>
      <c r="AR82" s="346" t="e">
        <f t="shared" si="126"/>
        <v>#DIV/0!</v>
      </c>
      <c r="AS82" s="436"/>
      <c r="AT82" s="392">
        <v>9</v>
      </c>
      <c r="AU82" s="48"/>
      <c r="AV82" s="48"/>
      <c r="AW82" s="52"/>
      <c r="AX82" s="393" t="e">
        <f t="shared" si="127"/>
        <v>#DIV/0!</v>
      </c>
      <c r="AY82" s="77">
        <v>483</v>
      </c>
      <c r="AZ82" s="437">
        <f t="shared" si="155"/>
        <v>0</v>
      </c>
      <c r="BA82" s="395"/>
      <c r="BB82" s="396"/>
      <c r="BC82" s="397"/>
      <c r="BD82" s="399">
        <f t="shared" si="136"/>
        <v>12</v>
      </c>
      <c r="BE82" s="531">
        <f t="shared" si="137"/>
        <v>11</v>
      </c>
      <c r="BF82" s="532">
        <v>5</v>
      </c>
      <c r="BG82" s="532">
        <v>6</v>
      </c>
      <c r="BH82" s="533">
        <v>1</v>
      </c>
      <c r="BI82" s="402">
        <f t="shared" si="156"/>
        <v>14</v>
      </c>
      <c r="BJ82" s="403">
        <v>7</v>
      </c>
      <c r="BK82" s="404">
        <v>7</v>
      </c>
      <c r="BL82" s="405">
        <v>3</v>
      </c>
      <c r="BM82" s="529">
        <f t="shared" si="139"/>
        <v>8</v>
      </c>
      <c r="BN82" s="407">
        <f t="shared" si="129"/>
        <v>8</v>
      </c>
      <c r="BO82" s="12">
        <v>6</v>
      </c>
      <c r="BP82" s="12">
        <v>2</v>
      </c>
      <c r="BQ82" s="12">
        <v>0</v>
      </c>
      <c r="BR82" s="408">
        <f t="shared" si="116"/>
        <v>0.5714285714285714</v>
      </c>
      <c r="BS82" s="409">
        <f t="shared" si="140"/>
        <v>0</v>
      </c>
      <c r="BT82" s="410"/>
      <c r="BU82" s="411"/>
      <c r="BV82" s="438"/>
      <c r="BW82" s="412">
        <f t="shared" si="141"/>
        <v>0</v>
      </c>
    </row>
    <row r="83" spans="1:76" ht="16.899999999999999" customHeight="1" x14ac:dyDescent="0.3">
      <c r="A83" s="8" t="s">
        <v>33</v>
      </c>
      <c r="B83" s="9" t="s">
        <v>34</v>
      </c>
      <c r="C83" s="14" t="s">
        <v>115</v>
      </c>
      <c r="D83" s="40" t="s">
        <v>169</v>
      </c>
      <c r="E83" s="15" t="s">
        <v>103</v>
      </c>
      <c r="F83" s="59">
        <v>60</v>
      </c>
      <c r="G83" s="369">
        <f t="shared" si="142"/>
        <v>0</v>
      </c>
      <c r="H83" s="370">
        <v>60</v>
      </c>
      <c r="I83" s="371">
        <v>42</v>
      </c>
      <c r="J83" s="371">
        <v>18</v>
      </c>
      <c r="K83" s="372">
        <v>12</v>
      </c>
      <c r="L83" s="373">
        <f t="shared" si="143"/>
        <v>0</v>
      </c>
      <c r="M83" s="373">
        <f t="shared" si="144"/>
        <v>0</v>
      </c>
      <c r="N83" s="374">
        <f t="shared" si="145"/>
        <v>0</v>
      </c>
      <c r="O83" s="374">
        <f t="shared" si="146"/>
        <v>0</v>
      </c>
      <c r="P83" s="375">
        <f t="shared" si="147"/>
        <v>0</v>
      </c>
      <c r="Q83" s="376">
        <f t="shared" si="148"/>
        <v>0</v>
      </c>
      <c r="R83" s="374">
        <f t="shared" si="149"/>
        <v>0</v>
      </c>
      <c r="S83" s="377"/>
      <c r="T83" s="377"/>
      <c r="U83" s="377"/>
      <c r="V83" s="378">
        <f t="shared" si="108"/>
        <v>0</v>
      </c>
      <c r="W83" s="379">
        <v>78.099999999999994</v>
      </c>
      <c r="X83" s="380"/>
      <c r="Y83" s="376">
        <f t="shared" si="150"/>
        <v>0</v>
      </c>
      <c r="Z83" s="374">
        <f t="shared" si="151"/>
        <v>0</v>
      </c>
      <c r="AA83" s="381"/>
      <c r="AB83" s="381"/>
      <c r="AC83" s="382"/>
      <c r="AD83" s="376">
        <f t="shared" si="152"/>
        <v>0</v>
      </c>
      <c r="AE83" s="374">
        <f t="shared" si="153"/>
        <v>0</v>
      </c>
      <c r="AF83" s="381"/>
      <c r="AG83" s="381"/>
      <c r="AH83" s="383"/>
      <c r="AI83" s="433">
        <f t="shared" si="154"/>
        <v>0</v>
      </c>
      <c r="AJ83" s="385"/>
      <c r="AK83" s="386"/>
      <c r="AL83" s="387"/>
      <c r="AM83" s="434">
        <f t="shared" si="125"/>
        <v>0</v>
      </c>
      <c r="AN83" s="389"/>
      <c r="AO83" s="435"/>
      <c r="AP83" s="435"/>
      <c r="AQ83" s="435"/>
      <c r="AR83" s="346" t="e">
        <f t="shared" si="126"/>
        <v>#DIV/0!</v>
      </c>
      <c r="AS83" s="436"/>
      <c r="AT83" s="392">
        <v>50</v>
      </c>
      <c r="AU83" s="48"/>
      <c r="AV83" s="48"/>
      <c r="AW83" s="52"/>
      <c r="AX83" s="393" t="e">
        <f t="shared" si="127"/>
        <v>#DIV/0!</v>
      </c>
      <c r="AY83" s="77">
        <v>488</v>
      </c>
      <c r="AZ83" s="437">
        <f t="shared" si="155"/>
        <v>0</v>
      </c>
      <c r="BA83" s="395"/>
      <c r="BB83" s="396"/>
      <c r="BC83" s="397"/>
      <c r="BD83" s="399">
        <f t="shared" si="136"/>
        <v>6</v>
      </c>
      <c r="BE83" s="531">
        <f t="shared" si="137"/>
        <v>2</v>
      </c>
      <c r="BF83" s="532">
        <v>1</v>
      </c>
      <c r="BG83" s="532">
        <v>1</v>
      </c>
      <c r="BH83" s="533">
        <v>4</v>
      </c>
      <c r="BI83" s="402">
        <f t="shared" si="156"/>
        <v>8</v>
      </c>
      <c r="BJ83" s="403">
        <v>5</v>
      </c>
      <c r="BK83" s="404">
        <v>3</v>
      </c>
      <c r="BL83" s="405">
        <v>6</v>
      </c>
      <c r="BM83" s="529">
        <f t="shared" si="139"/>
        <v>45</v>
      </c>
      <c r="BN83" s="407">
        <f t="shared" si="129"/>
        <v>42</v>
      </c>
      <c r="BO83" s="12">
        <v>35</v>
      </c>
      <c r="BP83" s="12">
        <v>7</v>
      </c>
      <c r="BQ83" s="12">
        <v>3</v>
      </c>
      <c r="BR83" s="408">
        <f t="shared" si="116"/>
        <v>5.625</v>
      </c>
      <c r="BS83" s="409">
        <f t="shared" si="140"/>
        <v>0</v>
      </c>
      <c r="BT83" s="410"/>
      <c r="BU83" s="439"/>
      <c r="BV83" s="458"/>
      <c r="BW83" s="412">
        <f t="shared" si="141"/>
        <v>0</v>
      </c>
    </row>
    <row r="84" spans="1:76" ht="16.899999999999999" customHeight="1" x14ac:dyDescent="0.3">
      <c r="A84" s="8" t="s">
        <v>33</v>
      </c>
      <c r="B84" s="9" t="s">
        <v>34</v>
      </c>
      <c r="C84" s="14" t="s">
        <v>115</v>
      </c>
      <c r="D84" s="40" t="s">
        <v>169</v>
      </c>
      <c r="E84" s="15" t="s">
        <v>137</v>
      </c>
      <c r="F84" s="59">
        <v>25</v>
      </c>
      <c r="G84" s="369">
        <f t="shared" si="142"/>
        <v>0</v>
      </c>
      <c r="H84" s="370">
        <v>25</v>
      </c>
      <c r="I84" s="371">
        <v>17</v>
      </c>
      <c r="J84" s="371">
        <v>8</v>
      </c>
      <c r="K84" s="372">
        <v>5</v>
      </c>
      <c r="L84" s="373">
        <f t="shared" si="143"/>
        <v>0</v>
      </c>
      <c r="M84" s="373">
        <f t="shared" si="144"/>
        <v>0</v>
      </c>
      <c r="N84" s="374">
        <f t="shared" si="145"/>
        <v>0</v>
      </c>
      <c r="O84" s="374">
        <f t="shared" si="146"/>
        <v>0</v>
      </c>
      <c r="P84" s="375">
        <f t="shared" si="147"/>
        <v>0</v>
      </c>
      <c r="Q84" s="376">
        <f t="shared" si="148"/>
        <v>0</v>
      </c>
      <c r="R84" s="374">
        <f t="shared" si="149"/>
        <v>0</v>
      </c>
      <c r="S84" s="377"/>
      <c r="T84" s="377"/>
      <c r="U84" s="377"/>
      <c r="V84" s="378">
        <f t="shared" si="108"/>
        <v>0</v>
      </c>
      <c r="W84" s="379">
        <v>75.099999999999994</v>
      </c>
      <c r="X84" s="380"/>
      <c r="Y84" s="376">
        <f t="shared" si="150"/>
        <v>0</v>
      </c>
      <c r="Z84" s="374">
        <f t="shared" si="151"/>
        <v>0</v>
      </c>
      <c r="AA84" s="381"/>
      <c r="AB84" s="381"/>
      <c r="AC84" s="382"/>
      <c r="AD84" s="376">
        <f t="shared" si="152"/>
        <v>0</v>
      </c>
      <c r="AE84" s="374">
        <f t="shared" si="153"/>
        <v>0</v>
      </c>
      <c r="AF84" s="381"/>
      <c r="AG84" s="381"/>
      <c r="AH84" s="383"/>
      <c r="AI84" s="433">
        <f t="shared" si="154"/>
        <v>0</v>
      </c>
      <c r="AJ84" s="385"/>
      <c r="AK84" s="386"/>
      <c r="AL84" s="387"/>
      <c r="AM84" s="434">
        <f t="shared" si="125"/>
        <v>0</v>
      </c>
      <c r="AN84" s="389"/>
      <c r="AO84" s="435"/>
      <c r="AP84" s="435"/>
      <c r="AQ84" s="435"/>
      <c r="AR84" s="346" t="e">
        <f t="shared" si="126"/>
        <v>#DIV/0!</v>
      </c>
      <c r="AS84" s="436"/>
      <c r="AT84" s="392">
        <v>14</v>
      </c>
      <c r="AU84" s="48"/>
      <c r="AV84" s="48"/>
      <c r="AW84" s="52"/>
      <c r="AX84" s="393" t="e">
        <f t="shared" si="127"/>
        <v>#DIV/0!</v>
      </c>
      <c r="AY84" s="77">
        <v>409</v>
      </c>
      <c r="AZ84" s="437">
        <f t="shared" si="155"/>
        <v>0</v>
      </c>
      <c r="BA84" s="395"/>
      <c r="BB84" s="396"/>
      <c r="BC84" s="397"/>
      <c r="BD84" s="399">
        <f t="shared" si="136"/>
        <v>7</v>
      </c>
      <c r="BE84" s="531">
        <f t="shared" si="137"/>
        <v>6</v>
      </c>
      <c r="BF84" s="532">
        <v>5</v>
      </c>
      <c r="BG84" s="532">
        <v>1</v>
      </c>
      <c r="BH84" s="533">
        <v>1</v>
      </c>
      <c r="BI84" s="402">
        <f t="shared" si="156"/>
        <v>9</v>
      </c>
      <c r="BJ84" s="403">
        <v>7</v>
      </c>
      <c r="BK84" s="404">
        <v>2</v>
      </c>
      <c r="BL84" s="405">
        <v>3</v>
      </c>
      <c r="BM84" s="529">
        <f t="shared" si="139"/>
        <v>12</v>
      </c>
      <c r="BN84" s="407">
        <f t="shared" si="129"/>
        <v>8</v>
      </c>
      <c r="BO84" s="12">
        <v>4</v>
      </c>
      <c r="BP84" s="12">
        <v>4</v>
      </c>
      <c r="BQ84" s="12">
        <v>4</v>
      </c>
      <c r="BR84" s="408">
        <f t="shared" si="116"/>
        <v>1.3333333333333333</v>
      </c>
      <c r="BS84" s="409">
        <f t="shared" si="140"/>
        <v>0</v>
      </c>
      <c r="BT84" s="410"/>
      <c r="BU84" s="411"/>
      <c r="BV84" s="438"/>
      <c r="BW84" s="412">
        <f t="shared" si="141"/>
        <v>0</v>
      </c>
    </row>
    <row r="85" spans="1:76" ht="16.899999999999999" customHeight="1" x14ac:dyDescent="0.3">
      <c r="A85" s="8" t="s">
        <v>33</v>
      </c>
      <c r="B85" s="9" t="s">
        <v>34</v>
      </c>
      <c r="C85" s="9" t="s">
        <v>110</v>
      </c>
      <c r="D85" s="42" t="s">
        <v>170</v>
      </c>
      <c r="E85" s="10" t="s">
        <v>103</v>
      </c>
      <c r="F85" s="59">
        <v>25</v>
      </c>
      <c r="G85" s="369">
        <f t="shared" si="142"/>
        <v>0</v>
      </c>
      <c r="H85" s="370">
        <v>25</v>
      </c>
      <c r="I85" s="371">
        <v>17</v>
      </c>
      <c r="J85" s="371">
        <v>8</v>
      </c>
      <c r="K85" s="372">
        <v>5</v>
      </c>
      <c r="L85" s="373">
        <f t="shared" si="143"/>
        <v>0</v>
      </c>
      <c r="M85" s="373">
        <f t="shared" si="144"/>
        <v>0</v>
      </c>
      <c r="N85" s="374">
        <f t="shared" si="145"/>
        <v>0</v>
      </c>
      <c r="O85" s="374">
        <f t="shared" si="146"/>
        <v>0</v>
      </c>
      <c r="P85" s="375">
        <f t="shared" si="147"/>
        <v>0</v>
      </c>
      <c r="Q85" s="376">
        <f t="shared" si="148"/>
        <v>0</v>
      </c>
      <c r="R85" s="374">
        <f t="shared" si="149"/>
        <v>0</v>
      </c>
      <c r="S85" s="377"/>
      <c r="T85" s="377"/>
      <c r="U85" s="377"/>
      <c r="V85" s="378">
        <f t="shared" si="108"/>
        <v>0</v>
      </c>
      <c r="W85" s="379">
        <v>76.900000000000006</v>
      </c>
      <c r="X85" s="380"/>
      <c r="Y85" s="376">
        <f t="shared" si="150"/>
        <v>0</v>
      </c>
      <c r="Z85" s="374">
        <f t="shared" si="151"/>
        <v>0</v>
      </c>
      <c r="AA85" s="381"/>
      <c r="AB85" s="381"/>
      <c r="AC85" s="382"/>
      <c r="AD85" s="376">
        <f t="shared" si="152"/>
        <v>0</v>
      </c>
      <c r="AE85" s="374">
        <f t="shared" si="153"/>
        <v>0</v>
      </c>
      <c r="AF85" s="381"/>
      <c r="AG85" s="381"/>
      <c r="AH85" s="383"/>
      <c r="AI85" s="433">
        <f t="shared" si="154"/>
        <v>0</v>
      </c>
      <c r="AJ85" s="385"/>
      <c r="AK85" s="386"/>
      <c r="AL85" s="387"/>
      <c r="AM85" s="434">
        <f t="shared" si="125"/>
        <v>0</v>
      </c>
      <c r="AN85" s="389"/>
      <c r="AO85" s="435"/>
      <c r="AP85" s="435"/>
      <c r="AQ85" s="435"/>
      <c r="AR85" s="346" t="e">
        <f t="shared" si="126"/>
        <v>#DIV/0!</v>
      </c>
      <c r="AS85" s="436"/>
      <c r="AT85" s="392">
        <v>6</v>
      </c>
      <c r="AU85" s="48"/>
      <c r="AV85" s="48"/>
      <c r="AW85" s="52"/>
      <c r="AX85" s="393" t="e">
        <f t="shared" si="127"/>
        <v>#DIV/0!</v>
      </c>
      <c r="AY85" s="77">
        <v>380</v>
      </c>
      <c r="AZ85" s="437">
        <f t="shared" si="155"/>
        <v>0</v>
      </c>
      <c r="BA85" s="395"/>
      <c r="BB85" s="396"/>
      <c r="BC85" s="397"/>
      <c r="BD85" s="399">
        <f t="shared" si="136"/>
        <v>15</v>
      </c>
      <c r="BE85" s="531">
        <f t="shared" si="137"/>
        <v>14</v>
      </c>
      <c r="BF85" s="532">
        <v>9</v>
      </c>
      <c r="BG85" s="532">
        <v>5</v>
      </c>
      <c r="BH85" s="533">
        <v>1</v>
      </c>
      <c r="BI85" s="402">
        <f t="shared" si="156"/>
        <v>17</v>
      </c>
      <c r="BJ85" s="403">
        <v>11</v>
      </c>
      <c r="BK85" s="404">
        <v>6</v>
      </c>
      <c r="BL85" s="405">
        <v>3</v>
      </c>
      <c r="BM85" s="529">
        <f t="shared" si="139"/>
        <v>7</v>
      </c>
      <c r="BN85" s="407">
        <f t="shared" si="129"/>
        <v>6</v>
      </c>
      <c r="BO85" s="12">
        <v>6</v>
      </c>
      <c r="BP85" s="12">
        <v>0</v>
      </c>
      <c r="BQ85" s="12">
        <v>1</v>
      </c>
      <c r="BR85" s="408">
        <f t="shared" si="116"/>
        <v>0.41176470588235292</v>
      </c>
      <c r="BS85" s="409">
        <f t="shared" si="140"/>
        <v>0</v>
      </c>
      <c r="BT85" s="410"/>
      <c r="BU85" s="411"/>
      <c r="BV85" s="438"/>
      <c r="BW85" s="412">
        <f t="shared" si="141"/>
        <v>0</v>
      </c>
    </row>
    <row r="86" spans="1:76" ht="16.899999999999999" customHeight="1" x14ac:dyDescent="0.3">
      <c r="A86" s="4" t="s">
        <v>33</v>
      </c>
      <c r="B86" s="5" t="s">
        <v>35</v>
      </c>
      <c r="C86" s="5"/>
      <c r="D86" s="5" t="s">
        <v>21</v>
      </c>
      <c r="E86" s="6"/>
      <c r="F86" s="58">
        <f t="shared" ref="F86:U86" si="157">SUM(F87:F93)</f>
        <v>270</v>
      </c>
      <c r="G86" s="7">
        <f t="shared" si="157"/>
        <v>0</v>
      </c>
      <c r="H86" s="7">
        <f t="shared" si="157"/>
        <v>270</v>
      </c>
      <c r="I86" s="67">
        <f t="shared" si="157"/>
        <v>170</v>
      </c>
      <c r="J86" s="67">
        <f t="shared" si="157"/>
        <v>100</v>
      </c>
      <c r="K86" s="70">
        <f t="shared" si="157"/>
        <v>54</v>
      </c>
      <c r="L86" s="413">
        <f t="shared" si="157"/>
        <v>0</v>
      </c>
      <c r="M86" s="413">
        <f t="shared" si="157"/>
        <v>0</v>
      </c>
      <c r="N86" s="413">
        <f t="shared" si="157"/>
        <v>0</v>
      </c>
      <c r="O86" s="413">
        <f t="shared" si="157"/>
        <v>0</v>
      </c>
      <c r="P86" s="414">
        <f t="shared" si="157"/>
        <v>0</v>
      </c>
      <c r="Q86" s="415">
        <f t="shared" si="157"/>
        <v>0</v>
      </c>
      <c r="R86" s="416">
        <f t="shared" si="157"/>
        <v>0</v>
      </c>
      <c r="S86" s="416">
        <f t="shared" si="157"/>
        <v>0</v>
      </c>
      <c r="T86" s="416">
        <f t="shared" si="157"/>
        <v>0</v>
      </c>
      <c r="U86" s="416">
        <f t="shared" si="157"/>
        <v>0</v>
      </c>
      <c r="V86" s="334">
        <f t="shared" si="108"/>
        <v>0</v>
      </c>
      <c r="W86" s="335">
        <f t="shared" ref="W86:AI86" si="158">SUM(W87:W93)</f>
        <v>538.79999999999995</v>
      </c>
      <c r="X86" s="413">
        <f t="shared" si="158"/>
        <v>0</v>
      </c>
      <c r="Y86" s="415">
        <f t="shared" si="158"/>
        <v>0</v>
      </c>
      <c r="Z86" s="416">
        <f t="shared" si="158"/>
        <v>0</v>
      </c>
      <c r="AA86" s="416">
        <f t="shared" si="158"/>
        <v>0</v>
      </c>
      <c r="AB86" s="416">
        <f t="shared" si="158"/>
        <v>0</v>
      </c>
      <c r="AC86" s="417">
        <f t="shared" si="158"/>
        <v>0</v>
      </c>
      <c r="AD86" s="415">
        <f t="shared" si="158"/>
        <v>0</v>
      </c>
      <c r="AE86" s="416">
        <f t="shared" si="158"/>
        <v>0</v>
      </c>
      <c r="AF86" s="416">
        <f t="shared" si="158"/>
        <v>0</v>
      </c>
      <c r="AG86" s="416">
        <f t="shared" si="158"/>
        <v>0</v>
      </c>
      <c r="AH86" s="418">
        <f t="shared" si="158"/>
        <v>0</v>
      </c>
      <c r="AI86" s="549">
        <f t="shared" si="158"/>
        <v>0</v>
      </c>
      <c r="AJ86" s="550"/>
      <c r="AK86" s="551"/>
      <c r="AL86" s="549"/>
      <c r="AM86" s="420">
        <f t="shared" si="125"/>
        <v>0</v>
      </c>
      <c r="AN86" s="344"/>
      <c r="AO86" s="423"/>
      <c r="AP86" s="423"/>
      <c r="AQ86" s="423"/>
      <c r="AR86" s="346" t="e">
        <f t="shared" si="126"/>
        <v>#DIV/0!</v>
      </c>
      <c r="AS86" s="424">
        <v>1.454</v>
      </c>
      <c r="AT86" s="552">
        <f>SUM(AT87:AT93)</f>
        <v>223</v>
      </c>
      <c r="AU86" s="361"/>
      <c r="AV86" s="361"/>
      <c r="AW86" s="444"/>
      <c r="AX86" s="352" t="e">
        <f t="shared" si="127"/>
        <v>#DIV/0!</v>
      </c>
      <c r="AY86" s="427">
        <v>0.94399999999999995</v>
      </c>
      <c r="AZ86" s="354">
        <f>SUM(AZ87:AZ93)</f>
        <v>0</v>
      </c>
      <c r="BA86" s="340"/>
      <c r="BB86" s="340"/>
      <c r="BC86" s="355"/>
      <c r="BD86" s="356">
        <f t="shared" si="136"/>
        <v>47</v>
      </c>
      <c r="BE86" s="356">
        <f t="shared" si="137"/>
        <v>32</v>
      </c>
      <c r="BF86" s="357">
        <f t="shared" ref="BF86:BL86" si="159">SUM(BF87:BF93)</f>
        <v>16</v>
      </c>
      <c r="BG86" s="357">
        <f t="shared" si="159"/>
        <v>16</v>
      </c>
      <c r="BH86" s="358">
        <f t="shared" si="159"/>
        <v>15</v>
      </c>
      <c r="BI86" s="359">
        <f t="shared" si="159"/>
        <v>49</v>
      </c>
      <c r="BJ86" s="360">
        <f t="shared" si="159"/>
        <v>35</v>
      </c>
      <c r="BK86" s="361">
        <f t="shared" si="159"/>
        <v>14</v>
      </c>
      <c r="BL86" s="362">
        <f t="shared" si="159"/>
        <v>25</v>
      </c>
      <c r="BM86" s="363">
        <f t="shared" si="139"/>
        <v>121</v>
      </c>
      <c r="BN86" s="356">
        <f t="shared" si="129"/>
        <v>105</v>
      </c>
      <c r="BO86" s="357">
        <f>SUM(BO87:BO93)</f>
        <v>75</v>
      </c>
      <c r="BP86" s="357">
        <f>SUM(BP87:BP93)</f>
        <v>30</v>
      </c>
      <c r="BQ86" s="357">
        <f>SUM(BQ87:BQ93)</f>
        <v>16</v>
      </c>
      <c r="BR86" s="432">
        <f t="shared" si="116"/>
        <v>2.4693877551020407</v>
      </c>
      <c r="BS86" s="366">
        <f t="shared" si="140"/>
        <v>0</v>
      </c>
      <c r="BT86" s="367">
        <f>SUM(BT87:BT93)</f>
        <v>0</v>
      </c>
      <c r="BU86" s="367">
        <f>SUM(BU87:BU93)</f>
        <v>0</v>
      </c>
      <c r="BV86" s="367">
        <f>SUM(BV87:BV93)</f>
        <v>0</v>
      </c>
      <c r="BW86" s="368">
        <f t="shared" si="141"/>
        <v>0</v>
      </c>
      <c r="BX86" t="s">
        <v>35</v>
      </c>
    </row>
    <row r="87" spans="1:76" ht="16.899999999999999" customHeight="1" x14ac:dyDescent="0.3">
      <c r="A87" s="8" t="s">
        <v>33</v>
      </c>
      <c r="B87" s="9" t="s">
        <v>35</v>
      </c>
      <c r="C87" s="9" t="s">
        <v>101</v>
      </c>
      <c r="D87" s="25" t="s">
        <v>171</v>
      </c>
      <c r="E87" s="10" t="s">
        <v>103</v>
      </c>
      <c r="F87" s="59">
        <v>25</v>
      </c>
      <c r="G87" s="369">
        <f t="shared" ref="G87:G93" si="160">L87/F87</f>
        <v>0</v>
      </c>
      <c r="H87" s="553">
        <v>25</v>
      </c>
      <c r="I87" s="371">
        <v>17</v>
      </c>
      <c r="J87" s="371">
        <v>8</v>
      </c>
      <c r="K87" s="554">
        <v>5</v>
      </c>
      <c r="L87" s="373">
        <f t="shared" ref="L87:L93" si="161">N87+O87+P87</f>
        <v>0</v>
      </c>
      <c r="M87" s="373">
        <f t="shared" ref="M87:M93" si="162">N87+O87</f>
        <v>0</v>
      </c>
      <c r="N87" s="374">
        <f t="shared" ref="N87:P93" si="163">AA87+AF87</f>
        <v>0</v>
      </c>
      <c r="O87" s="374">
        <f t="shared" si="163"/>
        <v>0</v>
      </c>
      <c r="P87" s="375">
        <f t="shared" si="163"/>
        <v>0</v>
      </c>
      <c r="Q87" s="376">
        <f t="shared" ref="Q87:Q93" si="164">R87+U87</f>
        <v>0</v>
      </c>
      <c r="R87" s="374">
        <f t="shared" ref="R87:R93" si="165">S87+T87</f>
        <v>0</v>
      </c>
      <c r="S87" s="377"/>
      <c r="T87" s="377"/>
      <c r="U87" s="377"/>
      <c r="V87" s="378">
        <f t="shared" si="108"/>
        <v>0</v>
      </c>
      <c r="W87" s="379">
        <v>63.7</v>
      </c>
      <c r="X87" s="380"/>
      <c r="Y87" s="376">
        <f t="shared" ref="Y87:Y93" si="166">Z87+AC87</f>
        <v>0</v>
      </c>
      <c r="Z87" s="374">
        <f t="shared" ref="Z87:Z93" si="167">AA87+AB87</f>
        <v>0</v>
      </c>
      <c r="AA87" s="381"/>
      <c r="AB87" s="381"/>
      <c r="AC87" s="382"/>
      <c r="AD87" s="376">
        <f t="shared" ref="AD87:AD93" si="168">AE87+AH87</f>
        <v>0</v>
      </c>
      <c r="AE87" s="374">
        <f t="shared" ref="AE87:AE93" si="169">AF87+AG87</f>
        <v>0</v>
      </c>
      <c r="AF87" s="381"/>
      <c r="AG87" s="381"/>
      <c r="AH87" s="383"/>
      <c r="AI87" s="555">
        <f t="shared" ref="AI87:AI93" si="170">AJ87+AK87</f>
        <v>0</v>
      </c>
      <c r="AJ87" s="385"/>
      <c r="AK87" s="386"/>
      <c r="AL87" s="387"/>
      <c r="AM87" s="434">
        <f t="shared" si="125"/>
        <v>0</v>
      </c>
      <c r="AN87" s="389"/>
      <c r="AO87" s="435"/>
      <c r="AP87" s="435"/>
      <c r="AQ87" s="435"/>
      <c r="AR87" s="346" t="e">
        <f t="shared" si="126"/>
        <v>#DIV/0!</v>
      </c>
      <c r="AS87" s="436"/>
      <c r="AT87" s="392">
        <v>23</v>
      </c>
      <c r="AU87" s="50"/>
      <c r="AV87" s="50"/>
      <c r="AW87" s="53"/>
      <c r="AX87" s="393" t="e">
        <f t="shared" si="127"/>
        <v>#DIV/0!</v>
      </c>
      <c r="AY87" s="78">
        <v>23</v>
      </c>
      <c r="AZ87" s="556">
        <f t="shared" ref="AZ87:AZ93" si="171">BA87+BB87</f>
        <v>0</v>
      </c>
      <c r="BA87" s="395"/>
      <c r="BB87" s="396"/>
      <c r="BC87" s="397"/>
      <c r="BD87" s="399">
        <f t="shared" si="136"/>
        <v>1</v>
      </c>
      <c r="BE87" s="399">
        <f t="shared" si="137"/>
        <v>0</v>
      </c>
      <c r="BF87" s="400">
        <v>0</v>
      </c>
      <c r="BG87" s="400">
        <v>0</v>
      </c>
      <c r="BH87" s="401">
        <v>1</v>
      </c>
      <c r="BI87" s="402">
        <f t="shared" ref="BI87:BI93" si="172">SUM(BJ87:BK87)</f>
        <v>2</v>
      </c>
      <c r="BJ87" s="403">
        <v>1</v>
      </c>
      <c r="BK87" s="403">
        <v>1</v>
      </c>
      <c r="BL87" s="534">
        <v>2</v>
      </c>
      <c r="BM87" s="529">
        <f t="shared" si="139"/>
        <v>12</v>
      </c>
      <c r="BN87" s="407">
        <f t="shared" si="129"/>
        <v>10</v>
      </c>
      <c r="BO87" s="12">
        <v>10</v>
      </c>
      <c r="BP87" s="12">
        <v>0</v>
      </c>
      <c r="BQ87" s="12">
        <v>2</v>
      </c>
      <c r="BR87" s="408">
        <f t="shared" si="116"/>
        <v>6</v>
      </c>
      <c r="BS87" s="409">
        <f t="shared" si="140"/>
        <v>0</v>
      </c>
      <c r="BT87" s="410"/>
      <c r="BU87" s="411"/>
      <c r="BV87" s="438"/>
      <c r="BW87" s="412">
        <f t="shared" si="141"/>
        <v>0</v>
      </c>
    </row>
    <row r="88" spans="1:76" ht="16.899999999999999" customHeight="1" x14ac:dyDescent="0.3">
      <c r="A88" s="8" t="s">
        <v>33</v>
      </c>
      <c r="B88" s="9" t="s">
        <v>35</v>
      </c>
      <c r="C88" s="9" t="s">
        <v>104</v>
      </c>
      <c r="D88" s="25" t="s">
        <v>105</v>
      </c>
      <c r="E88" s="10" t="s">
        <v>103</v>
      </c>
      <c r="F88" s="59">
        <v>60</v>
      </c>
      <c r="G88" s="369">
        <f t="shared" si="160"/>
        <v>0</v>
      </c>
      <c r="H88" s="553">
        <v>60</v>
      </c>
      <c r="I88" s="371">
        <v>42</v>
      </c>
      <c r="J88" s="371">
        <v>18</v>
      </c>
      <c r="K88" s="554">
        <v>12</v>
      </c>
      <c r="L88" s="373">
        <f t="shared" si="161"/>
        <v>0</v>
      </c>
      <c r="M88" s="373">
        <f t="shared" si="162"/>
        <v>0</v>
      </c>
      <c r="N88" s="374">
        <f t="shared" si="163"/>
        <v>0</v>
      </c>
      <c r="O88" s="374">
        <f t="shared" si="163"/>
        <v>0</v>
      </c>
      <c r="P88" s="375">
        <f t="shared" si="163"/>
        <v>0</v>
      </c>
      <c r="Q88" s="376">
        <f t="shared" si="164"/>
        <v>0</v>
      </c>
      <c r="R88" s="374">
        <f t="shared" si="165"/>
        <v>0</v>
      </c>
      <c r="S88" s="377"/>
      <c r="T88" s="377"/>
      <c r="U88" s="377"/>
      <c r="V88" s="378">
        <f t="shared" si="108"/>
        <v>0</v>
      </c>
      <c r="W88" s="379">
        <v>62.7</v>
      </c>
      <c r="X88" s="380"/>
      <c r="Y88" s="376">
        <f t="shared" si="166"/>
        <v>0</v>
      </c>
      <c r="Z88" s="374">
        <f t="shared" si="167"/>
        <v>0</v>
      </c>
      <c r="AA88" s="381"/>
      <c r="AB88" s="381"/>
      <c r="AC88" s="382"/>
      <c r="AD88" s="376">
        <f t="shared" si="168"/>
        <v>0</v>
      </c>
      <c r="AE88" s="374">
        <f t="shared" si="169"/>
        <v>0</v>
      </c>
      <c r="AF88" s="381"/>
      <c r="AG88" s="381"/>
      <c r="AH88" s="383"/>
      <c r="AI88" s="555">
        <f t="shared" si="170"/>
        <v>0</v>
      </c>
      <c r="AJ88" s="385"/>
      <c r="AK88" s="386"/>
      <c r="AL88" s="387"/>
      <c r="AM88" s="434">
        <f t="shared" si="125"/>
        <v>0</v>
      </c>
      <c r="AN88" s="389"/>
      <c r="AO88" s="435"/>
      <c r="AP88" s="435"/>
      <c r="AQ88" s="435"/>
      <c r="AR88" s="346" t="e">
        <f t="shared" si="126"/>
        <v>#DIV/0!</v>
      </c>
      <c r="AS88" s="436"/>
      <c r="AT88" s="392">
        <v>36</v>
      </c>
      <c r="AU88" s="48"/>
      <c r="AV88" s="48"/>
      <c r="AW88" s="52"/>
      <c r="AX88" s="393" t="e">
        <f t="shared" si="127"/>
        <v>#DIV/0!</v>
      </c>
      <c r="AY88" s="77">
        <v>428</v>
      </c>
      <c r="AZ88" s="556">
        <f t="shared" si="171"/>
        <v>0</v>
      </c>
      <c r="BA88" s="395"/>
      <c r="BB88" s="396"/>
      <c r="BC88" s="397"/>
      <c r="BD88" s="398">
        <f t="shared" si="136"/>
        <v>26</v>
      </c>
      <c r="BE88" s="399">
        <f t="shared" si="137"/>
        <v>18</v>
      </c>
      <c r="BF88" s="400">
        <v>8</v>
      </c>
      <c r="BG88" s="400">
        <v>10</v>
      </c>
      <c r="BH88" s="401">
        <v>8</v>
      </c>
      <c r="BI88" s="402">
        <f t="shared" si="172"/>
        <v>21</v>
      </c>
      <c r="BJ88" s="403">
        <v>20</v>
      </c>
      <c r="BK88" s="403">
        <v>1</v>
      </c>
      <c r="BL88" s="534">
        <v>10</v>
      </c>
      <c r="BM88" s="406">
        <f t="shared" si="139"/>
        <v>10</v>
      </c>
      <c r="BN88" s="407">
        <f t="shared" si="129"/>
        <v>9</v>
      </c>
      <c r="BO88" s="12">
        <v>6</v>
      </c>
      <c r="BP88" s="12">
        <v>3</v>
      </c>
      <c r="BQ88" s="12">
        <v>1</v>
      </c>
      <c r="BR88" s="408">
        <f t="shared" si="116"/>
        <v>0.47619047619047616</v>
      </c>
      <c r="BS88" s="409">
        <f t="shared" si="140"/>
        <v>0</v>
      </c>
      <c r="BT88" s="410"/>
      <c r="BU88" s="411"/>
      <c r="BV88" s="438"/>
      <c r="BW88" s="412">
        <f t="shared" si="141"/>
        <v>0</v>
      </c>
    </row>
    <row r="89" spans="1:76" ht="16.899999999999999" customHeight="1" x14ac:dyDescent="0.3">
      <c r="A89" s="8" t="s">
        <v>33</v>
      </c>
      <c r="B89" s="9" t="s">
        <v>35</v>
      </c>
      <c r="C89" s="9" t="s">
        <v>132</v>
      </c>
      <c r="D89" s="25" t="s">
        <v>133</v>
      </c>
      <c r="E89" s="10" t="s">
        <v>103</v>
      </c>
      <c r="F89" s="59">
        <v>25</v>
      </c>
      <c r="G89" s="369">
        <f t="shared" si="160"/>
        <v>0</v>
      </c>
      <c r="H89" s="553">
        <v>25</v>
      </c>
      <c r="I89" s="371">
        <v>17</v>
      </c>
      <c r="J89" s="371">
        <v>8</v>
      </c>
      <c r="K89" s="554">
        <v>5</v>
      </c>
      <c r="L89" s="373">
        <f t="shared" si="161"/>
        <v>0</v>
      </c>
      <c r="M89" s="373">
        <f t="shared" si="162"/>
        <v>0</v>
      </c>
      <c r="N89" s="374">
        <f t="shared" si="163"/>
        <v>0</v>
      </c>
      <c r="O89" s="374">
        <f t="shared" si="163"/>
        <v>0</v>
      </c>
      <c r="P89" s="375">
        <f t="shared" si="163"/>
        <v>0</v>
      </c>
      <c r="Q89" s="376">
        <f t="shared" si="164"/>
        <v>0</v>
      </c>
      <c r="R89" s="374">
        <f t="shared" si="165"/>
        <v>0</v>
      </c>
      <c r="S89" s="377"/>
      <c r="T89" s="377"/>
      <c r="U89" s="377"/>
      <c r="V89" s="378">
        <f t="shared" si="108"/>
        <v>0</v>
      </c>
      <c r="W89" s="379">
        <v>64.900000000000006</v>
      </c>
      <c r="X89" s="380"/>
      <c r="Y89" s="376">
        <f t="shared" si="166"/>
        <v>0</v>
      </c>
      <c r="Z89" s="374">
        <f t="shared" si="167"/>
        <v>0</v>
      </c>
      <c r="AA89" s="381"/>
      <c r="AB89" s="381"/>
      <c r="AC89" s="382"/>
      <c r="AD89" s="376">
        <f t="shared" si="168"/>
        <v>0</v>
      </c>
      <c r="AE89" s="374">
        <f t="shared" si="169"/>
        <v>0</v>
      </c>
      <c r="AF89" s="381"/>
      <c r="AG89" s="381"/>
      <c r="AH89" s="383"/>
      <c r="AI89" s="555">
        <f t="shared" si="170"/>
        <v>0</v>
      </c>
      <c r="AJ89" s="385"/>
      <c r="AK89" s="386"/>
      <c r="AL89" s="387"/>
      <c r="AM89" s="434">
        <f t="shared" si="125"/>
        <v>0</v>
      </c>
      <c r="AN89" s="389"/>
      <c r="AO89" s="435"/>
      <c r="AP89" s="435"/>
      <c r="AQ89" s="435"/>
      <c r="AR89" s="346" t="e">
        <f t="shared" si="126"/>
        <v>#DIV/0!</v>
      </c>
      <c r="AS89" s="436"/>
      <c r="AT89" s="392">
        <v>22</v>
      </c>
      <c r="AU89" s="48"/>
      <c r="AV89" s="48"/>
      <c r="AW89" s="52"/>
      <c r="AX89" s="393" t="e">
        <f t="shared" si="127"/>
        <v>#DIV/0!</v>
      </c>
      <c r="AY89" s="77">
        <v>454</v>
      </c>
      <c r="AZ89" s="556">
        <f t="shared" si="171"/>
        <v>0</v>
      </c>
      <c r="BA89" s="395"/>
      <c r="BB89" s="396"/>
      <c r="BC89" s="397"/>
      <c r="BD89" s="398">
        <f t="shared" si="136"/>
        <v>2</v>
      </c>
      <c r="BE89" s="399">
        <f t="shared" si="137"/>
        <v>0</v>
      </c>
      <c r="BF89" s="400">
        <v>0</v>
      </c>
      <c r="BG89" s="400">
        <v>0</v>
      </c>
      <c r="BH89" s="401">
        <v>2</v>
      </c>
      <c r="BI89" s="402">
        <f t="shared" si="172"/>
        <v>2</v>
      </c>
      <c r="BJ89" s="403">
        <v>1</v>
      </c>
      <c r="BK89" s="403">
        <v>1</v>
      </c>
      <c r="BL89" s="534">
        <v>3</v>
      </c>
      <c r="BM89" s="406">
        <f t="shared" si="139"/>
        <v>8</v>
      </c>
      <c r="BN89" s="407">
        <f t="shared" si="129"/>
        <v>7</v>
      </c>
      <c r="BO89" s="12">
        <v>7</v>
      </c>
      <c r="BP89" s="12">
        <v>0</v>
      </c>
      <c r="BQ89" s="12">
        <v>1</v>
      </c>
      <c r="BR89" s="408">
        <f t="shared" si="116"/>
        <v>4</v>
      </c>
      <c r="BS89" s="409">
        <f t="shared" si="140"/>
        <v>0</v>
      </c>
      <c r="BT89" s="410"/>
      <c r="BU89" s="411"/>
      <c r="BV89" s="438"/>
      <c r="BW89" s="412">
        <f t="shared" si="141"/>
        <v>0</v>
      </c>
    </row>
    <row r="90" spans="1:76" ht="16.899999999999999" customHeight="1" x14ac:dyDescent="0.3">
      <c r="A90" s="8" t="s">
        <v>33</v>
      </c>
      <c r="B90" s="9" t="s">
        <v>35</v>
      </c>
      <c r="C90" s="9" t="s">
        <v>132</v>
      </c>
      <c r="D90" s="25" t="s">
        <v>135</v>
      </c>
      <c r="E90" s="10" t="s">
        <v>103</v>
      </c>
      <c r="F90" s="59">
        <v>60</v>
      </c>
      <c r="G90" s="369">
        <f t="shared" si="160"/>
        <v>0</v>
      </c>
      <c r="H90" s="553">
        <v>60</v>
      </c>
      <c r="I90" s="371">
        <v>42</v>
      </c>
      <c r="J90" s="371">
        <v>18</v>
      </c>
      <c r="K90" s="554">
        <v>12</v>
      </c>
      <c r="L90" s="373">
        <f t="shared" si="161"/>
        <v>0</v>
      </c>
      <c r="M90" s="373">
        <f t="shared" si="162"/>
        <v>0</v>
      </c>
      <c r="N90" s="374">
        <f t="shared" si="163"/>
        <v>0</v>
      </c>
      <c r="O90" s="374">
        <f t="shared" si="163"/>
        <v>0</v>
      </c>
      <c r="P90" s="375">
        <f t="shared" si="163"/>
        <v>0</v>
      </c>
      <c r="Q90" s="376">
        <f t="shared" si="164"/>
        <v>0</v>
      </c>
      <c r="R90" s="374">
        <f t="shared" si="165"/>
        <v>0</v>
      </c>
      <c r="S90" s="377"/>
      <c r="T90" s="377"/>
      <c r="U90" s="377"/>
      <c r="V90" s="378">
        <f t="shared" si="108"/>
        <v>0</v>
      </c>
      <c r="W90" s="379">
        <v>92.1</v>
      </c>
      <c r="X90" s="380"/>
      <c r="Y90" s="376">
        <f t="shared" si="166"/>
        <v>0</v>
      </c>
      <c r="Z90" s="374">
        <f t="shared" si="167"/>
        <v>0</v>
      </c>
      <c r="AA90" s="381"/>
      <c r="AB90" s="381"/>
      <c r="AC90" s="382"/>
      <c r="AD90" s="376">
        <f t="shared" si="168"/>
        <v>0</v>
      </c>
      <c r="AE90" s="374">
        <f t="shared" si="169"/>
        <v>0</v>
      </c>
      <c r="AF90" s="381"/>
      <c r="AG90" s="381"/>
      <c r="AH90" s="383"/>
      <c r="AI90" s="555">
        <f t="shared" si="170"/>
        <v>0</v>
      </c>
      <c r="AJ90" s="385"/>
      <c r="AK90" s="386"/>
      <c r="AL90" s="387"/>
      <c r="AM90" s="434">
        <f t="shared" si="125"/>
        <v>0</v>
      </c>
      <c r="AN90" s="389"/>
      <c r="AO90" s="435"/>
      <c r="AP90" s="435"/>
      <c r="AQ90" s="435"/>
      <c r="AR90" s="346" t="e">
        <f t="shared" si="126"/>
        <v>#DIV/0!</v>
      </c>
      <c r="AS90" s="436"/>
      <c r="AT90" s="392">
        <v>60</v>
      </c>
      <c r="AU90" s="48"/>
      <c r="AV90" s="48"/>
      <c r="AW90" s="52"/>
      <c r="AX90" s="393" t="e">
        <f t="shared" si="127"/>
        <v>#DIV/0!</v>
      </c>
      <c r="AY90" s="77">
        <v>226</v>
      </c>
      <c r="AZ90" s="556">
        <f t="shared" si="171"/>
        <v>0</v>
      </c>
      <c r="BA90" s="395"/>
      <c r="BB90" s="396"/>
      <c r="BC90" s="397"/>
      <c r="BD90" s="398">
        <f t="shared" si="136"/>
        <v>2</v>
      </c>
      <c r="BE90" s="399">
        <f t="shared" si="137"/>
        <v>0</v>
      </c>
      <c r="BF90" s="400">
        <v>0</v>
      </c>
      <c r="BG90" s="400">
        <v>0</v>
      </c>
      <c r="BH90" s="401">
        <v>2</v>
      </c>
      <c r="BI90" s="402">
        <f t="shared" si="172"/>
        <v>3</v>
      </c>
      <c r="BJ90" s="403">
        <v>2</v>
      </c>
      <c r="BK90" s="403">
        <v>1</v>
      </c>
      <c r="BL90" s="534">
        <v>4</v>
      </c>
      <c r="BM90" s="406">
        <f t="shared" si="139"/>
        <v>48</v>
      </c>
      <c r="BN90" s="407">
        <f t="shared" si="129"/>
        <v>45</v>
      </c>
      <c r="BO90" s="12">
        <v>32</v>
      </c>
      <c r="BP90" s="12">
        <v>13</v>
      </c>
      <c r="BQ90" s="12">
        <v>3</v>
      </c>
      <c r="BR90" s="408">
        <f t="shared" si="116"/>
        <v>16</v>
      </c>
      <c r="BS90" s="409">
        <f t="shared" si="140"/>
        <v>0</v>
      </c>
      <c r="BT90" s="410"/>
      <c r="BU90" s="411"/>
      <c r="BV90" s="438"/>
      <c r="BW90" s="412">
        <f t="shared" si="141"/>
        <v>0</v>
      </c>
    </row>
    <row r="91" spans="1:76" ht="16.899999999999999" customHeight="1" x14ac:dyDescent="0.3">
      <c r="A91" s="8" t="s">
        <v>33</v>
      </c>
      <c r="B91" s="9" t="s">
        <v>35</v>
      </c>
      <c r="C91" s="9" t="s">
        <v>110</v>
      </c>
      <c r="D91" s="25" t="s">
        <v>172</v>
      </c>
      <c r="E91" s="10" t="s">
        <v>103</v>
      </c>
      <c r="F91" s="59">
        <v>25</v>
      </c>
      <c r="G91" s="369">
        <f t="shared" si="160"/>
        <v>0</v>
      </c>
      <c r="H91" s="553">
        <v>25</v>
      </c>
      <c r="I91" s="371">
        <v>17</v>
      </c>
      <c r="J91" s="371">
        <v>8</v>
      </c>
      <c r="K91" s="554">
        <v>5</v>
      </c>
      <c r="L91" s="373">
        <f t="shared" si="161"/>
        <v>0</v>
      </c>
      <c r="M91" s="373">
        <f t="shared" si="162"/>
        <v>0</v>
      </c>
      <c r="N91" s="374">
        <f t="shared" si="163"/>
        <v>0</v>
      </c>
      <c r="O91" s="374">
        <f t="shared" si="163"/>
        <v>0</v>
      </c>
      <c r="P91" s="375">
        <f t="shared" si="163"/>
        <v>0</v>
      </c>
      <c r="Q91" s="376">
        <f t="shared" si="164"/>
        <v>0</v>
      </c>
      <c r="R91" s="374">
        <f t="shared" si="165"/>
        <v>0</v>
      </c>
      <c r="S91" s="377"/>
      <c r="T91" s="377"/>
      <c r="U91" s="377"/>
      <c r="V91" s="378">
        <f t="shared" si="108"/>
        <v>0</v>
      </c>
      <c r="W91" s="379">
        <v>85</v>
      </c>
      <c r="X91" s="380"/>
      <c r="Y91" s="376">
        <f t="shared" si="166"/>
        <v>0</v>
      </c>
      <c r="Z91" s="374">
        <f t="shared" si="167"/>
        <v>0</v>
      </c>
      <c r="AA91" s="381"/>
      <c r="AB91" s="381"/>
      <c r="AC91" s="382"/>
      <c r="AD91" s="376">
        <f t="shared" si="168"/>
        <v>0</v>
      </c>
      <c r="AE91" s="374">
        <f t="shared" si="169"/>
        <v>0</v>
      </c>
      <c r="AF91" s="381"/>
      <c r="AG91" s="381"/>
      <c r="AH91" s="383"/>
      <c r="AI91" s="555">
        <f t="shared" si="170"/>
        <v>0</v>
      </c>
      <c r="AJ91" s="385"/>
      <c r="AK91" s="386"/>
      <c r="AL91" s="387"/>
      <c r="AM91" s="434">
        <f t="shared" si="125"/>
        <v>0</v>
      </c>
      <c r="AN91" s="389"/>
      <c r="AO91" s="435"/>
      <c r="AP91" s="435"/>
      <c r="AQ91" s="435"/>
      <c r="AR91" s="346" t="e">
        <f t="shared" si="126"/>
        <v>#DIV/0!</v>
      </c>
      <c r="AS91" s="436"/>
      <c r="AT91" s="392">
        <v>15</v>
      </c>
      <c r="AU91" s="48"/>
      <c r="AV91" s="48"/>
      <c r="AW91" s="52"/>
      <c r="AX91" s="393" t="e">
        <f t="shared" si="127"/>
        <v>#DIV/0!</v>
      </c>
      <c r="AY91" s="77">
        <v>437</v>
      </c>
      <c r="AZ91" s="556">
        <f t="shared" si="171"/>
        <v>0</v>
      </c>
      <c r="BA91" s="395"/>
      <c r="BB91" s="396"/>
      <c r="BC91" s="397"/>
      <c r="BD91" s="398">
        <f t="shared" si="136"/>
        <v>9</v>
      </c>
      <c r="BE91" s="399">
        <f t="shared" si="137"/>
        <v>7</v>
      </c>
      <c r="BF91" s="400">
        <v>6</v>
      </c>
      <c r="BG91" s="400">
        <v>1</v>
      </c>
      <c r="BH91" s="401">
        <v>2</v>
      </c>
      <c r="BI91" s="402">
        <f t="shared" si="172"/>
        <v>9</v>
      </c>
      <c r="BJ91" s="403">
        <v>7</v>
      </c>
      <c r="BK91" s="403">
        <v>2</v>
      </c>
      <c r="BL91" s="534">
        <v>3</v>
      </c>
      <c r="BM91" s="406">
        <f t="shared" si="139"/>
        <v>7</v>
      </c>
      <c r="BN91" s="407">
        <f t="shared" si="129"/>
        <v>7</v>
      </c>
      <c r="BO91" s="12">
        <v>7</v>
      </c>
      <c r="BP91" s="12">
        <v>0</v>
      </c>
      <c r="BQ91" s="12">
        <v>0</v>
      </c>
      <c r="BR91" s="408">
        <f t="shared" si="116"/>
        <v>0.77777777777777779</v>
      </c>
      <c r="BS91" s="409">
        <f t="shared" si="140"/>
        <v>0</v>
      </c>
      <c r="BT91" s="410"/>
      <c r="BU91" s="411"/>
      <c r="BV91" s="438"/>
      <c r="BW91" s="412">
        <f t="shared" si="141"/>
        <v>0</v>
      </c>
    </row>
    <row r="92" spans="1:76" ht="16.899999999999999" customHeight="1" x14ac:dyDescent="0.3">
      <c r="A92" s="8" t="s">
        <v>33</v>
      </c>
      <c r="B92" s="9" t="s">
        <v>35</v>
      </c>
      <c r="C92" s="9" t="s">
        <v>115</v>
      </c>
      <c r="D92" s="25" t="s">
        <v>173</v>
      </c>
      <c r="E92" s="10" t="s">
        <v>103</v>
      </c>
      <c r="F92" s="59">
        <v>50</v>
      </c>
      <c r="G92" s="369">
        <f t="shared" si="160"/>
        <v>0</v>
      </c>
      <c r="H92" s="553">
        <v>50</v>
      </c>
      <c r="I92" s="371">
        <v>35</v>
      </c>
      <c r="J92" s="371">
        <v>15</v>
      </c>
      <c r="K92" s="554">
        <v>10</v>
      </c>
      <c r="L92" s="373">
        <f t="shared" si="161"/>
        <v>0</v>
      </c>
      <c r="M92" s="373">
        <f t="shared" si="162"/>
        <v>0</v>
      </c>
      <c r="N92" s="374">
        <f t="shared" si="163"/>
        <v>0</v>
      </c>
      <c r="O92" s="374">
        <f t="shared" si="163"/>
        <v>0</v>
      </c>
      <c r="P92" s="375">
        <f t="shared" si="163"/>
        <v>0</v>
      </c>
      <c r="Q92" s="376">
        <f t="shared" si="164"/>
        <v>0</v>
      </c>
      <c r="R92" s="374">
        <f t="shared" si="165"/>
        <v>0</v>
      </c>
      <c r="S92" s="377"/>
      <c r="T92" s="377"/>
      <c r="U92" s="377"/>
      <c r="V92" s="378">
        <f t="shared" si="108"/>
        <v>0</v>
      </c>
      <c r="W92" s="379">
        <v>77.2</v>
      </c>
      <c r="X92" s="380"/>
      <c r="Y92" s="376">
        <f t="shared" si="166"/>
        <v>0</v>
      </c>
      <c r="Z92" s="374">
        <f t="shared" si="167"/>
        <v>0</v>
      </c>
      <c r="AA92" s="381"/>
      <c r="AB92" s="381"/>
      <c r="AC92" s="382"/>
      <c r="AD92" s="376">
        <f t="shared" si="168"/>
        <v>0</v>
      </c>
      <c r="AE92" s="374">
        <f t="shared" si="169"/>
        <v>0</v>
      </c>
      <c r="AF92" s="381"/>
      <c r="AG92" s="381"/>
      <c r="AH92" s="383"/>
      <c r="AI92" s="555">
        <f t="shared" si="170"/>
        <v>0</v>
      </c>
      <c r="AJ92" s="385"/>
      <c r="AK92" s="386"/>
      <c r="AL92" s="387"/>
      <c r="AM92" s="434">
        <f t="shared" si="125"/>
        <v>0</v>
      </c>
      <c r="AN92" s="389"/>
      <c r="AO92" s="435"/>
      <c r="AP92" s="435"/>
      <c r="AQ92" s="435"/>
      <c r="AR92" s="346" t="e">
        <f t="shared" si="126"/>
        <v>#DIV/0!</v>
      </c>
      <c r="AS92" s="436"/>
      <c r="AT92" s="392">
        <v>48</v>
      </c>
      <c r="AU92" s="48"/>
      <c r="AV92" s="48"/>
      <c r="AW92" s="52"/>
      <c r="AX92" s="393" t="e">
        <f t="shared" si="127"/>
        <v>#DIV/0!</v>
      </c>
      <c r="AY92" s="77">
        <v>470</v>
      </c>
      <c r="AZ92" s="556">
        <f t="shared" si="171"/>
        <v>0</v>
      </c>
      <c r="BA92" s="395"/>
      <c r="BB92" s="396"/>
      <c r="BC92" s="397"/>
      <c r="BD92" s="398">
        <f t="shared" si="136"/>
        <v>2</v>
      </c>
      <c r="BE92" s="399">
        <f t="shared" si="137"/>
        <v>2</v>
      </c>
      <c r="BF92" s="400">
        <v>2</v>
      </c>
      <c r="BG92" s="400">
        <v>0</v>
      </c>
      <c r="BH92" s="401">
        <v>0</v>
      </c>
      <c r="BI92" s="402">
        <f t="shared" si="172"/>
        <v>5</v>
      </c>
      <c r="BJ92" s="403">
        <v>4</v>
      </c>
      <c r="BK92" s="403">
        <v>1</v>
      </c>
      <c r="BL92" s="534">
        <v>2</v>
      </c>
      <c r="BM92" s="406">
        <f t="shared" si="139"/>
        <v>28</v>
      </c>
      <c r="BN92" s="407">
        <f t="shared" si="129"/>
        <v>22</v>
      </c>
      <c r="BO92" s="12">
        <v>13</v>
      </c>
      <c r="BP92" s="12">
        <v>9</v>
      </c>
      <c r="BQ92" s="12">
        <v>6</v>
      </c>
      <c r="BR92" s="408">
        <f t="shared" si="116"/>
        <v>5.6</v>
      </c>
      <c r="BS92" s="409">
        <f t="shared" si="140"/>
        <v>0</v>
      </c>
      <c r="BT92" s="410"/>
      <c r="BU92" s="411"/>
      <c r="BV92" s="438"/>
      <c r="BW92" s="412">
        <f t="shared" si="141"/>
        <v>0</v>
      </c>
    </row>
    <row r="93" spans="1:76" ht="16.899999999999999" customHeight="1" x14ac:dyDescent="0.3">
      <c r="A93" s="8" t="s">
        <v>33</v>
      </c>
      <c r="B93" s="9" t="s">
        <v>35</v>
      </c>
      <c r="C93" s="9" t="s">
        <v>115</v>
      </c>
      <c r="D93" s="25" t="s">
        <v>173</v>
      </c>
      <c r="E93" s="10" t="s">
        <v>137</v>
      </c>
      <c r="F93" s="59">
        <v>25</v>
      </c>
      <c r="G93" s="369">
        <f t="shared" si="160"/>
        <v>0</v>
      </c>
      <c r="H93" s="553">
        <v>25</v>
      </c>
      <c r="I93" s="371">
        <v>0</v>
      </c>
      <c r="J93" s="371">
        <v>25</v>
      </c>
      <c r="K93" s="554">
        <v>5</v>
      </c>
      <c r="L93" s="373">
        <f t="shared" si="161"/>
        <v>0</v>
      </c>
      <c r="M93" s="373">
        <f t="shared" si="162"/>
        <v>0</v>
      </c>
      <c r="N93" s="374">
        <f t="shared" si="163"/>
        <v>0</v>
      </c>
      <c r="O93" s="374">
        <f t="shared" si="163"/>
        <v>0</v>
      </c>
      <c r="P93" s="375">
        <f t="shared" si="163"/>
        <v>0</v>
      </c>
      <c r="Q93" s="376">
        <f t="shared" si="164"/>
        <v>0</v>
      </c>
      <c r="R93" s="374">
        <f t="shared" si="165"/>
        <v>0</v>
      </c>
      <c r="S93" s="377"/>
      <c r="T93" s="377"/>
      <c r="U93" s="377"/>
      <c r="V93" s="378">
        <f t="shared" si="108"/>
        <v>0</v>
      </c>
      <c r="W93" s="379">
        <v>93.2</v>
      </c>
      <c r="X93" s="380"/>
      <c r="Y93" s="376">
        <f t="shared" si="166"/>
        <v>0</v>
      </c>
      <c r="Z93" s="374">
        <f t="shared" si="167"/>
        <v>0</v>
      </c>
      <c r="AA93" s="381"/>
      <c r="AB93" s="381"/>
      <c r="AC93" s="382"/>
      <c r="AD93" s="376">
        <f t="shared" si="168"/>
        <v>0</v>
      </c>
      <c r="AE93" s="374">
        <f t="shared" si="169"/>
        <v>0</v>
      </c>
      <c r="AF93" s="381"/>
      <c r="AG93" s="381"/>
      <c r="AH93" s="383"/>
      <c r="AI93" s="557">
        <f t="shared" si="170"/>
        <v>0</v>
      </c>
      <c r="AJ93" s="558"/>
      <c r="AK93" s="559"/>
      <c r="AL93" s="560"/>
      <c r="AM93" s="434">
        <f t="shared" si="125"/>
        <v>0</v>
      </c>
      <c r="AN93" s="389"/>
      <c r="AO93" s="435"/>
      <c r="AP93" s="435"/>
      <c r="AQ93" s="435"/>
      <c r="AR93" s="346" t="e">
        <f t="shared" si="126"/>
        <v>#DIV/0!</v>
      </c>
      <c r="AS93" s="436"/>
      <c r="AT93" s="392">
        <v>19</v>
      </c>
      <c r="AU93" s="48"/>
      <c r="AV93" s="48"/>
      <c r="AW93" s="52"/>
      <c r="AX93" s="393" t="e">
        <f t="shared" si="127"/>
        <v>#DIV/0!</v>
      </c>
      <c r="AY93" s="77">
        <v>78</v>
      </c>
      <c r="AZ93" s="556">
        <f t="shared" si="171"/>
        <v>0</v>
      </c>
      <c r="BA93" s="395"/>
      <c r="BB93" s="396"/>
      <c r="BC93" s="397"/>
      <c r="BD93" s="398">
        <f t="shared" si="136"/>
        <v>5</v>
      </c>
      <c r="BE93" s="399">
        <f t="shared" si="137"/>
        <v>5</v>
      </c>
      <c r="BF93" s="400">
        <v>0</v>
      </c>
      <c r="BG93" s="400">
        <v>5</v>
      </c>
      <c r="BH93" s="401">
        <v>0</v>
      </c>
      <c r="BI93" s="402">
        <f t="shared" si="172"/>
        <v>7</v>
      </c>
      <c r="BJ93" s="403">
        <v>0</v>
      </c>
      <c r="BK93" s="403">
        <v>7</v>
      </c>
      <c r="BL93" s="534">
        <v>1</v>
      </c>
      <c r="BM93" s="406">
        <f t="shared" si="139"/>
        <v>8</v>
      </c>
      <c r="BN93" s="407">
        <f t="shared" si="129"/>
        <v>5</v>
      </c>
      <c r="BO93" s="12">
        <v>0</v>
      </c>
      <c r="BP93" s="12">
        <v>5</v>
      </c>
      <c r="BQ93" s="12">
        <v>3</v>
      </c>
      <c r="BR93" s="408">
        <f t="shared" si="116"/>
        <v>1.1428571428571428</v>
      </c>
      <c r="BS93" s="409">
        <f t="shared" si="140"/>
        <v>0</v>
      </c>
      <c r="BT93" s="410"/>
      <c r="BU93" s="411"/>
      <c r="BV93" s="438"/>
      <c r="BW93" s="412">
        <f t="shared" si="141"/>
        <v>0</v>
      </c>
    </row>
    <row r="94" spans="1:76" ht="16.899999999999999" customHeight="1" x14ac:dyDescent="0.3">
      <c r="A94" s="4" t="s">
        <v>33</v>
      </c>
      <c r="B94" s="5" t="s">
        <v>36</v>
      </c>
      <c r="C94" s="5"/>
      <c r="D94" s="13" t="s">
        <v>21</v>
      </c>
      <c r="E94" s="6"/>
      <c r="F94" s="58">
        <f t="shared" ref="F94:U94" si="173">SUM(F95:F102)</f>
        <v>200</v>
      </c>
      <c r="G94" s="7">
        <f t="shared" si="173"/>
        <v>0</v>
      </c>
      <c r="H94" s="7">
        <f t="shared" si="173"/>
        <v>200</v>
      </c>
      <c r="I94" s="67">
        <f t="shared" si="173"/>
        <v>136</v>
      </c>
      <c r="J94" s="67">
        <f t="shared" si="173"/>
        <v>64</v>
      </c>
      <c r="K94" s="70">
        <f t="shared" si="173"/>
        <v>40</v>
      </c>
      <c r="L94" s="413">
        <f t="shared" si="173"/>
        <v>0</v>
      </c>
      <c r="M94" s="413">
        <f t="shared" si="173"/>
        <v>0</v>
      </c>
      <c r="N94" s="413">
        <f t="shared" si="173"/>
        <v>0</v>
      </c>
      <c r="O94" s="413">
        <f t="shared" si="173"/>
        <v>0</v>
      </c>
      <c r="P94" s="414">
        <f t="shared" si="173"/>
        <v>0</v>
      </c>
      <c r="Q94" s="415">
        <f t="shared" si="173"/>
        <v>0</v>
      </c>
      <c r="R94" s="416">
        <f t="shared" si="173"/>
        <v>0</v>
      </c>
      <c r="S94" s="416">
        <f t="shared" si="173"/>
        <v>0</v>
      </c>
      <c r="T94" s="416">
        <f t="shared" si="173"/>
        <v>0</v>
      </c>
      <c r="U94" s="416">
        <f t="shared" si="173"/>
        <v>0</v>
      </c>
      <c r="V94" s="334">
        <f t="shared" ref="V94:V125" si="174">Q94/H94</f>
        <v>0</v>
      </c>
      <c r="W94" s="335">
        <f t="shared" ref="W94:AI94" si="175">SUM(W95:W102)</f>
        <v>579.20000000000005</v>
      </c>
      <c r="X94" s="413">
        <f t="shared" si="175"/>
        <v>0</v>
      </c>
      <c r="Y94" s="415">
        <f t="shared" si="175"/>
        <v>0</v>
      </c>
      <c r="Z94" s="416">
        <f t="shared" si="175"/>
        <v>0</v>
      </c>
      <c r="AA94" s="416">
        <f t="shared" si="175"/>
        <v>0</v>
      </c>
      <c r="AB94" s="416">
        <f t="shared" si="175"/>
        <v>0</v>
      </c>
      <c r="AC94" s="417">
        <f t="shared" si="175"/>
        <v>0</v>
      </c>
      <c r="AD94" s="415">
        <f t="shared" si="175"/>
        <v>0</v>
      </c>
      <c r="AE94" s="416">
        <f t="shared" si="175"/>
        <v>0</v>
      </c>
      <c r="AF94" s="416">
        <f t="shared" si="175"/>
        <v>0</v>
      </c>
      <c r="AG94" s="416">
        <f t="shared" si="175"/>
        <v>0</v>
      </c>
      <c r="AH94" s="418">
        <f t="shared" si="175"/>
        <v>0</v>
      </c>
      <c r="AI94" s="339">
        <f t="shared" si="175"/>
        <v>0</v>
      </c>
      <c r="AJ94" s="340"/>
      <c r="AK94" s="341"/>
      <c r="AL94" s="342"/>
      <c r="AM94" s="420">
        <f t="shared" si="125"/>
        <v>0</v>
      </c>
      <c r="AN94" s="344"/>
      <c r="AO94" s="440"/>
      <c r="AP94" s="440"/>
      <c r="AQ94" s="440"/>
      <c r="AR94" s="346" t="e">
        <f t="shared" si="126"/>
        <v>#DIV/0!</v>
      </c>
      <c r="AS94" s="424">
        <v>1.1439999999999999</v>
      </c>
      <c r="AT94" s="441">
        <f>SUM(AT95:AT102)</f>
        <v>114</v>
      </c>
      <c r="AU94" s="361"/>
      <c r="AV94" s="361"/>
      <c r="AW94" s="444"/>
      <c r="AX94" s="352" t="e">
        <f t="shared" si="127"/>
        <v>#DIV/0!</v>
      </c>
      <c r="AY94" s="427">
        <v>0.68899999999999995</v>
      </c>
      <c r="AZ94" s="354">
        <f>SUM(AZ95:AZ102)</f>
        <v>0</v>
      </c>
      <c r="BA94" s="340"/>
      <c r="BB94" s="340"/>
      <c r="BC94" s="355"/>
      <c r="BD94" s="356">
        <f t="shared" si="136"/>
        <v>54</v>
      </c>
      <c r="BE94" s="445">
        <f t="shared" si="137"/>
        <v>46</v>
      </c>
      <c r="BF94" s="446">
        <f t="shared" ref="BF94:BL94" si="176">SUM(BF95:BF102)</f>
        <v>29</v>
      </c>
      <c r="BG94" s="446">
        <f t="shared" si="176"/>
        <v>17</v>
      </c>
      <c r="BH94" s="447">
        <f t="shared" si="176"/>
        <v>8</v>
      </c>
      <c r="BI94" s="359">
        <f t="shared" si="176"/>
        <v>70</v>
      </c>
      <c r="BJ94" s="360">
        <f t="shared" si="176"/>
        <v>45</v>
      </c>
      <c r="BK94" s="361">
        <f t="shared" si="176"/>
        <v>25</v>
      </c>
      <c r="BL94" s="362">
        <f t="shared" si="176"/>
        <v>24</v>
      </c>
      <c r="BM94" s="363">
        <f t="shared" si="139"/>
        <v>115</v>
      </c>
      <c r="BN94" s="356">
        <f t="shared" si="129"/>
        <v>104</v>
      </c>
      <c r="BO94" s="446">
        <f>SUM(BO95:BO102)</f>
        <v>87</v>
      </c>
      <c r="BP94" s="446">
        <f>SUM(BP95:BP102)</f>
        <v>17</v>
      </c>
      <c r="BQ94" s="446">
        <f>SUM(BQ95:BQ102)</f>
        <v>11</v>
      </c>
      <c r="BR94" s="432">
        <f t="shared" si="116"/>
        <v>1.6428571428571428</v>
      </c>
      <c r="BS94" s="366">
        <f t="shared" si="140"/>
        <v>0</v>
      </c>
      <c r="BT94" s="367">
        <f>SUM(BT95:BT102)</f>
        <v>0</v>
      </c>
      <c r="BU94" s="367">
        <f>SUM(BU95:BU102)</f>
        <v>0</v>
      </c>
      <c r="BV94" s="367">
        <f>SUM(BV95:BV102)</f>
        <v>0</v>
      </c>
      <c r="BW94" s="368">
        <f t="shared" si="141"/>
        <v>0</v>
      </c>
      <c r="BX94" t="s">
        <v>36</v>
      </c>
    </row>
    <row r="95" spans="1:76" ht="16.899999999999999" customHeight="1" x14ac:dyDescent="0.3">
      <c r="A95" s="21" t="s">
        <v>33</v>
      </c>
      <c r="B95" s="22" t="s">
        <v>36</v>
      </c>
      <c r="C95" s="14" t="s">
        <v>110</v>
      </c>
      <c r="D95" s="43" t="s">
        <v>174</v>
      </c>
      <c r="E95" s="15" t="s">
        <v>103</v>
      </c>
      <c r="F95" s="59">
        <v>25</v>
      </c>
      <c r="G95" s="369">
        <f t="shared" ref="G95:G102" si="177">L95/F95</f>
        <v>0</v>
      </c>
      <c r="H95" s="553">
        <v>25</v>
      </c>
      <c r="I95" s="371">
        <v>17</v>
      </c>
      <c r="J95" s="371">
        <v>8</v>
      </c>
      <c r="K95" s="554">
        <v>5</v>
      </c>
      <c r="L95" s="373">
        <f t="shared" ref="L95:L102" si="178">N95+O95+P95</f>
        <v>0</v>
      </c>
      <c r="M95" s="373">
        <f t="shared" ref="M95:M102" si="179">N95+O95</f>
        <v>0</v>
      </c>
      <c r="N95" s="374">
        <f t="shared" ref="N95:P102" si="180">AA95+AF95</f>
        <v>0</v>
      </c>
      <c r="O95" s="374">
        <f t="shared" si="180"/>
        <v>0</v>
      </c>
      <c r="P95" s="375">
        <f t="shared" si="180"/>
        <v>0</v>
      </c>
      <c r="Q95" s="376">
        <f t="shared" ref="Q95:Q102" si="181">R95+U95</f>
        <v>0</v>
      </c>
      <c r="R95" s="374">
        <f t="shared" ref="R95:R102" si="182">S95+T95</f>
        <v>0</v>
      </c>
      <c r="S95" s="377"/>
      <c r="T95" s="377"/>
      <c r="U95" s="377"/>
      <c r="V95" s="378">
        <f t="shared" si="174"/>
        <v>0</v>
      </c>
      <c r="W95" s="379">
        <v>82.3</v>
      </c>
      <c r="X95" s="380"/>
      <c r="Y95" s="376">
        <f t="shared" ref="Y95:Y102" si="183">Z95+AC95</f>
        <v>0</v>
      </c>
      <c r="Z95" s="374">
        <f t="shared" ref="Z95:Z102" si="184">AA95+AB95</f>
        <v>0</v>
      </c>
      <c r="AA95" s="381"/>
      <c r="AB95" s="381"/>
      <c r="AC95" s="382"/>
      <c r="AD95" s="376">
        <f t="shared" ref="AD95:AD102" si="185">AE95+AH95</f>
        <v>0</v>
      </c>
      <c r="AE95" s="374">
        <f t="shared" ref="AE95:AE102" si="186">AF95+AG95</f>
        <v>0</v>
      </c>
      <c r="AF95" s="381"/>
      <c r="AG95" s="381"/>
      <c r="AH95" s="383"/>
      <c r="AI95" s="433">
        <f t="shared" ref="AI95:AI102" si="187">AJ95+AK95</f>
        <v>0</v>
      </c>
      <c r="AJ95" s="385"/>
      <c r="AK95" s="386"/>
      <c r="AL95" s="387"/>
      <c r="AM95" s="434">
        <f t="shared" si="125"/>
        <v>0</v>
      </c>
      <c r="AN95" s="389"/>
      <c r="AO95" s="435"/>
      <c r="AP95" s="435"/>
      <c r="AQ95" s="435"/>
      <c r="AR95" s="346" t="e">
        <f t="shared" si="126"/>
        <v>#DIV/0!</v>
      </c>
      <c r="AS95" s="436"/>
      <c r="AT95" s="392">
        <v>11</v>
      </c>
      <c r="AU95" s="50"/>
      <c r="AV95" s="50"/>
      <c r="AW95" s="53"/>
      <c r="AX95" s="393" t="e">
        <f t="shared" si="127"/>
        <v>#DIV/0!</v>
      </c>
      <c r="AY95" s="78">
        <v>92</v>
      </c>
      <c r="AZ95" s="437">
        <f t="shared" ref="AZ95:AZ102" si="188">BA95+BB95</f>
        <v>0</v>
      </c>
      <c r="BA95" s="395"/>
      <c r="BB95" s="396"/>
      <c r="BC95" s="397"/>
      <c r="BD95" s="399">
        <f t="shared" si="136"/>
        <v>10</v>
      </c>
      <c r="BE95" s="399">
        <f t="shared" si="137"/>
        <v>8</v>
      </c>
      <c r="BF95" s="400">
        <v>4</v>
      </c>
      <c r="BG95" s="400">
        <v>4</v>
      </c>
      <c r="BH95" s="401">
        <v>2</v>
      </c>
      <c r="BI95" s="402">
        <f t="shared" ref="BI95:BI102" si="189">SUM(BJ95:BK95)</f>
        <v>11</v>
      </c>
      <c r="BJ95" s="500">
        <v>6</v>
      </c>
      <c r="BK95" s="403">
        <v>5</v>
      </c>
      <c r="BL95" s="534">
        <v>4</v>
      </c>
      <c r="BM95" s="529">
        <f t="shared" si="139"/>
        <v>4</v>
      </c>
      <c r="BN95" s="407">
        <f t="shared" si="129"/>
        <v>4</v>
      </c>
      <c r="BO95" s="12">
        <v>4</v>
      </c>
      <c r="BP95" s="12">
        <v>0</v>
      </c>
      <c r="BQ95" s="12">
        <v>0</v>
      </c>
      <c r="BR95" s="408">
        <f t="shared" si="116"/>
        <v>0.36363636363636365</v>
      </c>
      <c r="BS95" s="409">
        <f t="shared" si="140"/>
        <v>0</v>
      </c>
      <c r="BT95" s="410"/>
      <c r="BU95" s="411"/>
      <c r="BV95" s="438"/>
      <c r="BW95" s="412">
        <f t="shared" si="141"/>
        <v>0</v>
      </c>
    </row>
    <row r="96" spans="1:76" ht="16.899999999999999" customHeight="1" x14ac:dyDescent="0.3">
      <c r="A96" s="21" t="s">
        <v>33</v>
      </c>
      <c r="B96" s="22" t="s">
        <v>36</v>
      </c>
      <c r="C96" s="14" t="s">
        <v>132</v>
      </c>
      <c r="D96" s="43" t="s">
        <v>175</v>
      </c>
      <c r="E96" s="15" t="s">
        <v>103</v>
      </c>
      <c r="F96" s="59">
        <v>25</v>
      </c>
      <c r="G96" s="369">
        <f t="shared" si="177"/>
        <v>0</v>
      </c>
      <c r="H96" s="553">
        <v>25</v>
      </c>
      <c r="I96" s="371">
        <v>17</v>
      </c>
      <c r="J96" s="371">
        <v>8</v>
      </c>
      <c r="K96" s="554">
        <v>5</v>
      </c>
      <c r="L96" s="373">
        <f t="shared" si="178"/>
        <v>0</v>
      </c>
      <c r="M96" s="373">
        <f t="shared" si="179"/>
        <v>0</v>
      </c>
      <c r="N96" s="374">
        <f t="shared" si="180"/>
        <v>0</v>
      </c>
      <c r="O96" s="374">
        <f t="shared" si="180"/>
        <v>0</v>
      </c>
      <c r="P96" s="375">
        <f t="shared" si="180"/>
        <v>0</v>
      </c>
      <c r="Q96" s="376">
        <f t="shared" si="181"/>
        <v>0</v>
      </c>
      <c r="R96" s="374">
        <f t="shared" si="182"/>
        <v>0</v>
      </c>
      <c r="S96" s="377"/>
      <c r="T96" s="377"/>
      <c r="U96" s="377"/>
      <c r="V96" s="378">
        <f t="shared" si="174"/>
        <v>0</v>
      </c>
      <c r="W96" s="379">
        <v>58.4</v>
      </c>
      <c r="X96" s="380"/>
      <c r="Y96" s="376">
        <f t="shared" si="183"/>
        <v>0</v>
      </c>
      <c r="Z96" s="374">
        <f t="shared" si="184"/>
        <v>0</v>
      </c>
      <c r="AA96" s="381"/>
      <c r="AB96" s="381"/>
      <c r="AC96" s="382"/>
      <c r="AD96" s="376">
        <f t="shared" si="185"/>
        <v>0</v>
      </c>
      <c r="AE96" s="374">
        <f t="shared" si="186"/>
        <v>0</v>
      </c>
      <c r="AF96" s="381"/>
      <c r="AG96" s="381"/>
      <c r="AH96" s="383"/>
      <c r="AI96" s="433">
        <f t="shared" si="187"/>
        <v>0</v>
      </c>
      <c r="AJ96" s="385"/>
      <c r="AK96" s="386"/>
      <c r="AL96" s="387"/>
      <c r="AM96" s="434">
        <f t="shared" si="125"/>
        <v>0</v>
      </c>
      <c r="AN96" s="389"/>
      <c r="AO96" s="435"/>
      <c r="AP96" s="435"/>
      <c r="AQ96" s="435"/>
      <c r="AR96" s="346" t="e">
        <f t="shared" si="126"/>
        <v>#DIV/0!</v>
      </c>
      <c r="AS96" s="436"/>
      <c r="AT96" s="392">
        <v>21</v>
      </c>
      <c r="AU96" s="48"/>
      <c r="AV96" s="48"/>
      <c r="AW96" s="52"/>
      <c r="AX96" s="393" t="e">
        <f t="shared" si="127"/>
        <v>#DIV/0!</v>
      </c>
      <c r="AY96" s="77">
        <v>115</v>
      </c>
      <c r="AZ96" s="437">
        <f t="shared" si="188"/>
        <v>0</v>
      </c>
      <c r="BA96" s="395"/>
      <c r="BB96" s="396"/>
      <c r="BC96" s="397"/>
      <c r="BD96" s="399">
        <f t="shared" si="136"/>
        <v>0</v>
      </c>
      <c r="BE96" s="399">
        <f t="shared" si="137"/>
        <v>0</v>
      </c>
      <c r="BF96" s="400">
        <v>0</v>
      </c>
      <c r="BG96" s="400">
        <v>0</v>
      </c>
      <c r="BH96" s="401">
        <v>0</v>
      </c>
      <c r="BI96" s="402">
        <f t="shared" si="189"/>
        <v>3</v>
      </c>
      <c r="BJ96" s="403">
        <v>2</v>
      </c>
      <c r="BK96" s="403">
        <v>1</v>
      </c>
      <c r="BL96" s="534">
        <v>2</v>
      </c>
      <c r="BM96" s="529">
        <f t="shared" si="139"/>
        <v>20</v>
      </c>
      <c r="BN96" s="407">
        <f t="shared" si="129"/>
        <v>16</v>
      </c>
      <c r="BO96" s="12">
        <v>13</v>
      </c>
      <c r="BP96" s="12">
        <v>3</v>
      </c>
      <c r="BQ96" s="12">
        <v>4</v>
      </c>
      <c r="BR96" s="408">
        <f t="shared" si="116"/>
        <v>6.666666666666667</v>
      </c>
      <c r="BS96" s="409">
        <f t="shared" si="140"/>
        <v>0</v>
      </c>
      <c r="BT96" s="410"/>
      <c r="BU96" s="411"/>
      <c r="BV96" s="438"/>
      <c r="BW96" s="412">
        <f t="shared" si="141"/>
        <v>0</v>
      </c>
    </row>
    <row r="97" spans="1:76" ht="16.899999999999999" customHeight="1" x14ac:dyDescent="0.3">
      <c r="A97" s="8" t="s">
        <v>33</v>
      </c>
      <c r="B97" s="9" t="s">
        <v>36</v>
      </c>
      <c r="C97" s="14" t="s">
        <v>132</v>
      </c>
      <c r="D97" s="43" t="s">
        <v>176</v>
      </c>
      <c r="E97" s="15" t="s">
        <v>103</v>
      </c>
      <c r="F97" s="59">
        <v>25</v>
      </c>
      <c r="G97" s="369">
        <f t="shared" si="177"/>
        <v>0</v>
      </c>
      <c r="H97" s="370">
        <v>25</v>
      </c>
      <c r="I97" s="371">
        <v>17</v>
      </c>
      <c r="J97" s="371">
        <v>8</v>
      </c>
      <c r="K97" s="554">
        <v>5</v>
      </c>
      <c r="L97" s="373">
        <f t="shared" si="178"/>
        <v>0</v>
      </c>
      <c r="M97" s="373">
        <f t="shared" si="179"/>
        <v>0</v>
      </c>
      <c r="N97" s="374">
        <f t="shared" si="180"/>
        <v>0</v>
      </c>
      <c r="O97" s="374">
        <f t="shared" si="180"/>
        <v>0</v>
      </c>
      <c r="P97" s="375">
        <f t="shared" si="180"/>
        <v>0</v>
      </c>
      <c r="Q97" s="376">
        <f t="shared" si="181"/>
        <v>0</v>
      </c>
      <c r="R97" s="374">
        <f t="shared" si="182"/>
        <v>0</v>
      </c>
      <c r="S97" s="377"/>
      <c r="T97" s="377"/>
      <c r="U97" s="377"/>
      <c r="V97" s="378">
        <f t="shared" si="174"/>
        <v>0</v>
      </c>
      <c r="W97" s="379">
        <v>61.7</v>
      </c>
      <c r="X97" s="380"/>
      <c r="Y97" s="376">
        <f t="shared" si="183"/>
        <v>0</v>
      </c>
      <c r="Z97" s="374">
        <f t="shared" si="184"/>
        <v>0</v>
      </c>
      <c r="AA97" s="381"/>
      <c r="AB97" s="381"/>
      <c r="AC97" s="382"/>
      <c r="AD97" s="376">
        <f t="shared" si="185"/>
        <v>0</v>
      </c>
      <c r="AE97" s="374">
        <f t="shared" si="186"/>
        <v>0</v>
      </c>
      <c r="AF97" s="381"/>
      <c r="AG97" s="381"/>
      <c r="AH97" s="383"/>
      <c r="AI97" s="433">
        <f t="shared" si="187"/>
        <v>0</v>
      </c>
      <c r="AJ97" s="385"/>
      <c r="AK97" s="386"/>
      <c r="AL97" s="387"/>
      <c r="AM97" s="434">
        <f t="shared" si="125"/>
        <v>0</v>
      </c>
      <c r="AN97" s="389"/>
      <c r="AO97" s="435"/>
      <c r="AP97" s="435"/>
      <c r="AQ97" s="435"/>
      <c r="AR97" s="346" t="e">
        <f t="shared" si="126"/>
        <v>#DIV/0!</v>
      </c>
      <c r="AS97" s="436"/>
      <c r="AT97" s="392">
        <v>21</v>
      </c>
      <c r="AU97" s="48"/>
      <c r="AV97" s="48"/>
      <c r="AW97" s="52"/>
      <c r="AX97" s="393" t="e">
        <f t="shared" si="127"/>
        <v>#DIV/0!</v>
      </c>
      <c r="AY97" s="77">
        <v>178</v>
      </c>
      <c r="AZ97" s="437">
        <f t="shared" si="188"/>
        <v>0</v>
      </c>
      <c r="BA97" s="395"/>
      <c r="BB97" s="396"/>
      <c r="BC97" s="397"/>
      <c r="BD97" s="399">
        <f t="shared" si="136"/>
        <v>0</v>
      </c>
      <c r="BE97" s="399">
        <f t="shared" si="137"/>
        <v>0</v>
      </c>
      <c r="BF97" s="400">
        <v>0</v>
      </c>
      <c r="BG97" s="400">
        <v>0</v>
      </c>
      <c r="BH97" s="401">
        <v>0</v>
      </c>
      <c r="BI97" s="402">
        <f t="shared" si="189"/>
        <v>3</v>
      </c>
      <c r="BJ97" s="403">
        <v>2</v>
      </c>
      <c r="BK97" s="403">
        <v>1</v>
      </c>
      <c r="BL97" s="534">
        <v>2</v>
      </c>
      <c r="BM97" s="529">
        <f t="shared" si="139"/>
        <v>19</v>
      </c>
      <c r="BN97" s="407">
        <f t="shared" si="129"/>
        <v>18</v>
      </c>
      <c r="BO97" s="12">
        <v>14</v>
      </c>
      <c r="BP97" s="12">
        <v>4</v>
      </c>
      <c r="BQ97" s="12">
        <v>1</v>
      </c>
      <c r="BR97" s="408">
        <f t="shared" si="116"/>
        <v>6.333333333333333</v>
      </c>
      <c r="BS97" s="409">
        <f t="shared" si="140"/>
        <v>0</v>
      </c>
      <c r="BT97" s="410"/>
      <c r="BU97" s="411"/>
      <c r="BV97" s="438"/>
      <c r="BW97" s="412">
        <f t="shared" si="141"/>
        <v>0</v>
      </c>
    </row>
    <row r="98" spans="1:76" ht="16.899999999999999" customHeight="1" x14ac:dyDescent="0.3">
      <c r="A98" s="8" t="s">
        <v>33</v>
      </c>
      <c r="B98" s="9" t="s">
        <v>36</v>
      </c>
      <c r="C98" s="14" t="s">
        <v>132</v>
      </c>
      <c r="D98" s="43" t="s">
        <v>177</v>
      </c>
      <c r="E98" s="15" t="s">
        <v>103</v>
      </c>
      <c r="F98" s="59">
        <v>25</v>
      </c>
      <c r="G98" s="369">
        <f t="shared" si="177"/>
        <v>0</v>
      </c>
      <c r="H98" s="370">
        <v>25</v>
      </c>
      <c r="I98" s="371">
        <v>17</v>
      </c>
      <c r="J98" s="371">
        <v>8</v>
      </c>
      <c r="K98" s="554">
        <v>5</v>
      </c>
      <c r="L98" s="373">
        <f t="shared" si="178"/>
        <v>0</v>
      </c>
      <c r="M98" s="373">
        <f t="shared" si="179"/>
        <v>0</v>
      </c>
      <c r="N98" s="374">
        <f t="shared" si="180"/>
        <v>0</v>
      </c>
      <c r="O98" s="374">
        <f t="shared" si="180"/>
        <v>0</v>
      </c>
      <c r="P98" s="375">
        <f t="shared" si="180"/>
        <v>0</v>
      </c>
      <c r="Q98" s="376">
        <f t="shared" si="181"/>
        <v>0</v>
      </c>
      <c r="R98" s="374">
        <f t="shared" si="182"/>
        <v>0</v>
      </c>
      <c r="S98" s="377"/>
      <c r="T98" s="377"/>
      <c r="U98" s="377"/>
      <c r="V98" s="378">
        <f t="shared" si="174"/>
        <v>0</v>
      </c>
      <c r="W98" s="379">
        <v>61.1</v>
      </c>
      <c r="X98" s="380"/>
      <c r="Y98" s="376">
        <f t="shared" si="183"/>
        <v>0</v>
      </c>
      <c r="Z98" s="374">
        <f t="shared" si="184"/>
        <v>0</v>
      </c>
      <c r="AA98" s="381"/>
      <c r="AB98" s="381"/>
      <c r="AC98" s="382"/>
      <c r="AD98" s="376">
        <f t="shared" si="185"/>
        <v>0</v>
      </c>
      <c r="AE98" s="374">
        <f t="shared" si="186"/>
        <v>0</v>
      </c>
      <c r="AF98" s="381"/>
      <c r="AG98" s="381"/>
      <c r="AH98" s="383"/>
      <c r="AI98" s="433">
        <f t="shared" si="187"/>
        <v>0</v>
      </c>
      <c r="AJ98" s="385"/>
      <c r="AK98" s="386"/>
      <c r="AL98" s="387"/>
      <c r="AM98" s="434">
        <f t="shared" si="125"/>
        <v>0</v>
      </c>
      <c r="AN98" s="389"/>
      <c r="AO98" s="435"/>
      <c r="AP98" s="435"/>
      <c r="AQ98" s="435"/>
      <c r="AR98" s="346" t="e">
        <f t="shared" si="126"/>
        <v>#DIV/0!</v>
      </c>
      <c r="AS98" s="436"/>
      <c r="AT98" s="392">
        <v>2</v>
      </c>
      <c r="AU98" s="48"/>
      <c r="AV98" s="48"/>
      <c r="AW98" s="52"/>
      <c r="AX98" s="393" t="e">
        <f t="shared" si="127"/>
        <v>#DIV/0!</v>
      </c>
      <c r="AY98" s="77">
        <v>296</v>
      </c>
      <c r="AZ98" s="437">
        <f t="shared" si="188"/>
        <v>0</v>
      </c>
      <c r="BA98" s="395"/>
      <c r="BB98" s="396"/>
      <c r="BC98" s="397"/>
      <c r="BD98" s="399">
        <f t="shared" si="136"/>
        <v>19</v>
      </c>
      <c r="BE98" s="399">
        <f t="shared" si="137"/>
        <v>17</v>
      </c>
      <c r="BF98" s="400">
        <v>12</v>
      </c>
      <c r="BG98" s="400">
        <v>5</v>
      </c>
      <c r="BH98" s="401">
        <v>2</v>
      </c>
      <c r="BI98" s="402">
        <f t="shared" si="189"/>
        <v>20</v>
      </c>
      <c r="BJ98" s="403">
        <v>14</v>
      </c>
      <c r="BK98" s="403">
        <v>6</v>
      </c>
      <c r="BL98" s="534">
        <v>4</v>
      </c>
      <c r="BM98" s="529">
        <f t="shared" si="139"/>
        <v>8</v>
      </c>
      <c r="BN98" s="407">
        <f t="shared" si="129"/>
        <v>8</v>
      </c>
      <c r="BO98" s="12">
        <v>6</v>
      </c>
      <c r="BP98" s="12">
        <v>2</v>
      </c>
      <c r="BQ98" s="12">
        <v>0</v>
      </c>
      <c r="BR98" s="408">
        <f t="shared" si="116"/>
        <v>0.4</v>
      </c>
      <c r="BS98" s="409">
        <f t="shared" si="140"/>
        <v>0</v>
      </c>
      <c r="BT98" s="410"/>
      <c r="BU98" s="439"/>
      <c r="BV98" s="458"/>
      <c r="BW98" s="412">
        <f t="shared" si="141"/>
        <v>0</v>
      </c>
    </row>
    <row r="99" spans="1:76" ht="16.899999999999999" customHeight="1" x14ac:dyDescent="0.3">
      <c r="A99" s="8" t="s">
        <v>33</v>
      </c>
      <c r="B99" s="9" t="s">
        <v>36</v>
      </c>
      <c r="C99" s="14" t="s">
        <v>132</v>
      </c>
      <c r="D99" s="43" t="s">
        <v>178</v>
      </c>
      <c r="E99" s="15" t="s">
        <v>103</v>
      </c>
      <c r="F99" s="59">
        <v>25</v>
      </c>
      <c r="G99" s="369">
        <f t="shared" si="177"/>
        <v>0</v>
      </c>
      <c r="H99" s="370">
        <v>25</v>
      </c>
      <c r="I99" s="371">
        <v>17</v>
      </c>
      <c r="J99" s="371">
        <v>8</v>
      </c>
      <c r="K99" s="554">
        <v>5</v>
      </c>
      <c r="L99" s="373">
        <f t="shared" si="178"/>
        <v>0</v>
      </c>
      <c r="M99" s="373">
        <f t="shared" si="179"/>
        <v>0</v>
      </c>
      <c r="N99" s="374">
        <f t="shared" si="180"/>
        <v>0</v>
      </c>
      <c r="O99" s="374">
        <f t="shared" si="180"/>
        <v>0</v>
      </c>
      <c r="P99" s="375">
        <f t="shared" si="180"/>
        <v>0</v>
      </c>
      <c r="Q99" s="376">
        <f t="shared" si="181"/>
        <v>0</v>
      </c>
      <c r="R99" s="374">
        <f t="shared" si="182"/>
        <v>0</v>
      </c>
      <c r="S99" s="377"/>
      <c r="T99" s="377"/>
      <c r="U99" s="377"/>
      <c r="V99" s="378">
        <f t="shared" si="174"/>
        <v>0</v>
      </c>
      <c r="W99" s="379">
        <v>65.7</v>
      </c>
      <c r="X99" s="380"/>
      <c r="Y99" s="376">
        <f t="shared" si="183"/>
        <v>0</v>
      </c>
      <c r="Z99" s="374">
        <f t="shared" si="184"/>
        <v>0</v>
      </c>
      <c r="AA99" s="381"/>
      <c r="AB99" s="381"/>
      <c r="AC99" s="382"/>
      <c r="AD99" s="376">
        <f t="shared" si="185"/>
        <v>0</v>
      </c>
      <c r="AE99" s="374">
        <f t="shared" si="186"/>
        <v>0</v>
      </c>
      <c r="AF99" s="381"/>
      <c r="AG99" s="381"/>
      <c r="AH99" s="383"/>
      <c r="AI99" s="433">
        <f t="shared" si="187"/>
        <v>0</v>
      </c>
      <c r="AJ99" s="385"/>
      <c r="AK99" s="386"/>
      <c r="AL99" s="387"/>
      <c r="AM99" s="434">
        <f t="shared" si="125"/>
        <v>0</v>
      </c>
      <c r="AN99" s="389"/>
      <c r="AO99" s="435"/>
      <c r="AP99" s="435"/>
      <c r="AQ99" s="435"/>
      <c r="AR99" s="346" t="e">
        <f t="shared" si="126"/>
        <v>#DIV/0!</v>
      </c>
      <c r="AS99" s="436"/>
      <c r="AT99" s="392">
        <v>20</v>
      </c>
      <c r="AU99" s="48"/>
      <c r="AV99" s="48"/>
      <c r="AW99" s="52"/>
      <c r="AX99" s="393" t="e">
        <f t="shared" si="127"/>
        <v>#DIV/0!</v>
      </c>
      <c r="AY99" s="77">
        <v>383</v>
      </c>
      <c r="AZ99" s="437">
        <f t="shared" si="188"/>
        <v>0</v>
      </c>
      <c r="BA99" s="395"/>
      <c r="BB99" s="396"/>
      <c r="BC99" s="397"/>
      <c r="BD99" s="399">
        <f t="shared" si="136"/>
        <v>1</v>
      </c>
      <c r="BE99" s="399">
        <f t="shared" si="137"/>
        <v>0</v>
      </c>
      <c r="BF99" s="400">
        <v>0</v>
      </c>
      <c r="BG99" s="400">
        <v>0</v>
      </c>
      <c r="BH99" s="401">
        <v>1</v>
      </c>
      <c r="BI99" s="402">
        <f t="shared" si="189"/>
        <v>3</v>
      </c>
      <c r="BJ99" s="403">
        <v>2</v>
      </c>
      <c r="BK99" s="403">
        <v>1</v>
      </c>
      <c r="BL99" s="534">
        <v>3</v>
      </c>
      <c r="BM99" s="529">
        <f t="shared" si="139"/>
        <v>18</v>
      </c>
      <c r="BN99" s="407">
        <f t="shared" si="129"/>
        <v>15</v>
      </c>
      <c r="BO99" s="12">
        <v>12</v>
      </c>
      <c r="BP99" s="12">
        <v>3</v>
      </c>
      <c r="BQ99" s="12">
        <v>3</v>
      </c>
      <c r="BR99" s="408">
        <f t="shared" si="116"/>
        <v>6</v>
      </c>
      <c r="BS99" s="409">
        <f t="shared" si="140"/>
        <v>0</v>
      </c>
      <c r="BT99" s="410"/>
      <c r="BU99" s="411"/>
      <c r="BV99" s="438"/>
      <c r="BW99" s="412">
        <f t="shared" si="141"/>
        <v>0</v>
      </c>
    </row>
    <row r="100" spans="1:76" ht="16.899999999999999" customHeight="1" x14ac:dyDescent="0.3">
      <c r="A100" s="8" t="s">
        <v>33</v>
      </c>
      <c r="B100" s="9" t="s">
        <v>36</v>
      </c>
      <c r="C100" s="14" t="s">
        <v>106</v>
      </c>
      <c r="D100" s="43" t="s">
        <v>147</v>
      </c>
      <c r="E100" s="15" t="s">
        <v>103</v>
      </c>
      <c r="F100" s="59">
        <v>25</v>
      </c>
      <c r="G100" s="369">
        <f t="shared" si="177"/>
        <v>0</v>
      </c>
      <c r="H100" s="370">
        <v>25</v>
      </c>
      <c r="I100" s="371">
        <v>17</v>
      </c>
      <c r="J100" s="371">
        <v>8</v>
      </c>
      <c r="K100" s="554">
        <v>5</v>
      </c>
      <c r="L100" s="373">
        <f t="shared" si="178"/>
        <v>0</v>
      </c>
      <c r="M100" s="373">
        <f t="shared" si="179"/>
        <v>0</v>
      </c>
      <c r="N100" s="374">
        <f t="shared" si="180"/>
        <v>0</v>
      </c>
      <c r="O100" s="374">
        <f t="shared" si="180"/>
        <v>0</v>
      </c>
      <c r="P100" s="375">
        <f t="shared" si="180"/>
        <v>0</v>
      </c>
      <c r="Q100" s="376">
        <f t="shared" si="181"/>
        <v>0</v>
      </c>
      <c r="R100" s="374">
        <f t="shared" si="182"/>
        <v>0</v>
      </c>
      <c r="S100" s="377"/>
      <c r="T100" s="377"/>
      <c r="U100" s="377"/>
      <c r="V100" s="378">
        <f t="shared" si="174"/>
        <v>0</v>
      </c>
      <c r="W100" s="379">
        <v>92.8</v>
      </c>
      <c r="X100" s="380"/>
      <c r="Y100" s="376">
        <f t="shared" si="183"/>
        <v>0</v>
      </c>
      <c r="Z100" s="374">
        <f t="shared" si="184"/>
        <v>0</v>
      </c>
      <c r="AA100" s="381"/>
      <c r="AB100" s="381"/>
      <c r="AC100" s="382"/>
      <c r="AD100" s="376">
        <f t="shared" si="185"/>
        <v>0</v>
      </c>
      <c r="AE100" s="374">
        <f t="shared" si="186"/>
        <v>0</v>
      </c>
      <c r="AF100" s="381"/>
      <c r="AG100" s="381"/>
      <c r="AH100" s="383"/>
      <c r="AI100" s="433">
        <f t="shared" si="187"/>
        <v>0</v>
      </c>
      <c r="AJ100" s="385"/>
      <c r="AK100" s="386"/>
      <c r="AL100" s="387"/>
      <c r="AM100" s="434">
        <f t="shared" si="125"/>
        <v>0</v>
      </c>
      <c r="AN100" s="389"/>
      <c r="AO100" s="435"/>
      <c r="AP100" s="435"/>
      <c r="AQ100" s="435"/>
      <c r="AR100" s="346" t="e">
        <f t="shared" si="126"/>
        <v>#DIV/0!</v>
      </c>
      <c r="AS100" s="436"/>
      <c r="AT100" s="392">
        <v>9</v>
      </c>
      <c r="AU100" s="48"/>
      <c r="AV100" s="48"/>
      <c r="AW100" s="52"/>
      <c r="AX100" s="393" t="e">
        <f t="shared" si="127"/>
        <v>#DIV/0!</v>
      </c>
      <c r="AY100" s="77">
        <v>143</v>
      </c>
      <c r="AZ100" s="437">
        <f t="shared" si="188"/>
        <v>0</v>
      </c>
      <c r="BA100" s="395"/>
      <c r="BB100" s="396"/>
      <c r="BC100" s="397"/>
      <c r="BD100" s="399">
        <f t="shared" si="136"/>
        <v>12</v>
      </c>
      <c r="BE100" s="399">
        <f t="shared" si="137"/>
        <v>11</v>
      </c>
      <c r="BF100" s="400">
        <v>8</v>
      </c>
      <c r="BG100" s="400">
        <v>3</v>
      </c>
      <c r="BH100" s="401">
        <v>1</v>
      </c>
      <c r="BI100" s="402">
        <f t="shared" si="189"/>
        <v>14</v>
      </c>
      <c r="BJ100" s="403">
        <v>10</v>
      </c>
      <c r="BK100" s="403">
        <v>4</v>
      </c>
      <c r="BL100" s="534">
        <v>3</v>
      </c>
      <c r="BM100" s="529">
        <f t="shared" si="139"/>
        <v>11</v>
      </c>
      <c r="BN100" s="407">
        <f t="shared" si="129"/>
        <v>11</v>
      </c>
      <c r="BO100" s="12">
        <v>10</v>
      </c>
      <c r="BP100" s="12">
        <v>1</v>
      </c>
      <c r="BQ100" s="12">
        <v>0</v>
      </c>
      <c r="BR100" s="408">
        <f>BM99/BI99</f>
        <v>6</v>
      </c>
      <c r="BS100" s="409">
        <f t="shared" si="140"/>
        <v>0</v>
      </c>
      <c r="BT100" s="410"/>
      <c r="BU100" s="411"/>
      <c r="BV100" s="438"/>
      <c r="BW100" s="412">
        <f t="shared" si="141"/>
        <v>0</v>
      </c>
    </row>
    <row r="101" spans="1:76" ht="16.899999999999999" customHeight="1" x14ac:dyDescent="0.3">
      <c r="A101" s="8" t="s">
        <v>33</v>
      </c>
      <c r="B101" s="9" t="s">
        <v>36</v>
      </c>
      <c r="C101" s="14" t="s">
        <v>117</v>
      </c>
      <c r="D101" s="43" t="s">
        <v>148</v>
      </c>
      <c r="E101" s="15" t="s">
        <v>103</v>
      </c>
      <c r="F101" s="59">
        <v>25</v>
      </c>
      <c r="G101" s="369">
        <f t="shared" si="177"/>
        <v>0</v>
      </c>
      <c r="H101" s="370">
        <v>25</v>
      </c>
      <c r="I101" s="371">
        <v>17</v>
      </c>
      <c r="J101" s="371">
        <v>8</v>
      </c>
      <c r="K101" s="554">
        <v>5</v>
      </c>
      <c r="L101" s="373">
        <f t="shared" si="178"/>
        <v>0</v>
      </c>
      <c r="M101" s="373">
        <f t="shared" si="179"/>
        <v>0</v>
      </c>
      <c r="N101" s="374">
        <f t="shared" si="180"/>
        <v>0</v>
      </c>
      <c r="O101" s="374">
        <f t="shared" si="180"/>
        <v>0</v>
      </c>
      <c r="P101" s="375">
        <f t="shared" si="180"/>
        <v>0</v>
      </c>
      <c r="Q101" s="376">
        <f t="shared" si="181"/>
        <v>0</v>
      </c>
      <c r="R101" s="374">
        <f t="shared" si="182"/>
        <v>0</v>
      </c>
      <c r="S101" s="377"/>
      <c r="T101" s="377"/>
      <c r="U101" s="377"/>
      <c r="V101" s="378">
        <f t="shared" si="174"/>
        <v>0</v>
      </c>
      <c r="W101" s="379">
        <v>87.8</v>
      </c>
      <c r="X101" s="380"/>
      <c r="Y101" s="376">
        <f t="shared" si="183"/>
        <v>0</v>
      </c>
      <c r="Z101" s="374">
        <f t="shared" si="184"/>
        <v>0</v>
      </c>
      <c r="AA101" s="381"/>
      <c r="AB101" s="381"/>
      <c r="AC101" s="382"/>
      <c r="AD101" s="376">
        <f t="shared" si="185"/>
        <v>0</v>
      </c>
      <c r="AE101" s="374">
        <f t="shared" si="186"/>
        <v>0</v>
      </c>
      <c r="AF101" s="381"/>
      <c r="AG101" s="381"/>
      <c r="AH101" s="383"/>
      <c r="AI101" s="433">
        <f t="shared" si="187"/>
        <v>0</v>
      </c>
      <c r="AJ101" s="385"/>
      <c r="AK101" s="386"/>
      <c r="AL101" s="387"/>
      <c r="AM101" s="434">
        <f t="shared" si="125"/>
        <v>0</v>
      </c>
      <c r="AN101" s="389"/>
      <c r="AO101" s="435"/>
      <c r="AP101" s="435"/>
      <c r="AQ101" s="435"/>
      <c r="AR101" s="346" t="e">
        <f t="shared" si="126"/>
        <v>#DIV/0!</v>
      </c>
      <c r="AS101" s="436"/>
      <c r="AT101" s="392">
        <v>20</v>
      </c>
      <c r="AU101" s="48"/>
      <c r="AV101" s="48"/>
      <c r="AW101" s="52"/>
      <c r="AX101" s="393" t="e">
        <f t="shared" si="127"/>
        <v>#DIV/0!</v>
      </c>
      <c r="AY101" s="77">
        <v>341</v>
      </c>
      <c r="AZ101" s="437">
        <f t="shared" si="188"/>
        <v>0</v>
      </c>
      <c r="BA101" s="395"/>
      <c r="BB101" s="396"/>
      <c r="BC101" s="397"/>
      <c r="BD101" s="399">
        <f t="shared" si="136"/>
        <v>1</v>
      </c>
      <c r="BE101" s="399">
        <f t="shared" si="137"/>
        <v>0</v>
      </c>
      <c r="BF101" s="400">
        <v>0</v>
      </c>
      <c r="BG101" s="400">
        <v>0</v>
      </c>
      <c r="BH101" s="401">
        <v>1</v>
      </c>
      <c r="BI101" s="402">
        <f t="shared" si="189"/>
        <v>3</v>
      </c>
      <c r="BJ101" s="403">
        <v>2</v>
      </c>
      <c r="BK101" s="403">
        <v>1</v>
      </c>
      <c r="BL101" s="534">
        <v>3</v>
      </c>
      <c r="BM101" s="529">
        <f t="shared" si="139"/>
        <v>23</v>
      </c>
      <c r="BN101" s="407">
        <f t="shared" si="129"/>
        <v>20</v>
      </c>
      <c r="BO101" s="12">
        <v>16</v>
      </c>
      <c r="BP101" s="12">
        <v>4</v>
      </c>
      <c r="BQ101" s="12">
        <v>3</v>
      </c>
      <c r="BR101" s="408">
        <f t="shared" ref="BR101:BR147" si="190">BM101/BI101</f>
        <v>7.666666666666667</v>
      </c>
      <c r="BS101" s="409">
        <f t="shared" si="140"/>
        <v>0</v>
      </c>
      <c r="BT101" s="410"/>
      <c r="BU101" s="411"/>
      <c r="BV101" s="438"/>
      <c r="BW101" s="412">
        <f t="shared" si="141"/>
        <v>0</v>
      </c>
    </row>
    <row r="102" spans="1:76" ht="16.899999999999999" customHeight="1" x14ac:dyDescent="0.3">
      <c r="A102" s="8" t="s">
        <v>33</v>
      </c>
      <c r="B102" s="9" t="s">
        <v>36</v>
      </c>
      <c r="C102" s="23" t="s">
        <v>112</v>
      </c>
      <c r="D102" s="43" t="s">
        <v>113</v>
      </c>
      <c r="E102" s="24" t="s">
        <v>103</v>
      </c>
      <c r="F102" s="60">
        <v>25</v>
      </c>
      <c r="G102" s="369">
        <f t="shared" si="177"/>
        <v>0</v>
      </c>
      <c r="H102" s="370">
        <v>25</v>
      </c>
      <c r="I102" s="371">
        <v>17</v>
      </c>
      <c r="J102" s="371">
        <v>8</v>
      </c>
      <c r="K102" s="554">
        <v>5</v>
      </c>
      <c r="L102" s="373">
        <f t="shared" si="178"/>
        <v>0</v>
      </c>
      <c r="M102" s="373">
        <f t="shared" si="179"/>
        <v>0</v>
      </c>
      <c r="N102" s="374">
        <f t="shared" si="180"/>
        <v>0</v>
      </c>
      <c r="O102" s="374">
        <f t="shared" si="180"/>
        <v>0</v>
      </c>
      <c r="P102" s="375">
        <f t="shared" si="180"/>
        <v>0</v>
      </c>
      <c r="Q102" s="376">
        <f t="shared" si="181"/>
        <v>0</v>
      </c>
      <c r="R102" s="374">
        <f t="shared" si="182"/>
        <v>0</v>
      </c>
      <c r="S102" s="377"/>
      <c r="T102" s="377"/>
      <c r="U102" s="377"/>
      <c r="V102" s="378">
        <f t="shared" si="174"/>
        <v>0</v>
      </c>
      <c r="W102" s="379">
        <v>69.400000000000006</v>
      </c>
      <c r="X102" s="380"/>
      <c r="Y102" s="376">
        <f t="shared" si="183"/>
        <v>0</v>
      </c>
      <c r="Z102" s="374">
        <f t="shared" si="184"/>
        <v>0</v>
      </c>
      <c r="AA102" s="381"/>
      <c r="AB102" s="381"/>
      <c r="AC102" s="382"/>
      <c r="AD102" s="376">
        <f t="shared" si="185"/>
        <v>0</v>
      </c>
      <c r="AE102" s="374">
        <f t="shared" si="186"/>
        <v>0</v>
      </c>
      <c r="AF102" s="381"/>
      <c r="AG102" s="381"/>
      <c r="AH102" s="383"/>
      <c r="AI102" s="433">
        <f t="shared" si="187"/>
        <v>0</v>
      </c>
      <c r="AJ102" s="385"/>
      <c r="AK102" s="386"/>
      <c r="AL102" s="387"/>
      <c r="AM102" s="434">
        <f t="shared" si="125"/>
        <v>0</v>
      </c>
      <c r="AN102" s="389"/>
      <c r="AO102" s="435"/>
      <c r="AP102" s="435"/>
      <c r="AQ102" s="435"/>
      <c r="AR102" s="346" t="e">
        <f t="shared" si="126"/>
        <v>#DIV/0!</v>
      </c>
      <c r="AS102" s="436"/>
      <c r="AT102" s="392">
        <v>10</v>
      </c>
      <c r="AU102" s="48"/>
      <c r="AV102" s="48"/>
      <c r="AW102" s="52"/>
      <c r="AX102" s="393" t="e">
        <f t="shared" si="127"/>
        <v>#DIV/0!</v>
      </c>
      <c r="AY102" s="77">
        <v>33</v>
      </c>
      <c r="AZ102" s="437">
        <f t="shared" si="188"/>
        <v>0</v>
      </c>
      <c r="BA102" s="395"/>
      <c r="BB102" s="396"/>
      <c r="BC102" s="397"/>
      <c r="BD102" s="399">
        <f t="shared" si="136"/>
        <v>11</v>
      </c>
      <c r="BE102" s="399">
        <f t="shared" si="137"/>
        <v>10</v>
      </c>
      <c r="BF102" s="400">
        <v>5</v>
      </c>
      <c r="BG102" s="400">
        <v>5</v>
      </c>
      <c r="BH102" s="401">
        <v>1</v>
      </c>
      <c r="BI102" s="402">
        <f t="shared" si="189"/>
        <v>13</v>
      </c>
      <c r="BJ102" s="500">
        <v>7</v>
      </c>
      <c r="BK102" s="403">
        <v>6</v>
      </c>
      <c r="BL102" s="534">
        <v>3</v>
      </c>
      <c r="BM102" s="529">
        <f t="shared" si="139"/>
        <v>12</v>
      </c>
      <c r="BN102" s="407">
        <f t="shared" si="129"/>
        <v>12</v>
      </c>
      <c r="BO102" s="12">
        <v>12</v>
      </c>
      <c r="BP102" s="12">
        <v>0</v>
      </c>
      <c r="BQ102" s="12">
        <v>0</v>
      </c>
      <c r="BR102" s="408">
        <f t="shared" si="190"/>
        <v>0.92307692307692313</v>
      </c>
      <c r="BS102" s="409">
        <f t="shared" si="140"/>
        <v>0</v>
      </c>
      <c r="BT102" s="410"/>
      <c r="BU102" s="411"/>
      <c r="BV102" s="438"/>
      <c r="BW102" s="412">
        <f t="shared" si="141"/>
        <v>0</v>
      </c>
    </row>
    <row r="103" spans="1:76" ht="16.899999999999999" customHeight="1" x14ac:dyDescent="0.3">
      <c r="A103" s="4" t="s">
        <v>33</v>
      </c>
      <c r="B103" s="5" t="s">
        <v>37</v>
      </c>
      <c r="C103" s="5"/>
      <c r="D103" s="18" t="s">
        <v>21</v>
      </c>
      <c r="E103" s="6"/>
      <c r="F103" s="58">
        <f t="shared" ref="F103:U103" si="191">SUM(F104:F107)</f>
        <v>105</v>
      </c>
      <c r="G103" s="7">
        <f t="shared" si="191"/>
        <v>2.5333333333333332</v>
      </c>
      <c r="H103" s="7">
        <f t="shared" si="191"/>
        <v>105</v>
      </c>
      <c r="I103" s="67">
        <f t="shared" si="191"/>
        <v>72</v>
      </c>
      <c r="J103" s="67">
        <f t="shared" si="191"/>
        <v>33</v>
      </c>
      <c r="K103" s="70">
        <f t="shared" si="191"/>
        <v>21</v>
      </c>
      <c r="L103" s="413">
        <f t="shared" si="191"/>
        <v>76</v>
      </c>
      <c r="M103" s="413">
        <f t="shared" si="191"/>
        <v>0</v>
      </c>
      <c r="N103" s="413">
        <f t="shared" si="191"/>
        <v>0</v>
      </c>
      <c r="O103" s="413">
        <f t="shared" si="191"/>
        <v>0</v>
      </c>
      <c r="P103" s="414">
        <f t="shared" si="191"/>
        <v>0</v>
      </c>
      <c r="Q103" s="415">
        <f t="shared" si="191"/>
        <v>0</v>
      </c>
      <c r="R103" s="416">
        <f t="shared" si="191"/>
        <v>0</v>
      </c>
      <c r="S103" s="416">
        <f t="shared" si="191"/>
        <v>0</v>
      </c>
      <c r="T103" s="416">
        <f t="shared" si="191"/>
        <v>0</v>
      </c>
      <c r="U103" s="416">
        <f t="shared" si="191"/>
        <v>0</v>
      </c>
      <c r="V103" s="334">
        <f t="shared" si="174"/>
        <v>0</v>
      </c>
      <c r="W103" s="335">
        <f t="shared" ref="W103:AI103" si="192">SUM(W104:W107)</f>
        <v>308.5</v>
      </c>
      <c r="X103" s="413">
        <f t="shared" si="192"/>
        <v>0</v>
      </c>
      <c r="Y103" s="415">
        <f t="shared" si="192"/>
        <v>0</v>
      </c>
      <c r="Z103" s="416">
        <f t="shared" si="192"/>
        <v>0</v>
      </c>
      <c r="AA103" s="416">
        <f t="shared" si="192"/>
        <v>0</v>
      </c>
      <c r="AB103" s="416">
        <f t="shared" si="192"/>
        <v>0</v>
      </c>
      <c r="AC103" s="417">
        <f t="shared" si="192"/>
        <v>0</v>
      </c>
      <c r="AD103" s="415">
        <f t="shared" si="192"/>
        <v>0</v>
      </c>
      <c r="AE103" s="416">
        <f t="shared" si="192"/>
        <v>0</v>
      </c>
      <c r="AF103" s="416">
        <f t="shared" si="192"/>
        <v>0</v>
      </c>
      <c r="AG103" s="416">
        <f t="shared" si="192"/>
        <v>0</v>
      </c>
      <c r="AH103" s="418">
        <f t="shared" si="192"/>
        <v>0</v>
      </c>
      <c r="AI103" s="339">
        <f t="shared" si="192"/>
        <v>0</v>
      </c>
      <c r="AJ103" s="340"/>
      <c r="AK103" s="341"/>
      <c r="AL103" s="342"/>
      <c r="AM103" s="420">
        <f t="shared" si="125"/>
        <v>0</v>
      </c>
      <c r="AN103" s="344"/>
      <c r="AO103" s="440"/>
      <c r="AP103" s="440"/>
      <c r="AQ103" s="440"/>
      <c r="AR103" s="346" t="e">
        <f t="shared" si="126"/>
        <v>#DIV/0!</v>
      </c>
      <c r="AS103" s="424">
        <v>1.9259999999999999</v>
      </c>
      <c r="AT103" s="561">
        <f>SUM(AT104:AT107)</f>
        <v>81</v>
      </c>
      <c r="AU103" s="361"/>
      <c r="AV103" s="361"/>
      <c r="AW103" s="444"/>
      <c r="AX103" s="352" t="e">
        <f t="shared" si="127"/>
        <v>#DIV/0!</v>
      </c>
      <c r="AY103" s="449">
        <v>0.95099999999999996</v>
      </c>
      <c r="AZ103" s="354">
        <f>SUM(AZ104:AZ107)</f>
        <v>0</v>
      </c>
      <c r="BA103" s="340"/>
      <c r="BB103" s="340"/>
      <c r="BC103" s="355"/>
      <c r="BD103" s="356">
        <f t="shared" si="136"/>
        <v>21</v>
      </c>
      <c r="BE103" s="445">
        <f t="shared" si="137"/>
        <v>16</v>
      </c>
      <c r="BF103" s="562">
        <f t="shared" ref="BF103:BM103" si="193">SUM(BF104:BF107)</f>
        <v>8</v>
      </c>
      <c r="BG103" s="562">
        <f t="shared" si="193"/>
        <v>8</v>
      </c>
      <c r="BH103" s="563">
        <f t="shared" si="193"/>
        <v>5</v>
      </c>
      <c r="BI103" s="359">
        <f t="shared" si="193"/>
        <v>24</v>
      </c>
      <c r="BJ103" s="360">
        <f t="shared" si="193"/>
        <v>12</v>
      </c>
      <c r="BK103" s="361">
        <f t="shared" si="193"/>
        <v>12</v>
      </c>
      <c r="BL103" s="362">
        <f t="shared" si="193"/>
        <v>9</v>
      </c>
      <c r="BM103" s="564">
        <f t="shared" si="193"/>
        <v>57</v>
      </c>
      <c r="BN103" s="356">
        <f t="shared" si="129"/>
        <v>51</v>
      </c>
      <c r="BO103" s="565">
        <f>SUM(BO104:BO107)</f>
        <v>46</v>
      </c>
      <c r="BP103" s="565">
        <f>SUM(BP104:BP107)</f>
        <v>5</v>
      </c>
      <c r="BQ103" s="565">
        <f>SUM(BQ104:BQ107)</f>
        <v>6</v>
      </c>
      <c r="BR103" s="432">
        <f t="shared" si="190"/>
        <v>2.375</v>
      </c>
      <c r="BS103" s="366">
        <f t="shared" si="140"/>
        <v>0</v>
      </c>
      <c r="BT103" s="367">
        <f>SUM(BT104:BT107)</f>
        <v>0</v>
      </c>
      <c r="BU103" s="367">
        <f>SUM(BU104:BU107)</f>
        <v>0</v>
      </c>
      <c r="BV103" s="367">
        <f>SUM(BV104:BV107)</f>
        <v>0</v>
      </c>
      <c r="BW103" s="368">
        <f t="shared" si="141"/>
        <v>0</v>
      </c>
      <c r="BX103" t="s">
        <v>37</v>
      </c>
    </row>
    <row r="104" spans="1:76" ht="16.899999999999999" customHeight="1" x14ac:dyDescent="0.3">
      <c r="A104" s="8" t="s">
        <v>33</v>
      </c>
      <c r="B104" s="9" t="s">
        <v>37</v>
      </c>
      <c r="C104" s="9" t="s">
        <v>101</v>
      </c>
      <c r="D104" s="25" t="s">
        <v>171</v>
      </c>
      <c r="E104" s="10" t="s">
        <v>103</v>
      </c>
      <c r="F104" s="59">
        <v>25</v>
      </c>
      <c r="G104" s="369">
        <f>L104/F104</f>
        <v>0</v>
      </c>
      <c r="H104" s="553">
        <v>25</v>
      </c>
      <c r="I104" s="371">
        <v>17</v>
      </c>
      <c r="J104" s="371">
        <v>8</v>
      </c>
      <c r="K104" s="554">
        <v>5</v>
      </c>
      <c r="L104" s="373">
        <f>N104+O104+P104</f>
        <v>0</v>
      </c>
      <c r="M104" s="373">
        <f>N104+O104</f>
        <v>0</v>
      </c>
      <c r="N104" s="374">
        <f t="shared" ref="N104:P105" si="194">AA104+AF104</f>
        <v>0</v>
      </c>
      <c r="O104" s="374">
        <f t="shared" si="194"/>
        <v>0</v>
      </c>
      <c r="P104" s="375">
        <f t="shared" si="194"/>
        <v>0</v>
      </c>
      <c r="Q104" s="376">
        <f>R104+U104</f>
        <v>0</v>
      </c>
      <c r="R104" s="374">
        <f>S104+T104</f>
        <v>0</v>
      </c>
      <c r="S104" s="377"/>
      <c r="T104" s="377"/>
      <c r="U104" s="377"/>
      <c r="V104" s="378">
        <f t="shared" si="174"/>
        <v>0</v>
      </c>
      <c r="W104" s="379">
        <v>72</v>
      </c>
      <c r="X104" s="380"/>
      <c r="Y104" s="376">
        <f>Z104+AC104</f>
        <v>0</v>
      </c>
      <c r="Z104" s="374">
        <f>AA104+AB104</f>
        <v>0</v>
      </c>
      <c r="AA104" s="381"/>
      <c r="AB104" s="381"/>
      <c r="AC104" s="382"/>
      <c r="AD104" s="376">
        <f>AE104+AH104</f>
        <v>0</v>
      </c>
      <c r="AE104" s="374">
        <f>AF104+AG104</f>
        <v>0</v>
      </c>
      <c r="AF104" s="381"/>
      <c r="AG104" s="381"/>
      <c r="AH104" s="383"/>
      <c r="AI104" s="433">
        <f>AJ104+AK104</f>
        <v>0</v>
      </c>
      <c r="AJ104" s="385"/>
      <c r="AK104" s="386"/>
      <c r="AL104" s="387"/>
      <c r="AM104" s="434">
        <f t="shared" si="125"/>
        <v>0</v>
      </c>
      <c r="AN104" s="389"/>
      <c r="AO104" s="435"/>
      <c r="AP104" s="435"/>
      <c r="AQ104" s="435"/>
      <c r="AR104" s="346" t="e">
        <f t="shared" si="126"/>
        <v>#DIV/0!</v>
      </c>
      <c r="AS104" s="436"/>
      <c r="AT104" s="566">
        <v>16</v>
      </c>
      <c r="AU104" s="48"/>
      <c r="AV104" s="48"/>
      <c r="AW104" s="52"/>
      <c r="AX104" s="393" t="e">
        <f t="shared" si="127"/>
        <v>#DIV/0!</v>
      </c>
      <c r="AY104" s="77">
        <v>372</v>
      </c>
      <c r="AZ104" s="437">
        <f>BA104+BB104</f>
        <v>0</v>
      </c>
      <c r="BA104" s="395"/>
      <c r="BB104" s="396"/>
      <c r="BC104" s="397"/>
      <c r="BD104" s="399">
        <f t="shared" si="136"/>
        <v>8</v>
      </c>
      <c r="BE104" s="531">
        <f t="shared" si="137"/>
        <v>8</v>
      </c>
      <c r="BF104" s="532">
        <v>4</v>
      </c>
      <c r="BG104" s="532">
        <v>4</v>
      </c>
      <c r="BH104" s="533"/>
      <c r="BI104" s="402">
        <f>SUM(BJ104:BK104)</f>
        <v>10</v>
      </c>
      <c r="BJ104" s="403">
        <v>5</v>
      </c>
      <c r="BK104" s="403">
        <v>5</v>
      </c>
      <c r="BL104" s="534">
        <v>1</v>
      </c>
      <c r="BM104" s="529">
        <f t="shared" ref="BM104:BM130" si="195">BN104+BQ104</f>
        <v>12</v>
      </c>
      <c r="BN104" s="407">
        <f t="shared" si="129"/>
        <v>12</v>
      </c>
      <c r="BO104" s="12">
        <v>12</v>
      </c>
      <c r="BP104" s="12">
        <v>0</v>
      </c>
      <c r="BQ104" s="12">
        <v>0</v>
      </c>
      <c r="BR104" s="408">
        <f t="shared" si="190"/>
        <v>1.2</v>
      </c>
      <c r="BS104" s="409">
        <f t="shared" si="140"/>
        <v>0</v>
      </c>
      <c r="BT104" s="410"/>
      <c r="BU104" s="411"/>
      <c r="BV104" s="438"/>
      <c r="BW104" s="412">
        <f t="shared" si="141"/>
        <v>0</v>
      </c>
    </row>
    <row r="105" spans="1:76" ht="16.899999999999999" customHeight="1" x14ac:dyDescent="0.3">
      <c r="A105" s="8" t="s">
        <v>33</v>
      </c>
      <c r="B105" s="9" t="s">
        <v>37</v>
      </c>
      <c r="C105" s="9" t="s">
        <v>117</v>
      </c>
      <c r="D105" s="25" t="s">
        <v>158</v>
      </c>
      <c r="E105" s="10" t="s">
        <v>103</v>
      </c>
      <c r="F105" s="59">
        <v>25</v>
      </c>
      <c r="G105" s="369">
        <f>L105/F105</f>
        <v>0</v>
      </c>
      <c r="H105" s="553">
        <v>25</v>
      </c>
      <c r="I105" s="371">
        <v>17</v>
      </c>
      <c r="J105" s="371">
        <v>8</v>
      </c>
      <c r="K105" s="554">
        <v>5</v>
      </c>
      <c r="L105" s="373">
        <f>N105+O105+P105</f>
        <v>0</v>
      </c>
      <c r="M105" s="373">
        <f>N105+O105</f>
        <v>0</v>
      </c>
      <c r="N105" s="374">
        <f t="shared" si="194"/>
        <v>0</v>
      </c>
      <c r="O105" s="374">
        <f t="shared" si="194"/>
        <v>0</v>
      </c>
      <c r="P105" s="375">
        <f t="shared" si="194"/>
        <v>0</v>
      </c>
      <c r="Q105" s="376">
        <f>R105+U105</f>
        <v>0</v>
      </c>
      <c r="R105" s="374">
        <f>S105+T105</f>
        <v>0</v>
      </c>
      <c r="S105" s="377"/>
      <c r="T105" s="377"/>
      <c r="U105" s="377"/>
      <c r="V105" s="378">
        <f t="shared" si="174"/>
        <v>0</v>
      </c>
      <c r="W105" s="379">
        <v>70.900000000000006</v>
      </c>
      <c r="X105" s="380"/>
      <c r="Y105" s="376">
        <f>Z105+AC105</f>
        <v>0</v>
      </c>
      <c r="Z105" s="374">
        <f>AA105+AB105</f>
        <v>0</v>
      </c>
      <c r="AA105" s="381"/>
      <c r="AB105" s="381"/>
      <c r="AC105" s="382"/>
      <c r="AD105" s="376">
        <f>AE105+AH105</f>
        <v>0</v>
      </c>
      <c r="AE105" s="374">
        <f>AF105+AG105</f>
        <v>0</v>
      </c>
      <c r="AF105" s="381"/>
      <c r="AG105" s="381"/>
      <c r="AH105" s="383"/>
      <c r="AI105" s="433">
        <f>AJ105+AK105</f>
        <v>0</v>
      </c>
      <c r="AJ105" s="385"/>
      <c r="AK105" s="386"/>
      <c r="AL105" s="387"/>
      <c r="AM105" s="434">
        <f t="shared" si="125"/>
        <v>0</v>
      </c>
      <c r="AN105" s="389"/>
      <c r="AO105" s="435"/>
      <c r="AP105" s="435"/>
      <c r="AQ105" s="435"/>
      <c r="AR105" s="346" t="e">
        <f t="shared" si="126"/>
        <v>#DIV/0!</v>
      </c>
      <c r="AS105" s="436"/>
      <c r="AT105" s="566">
        <v>14</v>
      </c>
      <c r="AU105" s="48"/>
      <c r="AV105" s="48"/>
      <c r="AW105" s="52"/>
      <c r="AX105" s="393" t="e">
        <f t="shared" si="127"/>
        <v>#DIV/0!</v>
      </c>
      <c r="AY105" s="77">
        <v>472</v>
      </c>
      <c r="AZ105" s="437">
        <f>BA105+BB105</f>
        <v>0</v>
      </c>
      <c r="BA105" s="395"/>
      <c r="BB105" s="396"/>
      <c r="BC105" s="397"/>
      <c r="BD105" s="399">
        <f t="shared" si="136"/>
        <v>10</v>
      </c>
      <c r="BE105" s="531">
        <f t="shared" si="137"/>
        <v>8</v>
      </c>
      <c r="BF105" s="532">
        <v>4</v>
      </c>
      <c r="BG105" s="532">
        <v>4</v>
      </c>
      <c r="BH105" s="533">
        <v>2</v>
      </c>
      <c r="BI105" s="402">
        <f>SUM(BJ105:BK105)</f>
        <v>10</v>
      </c>
      <c r="BJ105" s="403">
        <v>5</v>
      </c>
      <c r="BK105" s="403">
        <v>5</v>
      </c>
      <c r="BL105" s="534">
        <v>3</v>
      </c>
      <c r="BM105" s="529">
        <f t="shared" si="195"/>
        <v>18</v>
      </c>
      <c r="BN105" s="407">
        <f t="shared" si="129"/>
        <v>16</v>
      </c>
      <c r="BO105" s="12">
        <v>13</v>
      </c>
      <c r="BP105" s="12">
        <v>3</v>
      </c>
      <c r="BQ105" s="12">
        <v>2</v>
      </c>
      <c r="BR105" s="408">
        <f t="shared" si="190"/>
        <v>1.8</v>
      </c>
      <c r="BS105" s="409">
        <f t="shared" si="140"/>
        <v>0</v>
      </c>
      <c r="BT105" s="410"/>
      <c r="BU105" s="411"/>
      <c r="BV105" s="438"/>
      <c r="BW105" s="412">
        <f t="shared" si="141"/>
        <v>0</v>
      </c>
    </row>
    <row r="106" spans="1:76" ht="16.899999999999999" customHeight="1" x14ac:dyDescent="0.3">
      <c r="A106" s="8" t="s">
        <v>33</v>
      </c>
      <c r="B106" s="9" t="s">
        <v>37</v>
      </c>
      <c r="C106" s="9" t="s">
        <v>115</v>
      </c>
      <c r="D106" s="25" t="s">
        <v>116</v>
      </c>
      <c r="E106" s="10" t="s">
        <v>103</v>
      </c>
      <c r="F106" s="59">
        <v>30</v>
      </c>
      <c r="G106" s="369">
        <f>L106/F106</f>
        <v>2.5333333333333332</v>
      </c>
      <c r="H106" s="553">
        <v>30</v>
      </c>
      <c r="I106" s="371">
        <v>21</v>
      </c>
      <c r="J106" s="371">
        <v>9</v>
      </c>
      <c r="K106" s="554">
        <v>6</v>
      </c>
      <c r="L106" s="373">
        <v>76</v>
      </c>
      <c r="M106" s="373"/>
      <c r="N106" s="374"/>
      <c r="O106" s="374"/>
      <c r="P106" s="375"/>
      <c r="Q106" s="376">
        <f>R106+U106</f>
        <v>0</v>
      </c>
      <c r="R106" s="374">
        <f>S106+T106</f>
        <v>0</v>
      </c>
      <c r="S106" s="377"/>
      <c r="T106" s="377"/>
      <c r="U106" s="377"/>
      <c r="V106" s="378">
        <f t="shared" si="174"/>
        <v>0</v>
      </c>
      <c r="W106" s="379">
        <v>91.3</v>
      </c>
      <c r="X106" s="380"/>
      <c r="Y106" s="376">
        <f>Z106+AC106</f>
        <v>0</v>
      </c>
      <c r="Z106" s="374">
        <f>AA106+AB106</f>
        <v>0</v>
      </c>
      <c r="AA106" s="381"/>
      <c r="AB106" s="381"/>
      <c r="AC106" s="382"/>
      <c r="AD106" s="376">
        <f>AE106+AH106</f>
        <v>0</v>
      </c>
      <c r="AE106" s="374">
        <f>AF106+AG106</f>
        <v>0</v>
      </c>
      <c r="AF106" s="381"/>
      <c r="AG106" s="381"/>
      <c r="AH106" s="383"/>
      <c r="AI106" s="433">
        <f>AJ106+AK106</f>
        <v>0</v>
      </c>
      <c r="AJ106" s="385"/>
      <c r="AK106" s="386"/>
      <c r="AL106" s="387"/>
      <c r="AM106" s="434">
        <f t="shared" si="125"/>
        <v>0</v>
      </c>
      <c r="AN106" s="389"/>
      <c r="AO106" s="435"/>
      <c r="AP106" s="435"/>
      <c r="AQ106" s="435"/>
      <c r="AR106" s="346" t="e">
        <f t="shared" si="126"/>
        <v>#DIV/0!</v>
      </c>
      <c r="AS106" s="436"/>
      <c r="AT106" s="566">
        <v>30</v>
      </c>
      <c r="AU106" s="48"/>
      <c r="AV106" s="48"/>
      <c r="AW106" s="52"/>
      <c r="AX106" s="393" t="e">
        <f t="shared" si="127"/>
        <v>#DIV/0!</v>
      </c>
      <c r="AY106" s="77">
        <v>491</v>
      </c>
      <c r="AZ106" s="437">
        <f>BA106+BB106</f>
        <v>0</v>
      </c>
      <c r="BA106" s="395"/>
      <c r="BB106" s="396"/>
      <c r="BC106" s="397"/>
      <c r="BD106" s="399">
        <f t="shared" si="136"/>
        <v>0</v>
      </c>
      <c r="BE106" s="531">
        <f t="shared" si="137"/>
        <v>0</v>
      </c>
      <c r="BF106" s="532"/>
      <c r="BG106" s="532"/>
      <c r="BH106" s="533"/>
      <c r="BI106" s="402">
        <f>SUM(BJ106:BK106)</f>
        <v>2</v>
      </c>
      <c r="BJ106" s="403">
        <v>1</v>
      </c>
      <c r="BK106" s="403">
        <v>1</v>
      </c>
      <c r="BL106" s="534">
        <v>1</v>
      </c>
      <c r="BM106" s="529">
        <f t="shared" si="195"/>
        <v>20</v>
      </c>
      <c r="BN106" s="407">
        <f t="shared" si="129"/>
        <v>16</v>
      </c>
      <c r="BO106" s="12">
        <v>14</v>
      </c>
      <c r="BP106" s="12">
        <v>2</v>
      </c>
      <c r="BQ106" s="12">
        <v>4</v>
      </c>
      <c r="BR106" s="408">
        <f t="shared" si="190"/>
        <v>10</v>
      </c>
      <c r="BS106" s="409">
        <f t="shared" si="140"/>
        <v>0</v>
      </c>
      <c r="BT106" s="410"/>
      <c r="BU106" s="411"/>
      <c r="BV106" s="438"/>
      <c r="BW106" s="412">
        <f t="shared" si="141"/>
        <v>0</v>
      </c>
    </row>
    <row r="107" spans="1:76" ht="16.899999999999999" customHeight="1" x14ac:dyDescent="0.3">
      <c r="A107" s="8" t="s">
        <v>33</v>
      </c>
      <c r="B107" s="9" t="s">
        <v>37</v>
      </c>
      <c r="C107" s="9" t="s">
        <v>108</v>
      </c>
      <c r="D107" s="25" t="s">
        <v>179</v>
      </c>
      <c r="E107" s="10" t="s">
        <v>103</v>
      </c>
      <c r="F107" s="59">
        <v>25</v>
      </c>
      <c r="G107" s="369">
        <f>L107/F107</f>
        <v>0</v>
      </c>
      <c r="H107" s="553">
        <v>25</v>
      </c>
      <c r="I107" s="371">
        <v>17</v>
      </c>
      <c r="J107" s="371">
        <v>8</v>
      </c>
      <c r="K107" s="554">
        <v>5</v>
      </c>
      <c r="L107" s="373">
        <f>N107+O107+P107</f>
        <v>0</v>
      </c>
      <c r="M107" s="373">
        <f>N107+O107</f>
        <v>0</v>
      </c>
      <c r="N107" s="374">
        <f>AA107+AF107</f>
        <v>0</v>
      </c>
      <c r="O107" s="374">
        <f>AB107+AG107</f>
        <v>0</v>
      </c>
      <c r="P107" s="375">
        <f>AC107+AH107</f>
        <v>0</v>
      </c>
      <c r="Q107" s="376">
        <f>R107+U107</f>
        <v>0</v>
      </c>
      <c r="R107" s="374">
        <f>S107+T107</f>
        <v>0</v>
      </c>
      <c r="S107" s="377"/>
      <c r="T107" s="377"/>
      <c r="U107" s="377"/>
      <c r="V107" s="378">
        <f t="shared" si="174"/>
        <v>0</v>
      </c>
      <c r="W107" s="379">
        <v>74.3</v>
      </c>
      <c r="X107" s="380"/>
      <c r="Y107" s="376">
        <f>Z107+AC107</f>
        <v>0</v>
      </c>
      <c r="Z107" s="374">
        <f>AA107+AB107</f>
        <v>0</v>
      </c>
      <c r="AA107" s="381"/>
      <c r="AB107" s="381"/>
      <c r="AC107" s="382"/>
      <c r="AD107" s="376">
        <f>AE107+AH107</f>
        <v>0</v>
      </c>
      <c r="AE107" s="374">
        <f>AF107+AG107</f>
        <v>0</v>
      </c>
      <c r="AF107" s="381"/>
      <c r="AG107" s="381"/>
      <c r="AH107" s="383"/>
      <c r="AI107" s="433">
        <f>AJ107+AK107</f>
        <v>0</v>
      </c>
      <c r="AJ107" s="385"/>
      <c r="AK107" s="386"/>
      <c r="AL107" s="387"/>
      <c r="AM107" s="434">
        <f t="shared" si="125"/>
        <v>0</v>
      </c>
      <c r="AN107" s="389"/>
      <c r="AO107" s="435"/>
      <c r="AP107" s="435"/>
      <c r="AQ107" s="435"/>
      <c r="AR107" s="346" t="e">
        <f t="shared" si="126"/>
        <v>#DIV/0!</v>
      </c>
      <c r="AS107" s="436"/>
      <c r="AT107" s="566">
        <v>21</v>
      </c>
      <c r="AU107" s="48"/>
      <c r="AV107" s="48"/>
      <c r="AW107" s="52"/>
      <c r="AX107" s="393" t="e">
        <f t="shared" si="127"/>
        <v>#DIV/0!</v>
      </c>
      <c r="AY107" s="79">
        <v>362</v>
      </c>
      <c r="AZ107" s="437">
        <f>BA107+BB107</f>
        <v>0</v>
      </c>
      <c r="BA107" s="395"/>
      <c r="BB107" s="396"/>
      <c r="BC107" s="397"/>
      <c r="BD107" s="399">
        <f t="shared" ref="BD107:BD130" si="196">BE107+BH107</f>
        <v>3</v>
      </c>
      <c r="BE107" s="531">
        <f t="shared" ref="BE107:BE130" si="197">BF107+BG107</f>
        <v>0</v>
      </c>
      <c r="BF107" s="532"/>
      <c r="BG107" s="532"/>
      <c r="BH107" s="533">
        <v>3</v>
      </c>
      <c r="BI107" s="402">
        <f>SUM(BJ107:BK107)</f>
        <v>2</v>
      </c>
      <c r="BJ107" s="403">
        <v>1</v>
      </c>
      <c r="BK107" s="403">
        <v>1</v>
      </c>
      <c r="BL107" s="534">
        <v>4</v>
      </c>
      <c r="BM107" s="529">
        <f t="shared" si="195"/>
        <v>7</v>
      </c>
      <c r="BN107" s="407">
        <f t="shared" si="129"/>
        <v>7</v>
      </c>
      <c r="BO107" s="12">
        <v>7</v>
      </c>
      <c r="BP107" s="12">
        <v>0</v>
      </c>
      <c r="BQ107" s="12">
        <v>0</v>
      </c>
      <c r="BR107" s="408">
        <f t="shared" si="190"/>
        <v>3.5</v>
      </c>
      <c r="BS107" s="409">
        <f t="shared" ref="BS107:BS130" si="198">BT107+BU107+BV107</f>
        <v>0</v>
      </c>
      <c r="BT107" s="410"/>
      <c r="BU107" s="411"/>
      <c r="BV107" s="438"/>
      <c r="BW107" s="412">
        <f t="shared" ref="BW107:BW130" si="199">BS107/BI107</f>
        <v>0</v>
      </c>
    </row>
    <row r="108" spans="1:76" ht="20.45" customHeight="1" x14ac:dyDescent="0.3">
      <c r="A108" s="742" t="s">
        <v>180</v>
      </c>
      <c r="B108" s="743"/>
      <c r="C108" s="743"/>
      <c r="D108" s="743"/>
      <c r="E108" s="744"/>
      <c r="F108" s="57">
        <f>F109+F119+F124+F128</f>
        <v>575</v>
      </c>
      <c r="G108" s="288">
        <f>L108/F108</f>
        <v>0</v>
      </c>
      <c r="H108" s="503">
        <f t="shared" ref="H108:U108" si="200">H109+H119+H124+H128</f>
        <v>575</v>
      </c>
      <c r="I108" s="504">
        <f t="shared" si="200"/>
        <v>391</v>
      </c>
      <c r="J108" s="504">
        <f t="shared" si="200"/>
        <v>184</v>
      </c>
      <c r="K108" s="505">
        <f t="shared" si="200"/>
        <v>115</v>
      </c>
      <c r="L108" s="506">
        <f t="shared" si="200"/>
        <v>0</v>
      </c>
      <c r="M108" s="506">
        <f t="shared" si="200"/>
        <v>0</v>
      </c>
      <c r="N108" s="506">
        <f t="shared" si="200"/>
        <v>0</v>
      </c>
      <c r="O108" s="506">
        <f t="shared" si="200"/>
        <v>0</v>
      </c>
      <c r="P108" s="535">
        <f t="shared" si="200"/>
        <v>0</v>
      </c>
      <c r="Q108" s="468">
        <f t="shared" si="200"/>
        <v>0</v>
      </c>
      <c r="R108" s="469">
        <f t="shared" si="200"/>
        <v>0</v>
      </c>
      <c r="S108" s="469">
        <f t="shared" si="200"/>
        <v>0</v>
      </c>
      <c r="T108" s="469">
        <f t="shared" si="200"/>
        <v>0</v>
      </c>
      <c r="U108" s="469">
        <f t="shared" si="200"/>
        <v>0</v>
      </c>
      <c r="V108" s="466">
        <f t="shared" si="174"/>
        <v>0</v>
      </c>
      <c r="W108" s="464">
        <f t="shared" ref="W108:AI108" si="201">W109+W119+W124+W128</f>
        <v>1303.9000000000001</v>
      </c>
      <c r="X108" s="506">
        <f t="shared" si="201"/>
        <v>0</v>
      </c>
      <c r="Y108" s="468">
        <f t="shared" si="201"/>
        <v>0</v>
      </c>
      <c r="Z108" s="469">
        <f t="shared" si="201"/>
        <v>0</v>
      </c>
      <c r="AA108" s="469">
        <f t="shared" si="201"/>
        <v>0</v>
      </c>
      <c r="AB108" s="469">
        <f t="shared" si="201"/>
        <v>0</v>
      </c>
      <c r="AC108" s="467">
        <f t="shared" si="201"/>
        <v>0</v>
      </c>
      <c r="AD108" s="468">
        <f t="shared" si="201"/>
        <v>0</v>
      </c>
      <c r="AE108" s="469">
        <f t="shared" si="201"/>
        <v>0</v>
      </c>
      <c r="AF108" s="469">
        <f t="shared" si="201"/>
        <v>0</v>
      </c>
      <c r="AG108" s="469">
        <f t="shared" si="201"/>
        <v>0</v>
      </c>
      <c r="AH108" s="470">
        <f t="shared" si="201"/>
        <v>0</v>
      </c>
      <c r="AI108" s="508">
        <f t="shared" si="201"/>
        <v>0</v>
      </c>
      <c r="AJ108" s="509"/>
      <c r="AK108" s="510"/>
      <c r="AL108" s="511"/>
      <c r="AM108" s="474">
        <f t="shared" si="125"/>
        <v>0</v>
      </c>
      <c r="AN108" s="475"/>
      <c r="AO108" s="512"/>
      <c r="AP108" s="512"/>
      <c r="AQ108" s="512"/>
      <c r="AR108" s="308" t="e">
        <f t="shared" si="126"/>
        <v>#DIV/0!</v>
      </c>
      <c r="AS108" s="309">
        <v>1.5629999999999999</v>
      </c>
      <c r="AT108" s="567">
        <f>AT109+AT119+AT124+AT128</f>
        <v>435</v>
      </c>
      <c r="AU108" s="479"/>
      <c r="AV108" s="479"/>
      <c r="AW108" s="480"/>
      <c r="AX108" s="481" t="e">
        <f t="shared" si="127"/>
        <v>#DIV/0!</v>
      </c>
      <c r="AY108" s="482">
        <v>0.88100000000000001</v>
      </c>
      <c r="AZ108" s="483">
        <f>AZ109+AZ119+AZ124+AZ128</f>
        <v>0</v>
      </c>
      <c r="BA108" s="484"/>
      <c r="BB108" s="485"/>
      <c r="BC108" s="486"/>
      <c r="BD108" s="514">
        <f t="shared" si="196"/>
        <v>102</v>
      </c>
      <c r="BE108" s="514">
        <f t="shared" si="197"/>
        <v>70</v>
      </c>
      <c r="BF108" s="515">
        <f t="shared" ref="BF108:BL108" si="202">BF109+BF119+BF124+BF128</f>
        <v>34</v>
      </c>
      <c r="BG108" s="515">
        <f t="shared" si="202"/>
        <v>36</v>
      </c>
      <c r="BH108" s="516">
        <f t="shared" si="202"/>
        <v>32</v>
      </c>
      <c r="BI108" s="490">
        <f t="shared" si="202"/>
        <v>134</v>
      </c>
      <c r="BJ108" s="491">
        <f t="shared" si="202"/>
        <v>84</v>
      </c>
      <c r="BK108" s="479">
        <f t="shared" si="202"/>
        <v>50</v>
      </c>
      <c r="BL108" s="492">
        <f t="shared" si="202"/>
        <v>50</v>
      </c>
      <c r="BM108" s="517">
        <f t="shared" si="195"/>
        <v>373</v>
      </c>
      <c r="BN108" s="487">
        <f t="shared" si="129"/>
        <v>329</v>
      </c>
      <c r="BO108" s="515">
        <f>BO109+BO119+BO124+BO128</f>
        <v>216</v>
      </c>
      <c r="BP108" s="515">
        <f>BP109+BP119+BP124+BP128</f>
        <v>113</v>
      </c>
      <c r="BQ108" s="515">
        <f>BQ109+BQ119+BQ124+BQ128</f>
        <v>44</v>
      </c>
      <c r="BR108" s="494">
        <f t="shared" si="190"/>
        <v>2.783582089552239</v>
      </c>
      <c r="BS108" s="327">
        <f t="shared" si="198"/>
        <v>0</v>
      </c>
      <c r="BT108" s="328">
        <f>BT109+BT119+BT124+BT128</f>
        <v>0</v>
      </c>
      <c r="BU108" s="328">
        <f>BU109+BU119+BU124+BU128</f>
        <v>0</v>
      </c>
      <c r="BV108" s="328">
        <f>BV109+BV119+BV124+BV128</f>
        <v>0</v>
      </c>
      <c r="BW108" s="329">
        <f t="shared" si="199"/>
        <v>0</v>
      </c>
    </row>
    <row r="109" spans="1:76" ht="16.899999999999999" customHeight="1" x14ac:dyDescent="0.3">
      <c r="A109" s="4" t="s">
        <v>181</v>
      </c>
      <c r="B109" s="100" t="s">
        <v>39</v>
      </c>
      <c r="C109" s="5"/>
      <c r="D109" s="13" t="s">
        <v>21</v>
      </c>
      <c r="E109" s="6"/>
      <c r="F109" s="58">
        <f t="shared" ref="F109:U109" si="203">SUM(F110:F118)</f>
        <v>300</v>
      </c>
      <c r="G109" s="7">
        <f t="shared" si="203"/>
        <v>0</v>
      </c>
      <c r="H109" s="7">
        <f t="shared" si="203"/>
        <v>300</v>
      </c>
      <c r="I109" s="67">
        <f t="shared" si="203"/>
        <v>204</v>
      </c>
      <c r="J109" s="67">
        <f t="shared" si="203"/>
        <v>96</v>
      </c>
      <c r="K109" s="70">
        <f t="shared" si="203"/>
        <v>60</v>
      </c>
      <c r="L109" s="413">
        <f t="shared" si="203"/>
        <v>0</v>
      </c>
      <c r="M109" s="413">
        <f t="shared" si="203"/>
        <v>0</v>
      </c>
      <c r="N109" s="413">
        <f t="shared" si="203"/>
        <v>0</v>
      </c>
      <c r="O109" s="413">
        <f t="shared" si="203"/>
        <v>0</v>
      </c>
      <c r="P109" s="414">
        <f t="shared" si="203"/>
        <v>0</v>
      </c>
      <c r="Q109" s="415">
        <f t="shared" si="203"/>
        <v>0</v>
      </c>
      <c r="R109" s="416">
        <f t="shared" si="203"/>
        <v>0</v>
      </c>
      <c r="S109" s="416">
        <f t="shared" si="203"/>
        <v>0</v>
      </c>
      <c r="T109" s="416">
        <f t="shared" si="203"/>
        <v>0</v>
      </c>
      <c r="U109" s="416">
        <f t="shared" si="203"/>
        <v>0</v>
      </c>
      <c r="V109" s="334">
        <f t="shared" si="174"/>
        <v>0</v>
      </c>
      <c r="W109" s="335">
        <f t="shared" ref="W109:AI109" si="204">SUM(W110:W118)</f>
        <v>673.80000000000007</v>
      </c>
      <c r="X109" s="413">
        <f t="shared" si="204"/>
        <v>0</v>
      </c>
      <c r="Y109" s="415">
        <f t="shared" si="204"/>
        <v>0</v>
      </c>
      <c r="Z109" s="416">
        <f t="shared" si="204"/>
        <v>0</v>
      </c>
      <c r="AA109" s="416">
        <f t="shared" si="204"/>
        <v>0</v>
      </c>
      <c r="AB109" s="416">
        <f t="shared" si="204"/>
        <v>0</v>
      </c>
      <c r="AC109" s="417">
        <f t="shared" si="204"/>
        <v>0</v>
      </c>
      <c r="AD109" s="415">
        <f t="shared" si="204"/>
        <v>0</v>
      </c>
      <c r="AE109" s="416">
        <f t="shared" si="204"/>
        <v>0</v>
      </c>
      <c r="AF109" s="416">
        <f t="shared" si="204"/>
        <v>0</v>
      </c>
      <c r="AG109" s="416">
        <f t="shared" si="204"/>
        <v>0</v>
      </c>
      <c r="AH109" s="418">
        <f t="shared" si="204"/>
        <v>0</v>
      </c>
      <c r="AI109" s="339">
        <f t="shared" si="204"/>
        <v>0</v>
      </c>
      <c r="AJ109" s="340"/>
      <c r="AK109" s="341"/>
      <c r="AL109" s="342"/>
      <c r="AM109" s="420">
        <f t="shared" si="125"/>
        <v>0</v>
      </c>
      <c r="AN109" s="344"/>
      <c r="AO109" s="440"/>
      <c r="AP109" s="440"/>
      <c r="AQ109" s="440"/>
      <c r="AR109" s="346" t="e">
        <f t="shared" si="126"/>
        <v>#DIV/0!</v>
      </c>
      <c r="AS109" s="424">
        <v>1.9339999999999999</v>
      </c>
      <c r="AT109" s="561">
        <f>SUM(AT110:AT118)</f>
        <v>256</v>
      </c>
      <c r="AU109" s="361"/>
      <c r="AV109" s="361"/>
      <c r="AW109" s="444"/>
      <c r="AX109" s="352" t="e">
        <f t="shared" si="127"/>
        <v>#DIV/0!</v>
      </c>
      <c r="AY109" s="427">
        <v>1.0369999999999999</v>
      </c>
      <c r="AZ109" s="354">
        <f>SUM(AZ110:AZ118)</f>
        <v>0</v>
      </c>
      <c r="BA109" s="340"/>
      <c r="BB109" s="340"/>
      <c r="BC109" s="355"/>
      <c r="BD109" s="356">
        <f t="shared" si="196"/>
        <v>26</v>
      </c>
      <c r="BE109" s="562">
        <f t="shared" si="197"/>
        <v>15</v>
      </c>
      <c r="BF109" s="562">
        <f t="shared" ref="BF109:BL109" si="205">SUM(BF110:BF118)</f>
        <v>1</v>
      </c>
      <c r="BG109" s="562">
        <f t="shared" si="205"/>
        <v>14</v>
      </c>
      <c r="BH109" s="563">
        <f t="shared" si="205"/>
        <v>11</v>
      </c>
      <c r="BI109" s="428">
        <f t="shared" si="205"/>
        <v>48</v>
      </c>
      <c r="BJ109" s="429">
        <f t="shared" si="205"/>
        <v>27</v>
      </c>
      <c r="BK109" s="430">
        <f t="shared" si="205"/>
        <v>21</v>
      </c>
      <c r="BL109" s="431">
        <f t="shared" si="205"/>
        <v>20</v>
      </c>
      <c r="BM109" s="363">
        <f t="shared" si="195"/>
        <v>210</v>
      </c>
      <c r="BN109" s="356">
        <f t="shared" si="129"/>
        <v>184</v>
      </c>
      <c r="BO109" s="440">
        <f>SUM(BO110:BO118)</f>
        <v>130</v>
      </c>
      <c r="BP109" s="440">
        <f>SUM(BP110:BP118)</f>
        <v>54</v>
      </c>
      <c r="BQ109" s="440">
        <f>SUM(BQ110:BQ118)</f>
        <v>26</v>
      </c>
      <c r="BR109" s="432">
        <f t="shared" si="190"/>
        <v>4.375</v>
      </c>
      <c r="BS109" s="366">
        <f t="shared" si="198"/>
        <v>0</v>
      </c>
      <c r="BT109" s="367">
        <f>SUM(BT110:BT118)</f>
        <v>0</v>
      </c>
      <c r="BU109" s="367">
        <f>SUM(BU110:BU118)</f>
        <v>0</v>
      </c>
      <c r="BV109" s="367">
        <f>SUM(BV110:BV118)</f>
        <v>0</v>
      </c>
      <c r="BW109" s="368">
        <f t="shared" si="199"/>
        <v>0</v>
      </c>
      <c r="BX109" t="s">
        <v>39</v>
      </c>
    </row>
    <row r="110" spans="1:76" ht="16.899999999999999" customHeight="1" x14ac:dyDescent="0.3">
      <c r="A110" s="8" t="s">
        <v>181</v>
      </c>
      <c r="B110" s="25" t="s">
        <v>39</v>
      </c>
      <c r="C110" s="14" t="s">
        <v>110</v>
      </c>
      <c r="D110" s="43" t="s">
        <v>155</v>
      </c>
      <c r="E110" s="15" t="s">
        <v>103</v>
      </c>
      <c r="F110" s="59">
        <v>25</v>
      </c>
      <c r="G110" s="369">
        <f t="shared" ref="G110:G118" si="206">L110/F110</f>
        <v>0</v>
      </c>
      <c r="H110" s="553">
        <v>25</v>
      </c>
      <c r="I110" s="371">
        <v>17</v>
      </c>
      <c r="J110" s="371">
        <v>8</v>
      </c>
      <c r="K110" s="554">
        <v>5</v>
      </c>
      <c r="L110" s="373">
        <f t="shared" ref="L110:L118" si="207">N110+O110+P110</f>
        <v>0</v>
      </c>
      <c r="M110" s="373">
        <f t="shared" ref="M110:M118" si="208">N110+O110</f>
        <v>0</v>
      </c>
      <c r="N110" s="374">
        <f t="shared" ref="N110:N118" si="209">AA110+AF110</f>
        <v>0</v>
      </c>
      <c r="O110" s="374">
        <f t="shared" ref="O110:O118" si="210">AB110+AG110</f>
        <v>0</v>
      </c>
      <c r="P110" s="375">
        <f t="shared" ref="P110:P118" si="211">AC110+AH110</f>
        <v>0</v>
      </c>
      <c r="Q110" s="376">
        <f t="shared" ref="Q110:Q118" si="212">R110+U110</f>
        <v>0</v>
      </c>
      <c r="R110" s="374">
        <f t="shared" ref="R110:R118" si="213">S110+T110</f>
        <v>0</v>
      </c>
      <c r="S110" s="377"/>
      <c r="T110" s="377"/>
      <c r="U110" s="377"/>
      <c r="V110" s="378">
        <f t="shared" si="174"/>
        <v>0</v>
      </c>
      <c r="W110" s="379">
        <v>82.3</v>
      </c>
      <c r="X110" s="380"/>
      <c r="Y110" s="376">
        <f t="shared" ref="Y110:Y118" si="214">Z110+AC110</f>
        <v>0</v>
      </c>
      <c r="Z110" s="374">
        <f t="shared" ref="Z110:Z118" si="215">AA110+AB110</f>
        <v>0</v>
      </c>
      <c r="AA110" s="381"/>
      <c r="AB110" s="381"/>
      <c r="AC110" s="382"/>
      <c r="AD110" s="376">
        <f t="shared" ref="AD110:AD118" si="216">AE110+AH110</f>
        <v>0</v>
      </c>
      <c r="AE110" s="374">
        <f t="shared" ref="AE110:AE118" si="217">AF110+AG110</f>
        <v>0</v>
      </c>
      <c r="AF110" s="381"/>
      <c r="AG110" s="381"/>
      <c r="AH110" s="383"/>
      <c r="AI110" s="433">
        <f t="shared" ref="AI110:AI118" si="218">AJ110+AK110</f>
        <v>0</v>
      </c>
      <c r="AJ110" s="385"/>
      <c r="AK110" s="386"/>
      <c r="AL110" s="387"/>
      <c r="AM110" s="434">
        <f t="shared" si="125"/>
        <v>0</v>
      </c>
      <c r="AN110" s="389"/>
      <c r="AO110" s="435"/>
      <c r="AP110" s="435"/>
      <c r="AQ110" s="435"/>
      <c r="AR110" s="346" t="e">
        <f t="shared" si="126"/>
        <v>#DIV/0!</v>
      </c>
      <c r="AS110" s="436"/>
      <c r="AT110" s="566">
        <v>10</v>
      </c>
      <c r="AU110" s="48"/>
      <c r="AV110" s="48"/>
      <c r="AW110" s="52"/>
      <c r="AX110" s="393" t="e">
        <f t="shared" si="127"/>
        <v>#DIV/0!</v>
      </c>
      <c r="AY110" s="77">
        <v>348</v>
      </c>
      <c r="AZ110" s="437">
        <f t="shared" ref="AZ110:AZ118" si="219">BA110+BB110</f>
        <v>0</v>
      </c>
      <c r="BA110" s="395"/>
      <c r="BB110" s="396"/>
      <c r="BC110" s="397"/>
      <c r="BD110" s="399">
        <f t="shared" si="196"/>
        <v>13</v>
      </c>
      <c r="BE110" s="531">
        <f t="shared" si="197"/>
        <v>11</v>
      </c>
      <c r="BF110" s="400">
        <v>6</v>
      </c>
      <c r="BG110" s="400">
        <v>5</v>
      </c>
      <c r="BH110" s="401">
        <v>2</v>
      </c>
      <c r="BI110" s="568">
        <f t="shared" ref="BI110:BI118" si="220">SUM(BJ110:BK110)</f>
        <v>14</v>
      </c>
      <c r="BJ110" s="569">
        <v>8</v>
      </c>
      <c r="BK110" s="456">
        <v>6</v>
      </c>
      <c r="BL110" s="570">
        <v>3</v>
      </c>
      <c r="BM110" s="406">
        <f t="shared" si="195"/>
        <v>15</v>
      </c>
      <c r="BN110" s="407">
        <f t="shared" si="129"/>
        <v>14</v>
      </c>
      <c r="BO110" s="12">
        <v>14</v>
      </c>
      <c r="BP110" s="12">
        <v>0</v>
      </c>
      <c r="BQ110" s="12">
        <v>1</v>
      </c>
      <c r="BR110" s="408">
        <f t="shared" si="190"/>
        <v>1.0714285714285714</v>
      </c>
      <c r="BS110" s="409">
        <f t="shared" si="198"/>
        <v>0</v>
      </c>
      <c r="BT110" s="410"/>
      <c r="BU110" s="439"/>
      <c r="BV110" s="458"/>
      <c r="BW110" s="412">
        <f t="shared" si="199"/>
        <v>0</v>
      </c>
    </row>
    <row r="111" spans="1:76" ht="16.899999999999999" customHeight="1" x14ac:dyDescent="0.3">
      <c r="A111" s="8" t="s">
        <v>181</v>
      </c>
      <c r="B111" s="25" t="s">
        <v>39</v>
      </c>
      <c r="C111" s="14" t="s">
        <v>122</v>
      </c>
      <c r="D111" s="43" t="s">
        <v>182</v>
      </c>
      <c r="E111" s="15" t="s">
        <v>103</v>
      </c>
      <c r="F111" s="59">
        <v>25</v>
      </c>
      <c r="G111" s="369">
        <f t="shared" si="206"/>
        <v>0</v>
      </c>
      <c r="H111" s="553">
        <v>25</v>
      </c>
      <c r="I111" s="371">
        <v>17</v>
      </c>
      <c r="J111" s="371">
        <v>8</v>
      </c>
      <c r="K111" s="554">
        <v>5</v>
      </c>
      <c r="L111" s="373">
        <f t="shared" si="207"/>
        <v>0</v>
      </c>
      <c r="M111" s="373">
        <f t="shared" si="208"/>
        <v>0</v>
      </c>
      <c r="N111" s="374">
        <f t="shared" si="209"/>
        <v>0</v>
      </c>
      <c r="O111" s="374">
        <f t="shared" si="210"/>
        <v>0</v>
      </c>
      <c r="P111" s="375">
        <f t="shared" si="211"/>
        <v>0</v>
      </c>
      <c r="Q111" s="376">
        <f t="shared" si="212"/>
        <v>0</v>
      </c>
      <c r="R111" s="374">
        <f t="shared" si="213"/>
        <v>0</v>
      </c>
      <c r="S111" s="377"/>
      <c r="T111" s="377"/>
      <c r="U111" s="377"/>
      <c r="V111" s="378">
        <f t="shared" si="174"/>
        <v>0</v>
      </c>
      <c r="W111" s="379">
        <v>57.8</v>
      </c>
      <c r="X111" s="380"/>
      <c r="Y111" s="376">
        <f t="shared" si="214"/>
        <v>0</v>
      </c>
      <c r="Z111" s="374">
        <f t="shared" si="215"/>
        <v>0</v>
      </c>
      <c r="AA111" s="381"/>
      <c r="AB111" s="381"/>
      <c r="AC111" s="382"/>
      <c r="AD111" s="376">
        <f t="shared" si="216"/>
        <v>0</v>
      </c>
      <c r="AE111" s="374">
        <f t="shared" si="217"/>
        <v>0</v>
      </c>
      <c r="AF111" s="381"/>
      <c r="AG111" s="381"/>
      <c r="AH111" s="383"/>
      <c r="AI111" s="433">
        <f t="shared" si="218"/>
        <v>0</v>
      </c>
      <c r="AJ111" s="385"/>
      <c r="AK111" s="386"/>
      <c r="AL111" s="387"/>
      <c r="AM111" s="434">
        <f t="shared" si="125"/>
        <v>0</v>
      </c>
      <c r="AN111" s="389"/>
      <c r="AO111" s="435"/>
      <c r="AP111" s="435"/>
      <c r="AQ111" s="435"/>
      <c r="AR111" s="346" t="e">
        <f t="shared" si="126"/>
        <v>#DIV/0!</v>
      </c>
      <c r="AS111" s="436"/>
      <c r="AT111" s="566">
        <v>20</v>
      </c>
      <c r="AU111" s="48"/>
      <c r="AV111" s="48"/>
      <c r="AW111" s="52"/>
      <c r="AX111" s="393" t="e">
        <f t="shared" si="127"/>
        <v>#DIV/0!</v>
      </c>
      <c r="AY111" s="77">
        <v>362</v>
      </c>
      <c r="AZ111" s="437">
        <f t="shared" si="219"/>
        <v>0</v>
      </c>
      <c r="BA111" s="395"/>
      <c r="BB111" s="396"/>
      <c r="BC111" s="397"/>
      <c r="BD111" s="399">
        <f t="shared" si="196"/>
        <v>3</v>
      </c>
      <c r="BE111" s="531">
        <f t="shared" si="197"/>
        <v>2</v>
      </c>
      <c r="BF111" s="400">
        <v>-2</v>
      </c>
      <c r="BG111" s="400">
        <v>4</v>
      </c>
      <c r="BH111" s="401">
        <v>1</v>
      </c>
      <c r="BI111" s="571">
        <f t="shared" si="220"/>
        <v>5</v>
      </c>
      <c r="BJ111" s="403">
        <v>2</v>
      </c>
      <c r="BK111" s="404">
        <v>3</v>
      </c>
      <c r="BL111" s="405">
        <v>2</v>
      </c>
      <c r="BM111" s="406">
        <f t="shared" si="195"/>
        <v>4</v>
      </c>
      <c r="BN111" s="407">
        <f t="shared" si="129"/>
        <v>3</v>
      </c>
      <c r="BO111" s="12">
        <v>1</v>
      </c>
      <c r="BP111" s="12">
        <v>2</v>
      </c>
      <c r="BQ111" s="12">
        <v>1</v>
      </c>
      <c r="BR111" s="408">
        <f t="shared" si="190"/>
        <v>0.8</v>
      </c>
      <c r="BS111" s="409">
        <f t="shared" si="198"/>
        <v>0</v>
      </c>
      <c r="BT111" s="410"/>
      <c r="BU111" s="439"/>
      <c r="BV111" s="458"/>
      <c r="BW111" s="412">
        <f t="shared" si="199"/>
        <v>0</v>
      </c>
    </row>
    <row r="112" spans="1:76" ht="16.899999999999999" customHeight="1" x14ac:dyDescent="0.3">
      <c r="A112" s="8" t="s">
        <v>181</v>
      </c>
      <c r="B112" s="25" t="s">
        <v>39</v>
      </c>
      <c r="C112" s="14" t="s">
        <v>183</v>
      </c>
      <c r="D112" s="43" t="s">
        <v>159</v>
      </c>
      <c r="E112" s="15" t="s">
        <v>103</v>
      </c>
      <c r="F112" s="59">
        <v>50</v>
      </c>
      <c r="G112" s="369">
        <f t="shared" si="206"/>
        <v>0</v>
      </c>
      <c r="H112" s="553">
        <v>50</v>
      </c>
      <c r="I112" s="371">
        <v>34</v>
      </c>
      <c r="J112" s="371">
        <v>16</v>
      </c>
      <c r="K112" s="554">
        <v>10</v>
      </c>
      <c r="L112" s="373">
        <f t="shared" si="207"/>
        <v>0</v>
      </c>
      <c r="M112" s="373">
        <f t="shared" si="208"/>
        <v>0</v>
      </c>
      <c r="N112" s="374">
        <f t="shared" si="209"/>
        <v>0</v>
      </c>
      <c r="O112" s="374">
        <f t="shared" si="210"/>
        <v>0</v>
      </c>
      <c r="P112" s="375">
        <f t="shared" si="211"/>
        <v>0</v>
      </c>
      <c r="Q112" s="376">
        <f t="shared" si="212"/>
        <v>0</v>
      </c>
      <c r="R112" s="374">
        <f t="shared" si="213"/>
        <v>0</v>
      </c>
      <c r="S112" s="377"/>
      <c r="T112" s="377"/>
      <c r="U112" s="377"/>
      <c r="V112" s="378">
        <f t="shared" si="174"/>
        <v>0</v>
      </c>
      <c r="W112" s="379">
        <v>78.5</v>
      </c>
      <c r="X112" s="380"/>
      <c r="Y112" s="376">
        <f t="shared" si="214"/>
        <v>0</v>
      </c>
      <c r="Z112" s="374">
        <f t="shared" si="215"/>
        <v>0</v>
      </c>
      <c r="AA112" s="381"/>
      <c r="AB112" s="381"/>
      <c r="AC112" s="382"/>
      <c r="AD112" s="376">
        <f t="shared" si="216"/>
        <v>0</v>
      </c>
      <c r="AE112" s="374">
        <f t="shared" si="217"/>
        <v>0</v>
      </c>
      <c r="AF112" s="381"/>
      <c r="AG112" s="381"/>
      <c r="AH112" s="383"/>
      <c r="AI112" s="433">
        <f t="shared" si="218"/>
        <v>0</v>
      </c>
      <c r="AJ112" s="385"/>
      <c r="AK112" s="386"/>
      <c r="AL112" s="387"/>
      <c r="AM112" s="434">
        <f t="shared" si="125"/>
        <v>0</v>
      </c>
      <c r="AN112" s="389"/>
      <c r="AO112" s="435"/>
      <c r="AP112" s="435"/>
      <c r="AQ112" s="435"/>
      <c r="AR112" s="346" t="e">
        <f t="shared" si="126"/>
        <v>#DIV/0!</v>
      </c>
      <c r="AS112" s="436"/>
      <c r="AT112" s="566">
        <v>43</v>
      </c>
      <c r="AU112" s="48"/>
      <c r="AV112" s="48"/>
      <c r="AW112" s="52"/>
      <c r="AX112" s="393" t="e">
        <f t="shared" si="127"/>
        <v>#DIV/0!</v>
      </c>
      <c r="AY112" s="77">
        <v>375</v>
      </c>
      <c r="AZ112" s="437">
        <f t="shared" si="219"/>
        <v>0</v>
      </c>
      <c r="BA112" s="395"/>
      <c r="BB112" s="396"/>
      <c r="BC112" s="397"/>
      <c r="BD112" s="399">
        <f t="shared" si="196"/>
        <v>5</v>
      </c>
      <c r="BE112" s="531">
        <f t="shared" si="197"/>
        <v>0</v>
      </c>
      <c r="BF112" s="400">
        <v>-2</v>
      </c>
      <c r="BG112" s="400">
        <v>2</v>
      </c>
      <c r="BH112" s="401">
        <v>5</v>
      </c>
      <c r="BI112" s="571">
        <f t="shared" si="220"/>
        <v>5</v>
      </c>
      <c r="BJ112" s="403">
        <v>3</v>
      </c>
      <c r="BK112" s="404">
        <v>2</v>
      </c>
      <c r="BL112" s="405">
        <v>6</v>
      </c>
      <c r="BM112" s="406">
        <f t="shared" si="195"/>
        <v>28</v>
      </c>
      <c r="BN112" s="407">
        <f t="shared" si="129"/>
        <v>23</v>
      </c>
      <c r="BO112" s="12">
        <v>18</v>
      </c>
      <c r="BP112" s="12">
        <v>5</v>
      </c>
      <c r="BQ112" s="12">
        <v>5</v>
      </c>
      <c r="BR112" s="408">
        <f t="shared" si="190"/>
        <v>5.6</v>
      </c>
      <c r="BS112" s="409">
        <f t="shared" si="198"/>
        <v>0</v>
      </c>
      <c r="BT112" s="410"/>
      <c r="BU112" s="411"/>
      <c r="BV112" s="438"/>
      <c r="BW112" s="412">
        <f t="shared" si="199"/>
        <v>0</v>
      </c>
    </row>
    <row r="113" spans="1:76" ht="16.899999999999999" customHeight="1" x14ac:dyDescent="0.3">
      <c r="A113" s="8" t="s">
        <v>181</v>
      </c>
      <c r="B113" s="25" t="s">
        <v>39</v>
      </c>
      <c r="C113" s="14" t="s">
        <v>132</v>
      </c>
      <c r="D113" s="43" t="s">
        <v>184</v>
      </c>
      <c r="E113" s="15" t="s">
        <v>103</v>
      </c>
      <c r="F113" s="59">
        <v>25</v>
      </c>
      <c r="G113" s="369">
        <f t="shared" si="206"/>
        <v>0</v>
      </c>
      <c r="H113" s="553">
        <v>25</v>
      </c>
      <c r="I113" s="371">
        <v>17</v>
      </c>
      <c r="J113" s="371">
        <v>8</v>
      </c>
      <c r="K113" s="554">
        <v>5</v>
      </c>
      <c r="L113" s="373">
        <f t="shared" si="207"/>
        <v>0</v>
      </c>
      <c r="M113" s="373">
        <f t="shared" si="208"/>
        <v>0</v>
      </c>
      <c r="N113" s="374">
        <f t="shared" si="209"/>
        <v>0</v>
      </c>
      <c r="O113" s="374">
        <f t="shared" si="210"/>
        <v>0</v>
      </c>
      <c r="P113" s="375">
        <f t="shared" si="211"/>
        <v>0</v>
      </c>
      <c r="Q113" s="376">
        <f t="shared" si="212"/>
        <v>0</v>
      </c>
      <c r="R113" s="374">
        <f t="shared" si="213"/>
        <v>0</v>
      </c>
      <c r="S113" s="377"/>
      <c r="T113" s="377"/>
      <c r="U113" s="377"/>
      <c r="V113" s="378">
        <f t="shared" si="174"/>
        <v>0</v>
      </c>
      <c r="W113" s="379">
        <v>88</v>
      </c>
      <c r="X113" s="380"/>
      <c r="Y113" s="376">
        <f t="shared" si="214"/>
        <v>0</v>
      </c>
      <c r="Z113" s="374">
        <f t="shared" si="215"/>
        <v>0</v>
      </c>
      <c r="AA113" s="381"/>
      <c r="AB113" s="381"/>
      <c r="AC113" s="382"/>
      <c r="AD113" s="376">
        <f t="shared" si="216"/>
        <v>0</v>
      </c>
      <c r="AE113" s="374">
        <f t="shared" si="217"/>
        <v>0</v>
      </c>
      <c r="AF113" s="381"/>
      <c r="AG113" s="381"/>
      <c r="AH113" s="383"/>
      <c r="AI113" s="433">
        <f t="shared" si="218"/>
        <v>0</v>
      </c>
      <c r="AJ113" s="385"/>
      <c r="AK113" s="386"/>
      <c r="AL113" s="387"/>
      <c r="AM113" s="434">
        <f t="shared" si="125"/>
        <v>0</v>
      </c>
      <c r="AN113" s="389"/>
      <c r="AO113" s="435"/>
      <c r="AP113" s="435"/>
      <c r="AQ113" s="435"/>
      <c r="AR113" s="346" t="e">
        <f t="shared" si="126"/>
        <v>#DIV/0!</v>
      </c>
      <c r="AS113" s="436"/>
      <c r="AT113" s="566">
        <v>20</v>
      </c>
      <c r="AU113" s="48"/>
      <c r="AV113" s="48"/>
      <c r="AW113" s="52"/>
      <c r="AX113" s="393" t="e">
        <f t="shared" si="127"/>
        <v>#DIV/0!</v>
      </c>
      <c r="AY113" s="77">
        <v>94</v>
      </c>
      <c r="AZ113" s="437">
        <f t="shared" si="219"/>
        <v>0</v>
      </c>
      <c r="BA113" s="395"/>
      <c r="BB113" s="396"/>
      <c r="BC113" s="397"/>
      <c r="BD113" s="399">
        <f t="shared" si="196"/>
        <v>3</v>
      </c>
      <c r="BE113" s="531">
        <f t="shared" si="197"/>
        <v>1</v>
      </c>
      <c r="BF113" s="400">
        <v>0</v>
      </c>
      <c r="BG113" s="400">
        <v>1</v>
      </c>
      <c r="BH113" s="401">
        <v>2</v>
      </c>
      <c r="BI113" s="571">
        <f t="shared" si="220"/>
        <v>4</v>
      </c>
      <c r="BJ113" s="403">
        <v>2</v>
      </c>
      <c r="BK113" s="404">
        <v>2</v>
      </c>
      <c r="BL113" s="405">
        <v>3</v>
      </c>
      <c r="BM113" s="406">
        <f t="shared" si="195"/>
        <v>21</v>
      </c>
      <c r="BN113" s="407">
        <f t="shared" si="129"/>
        <v>20</v>
      </c>
      <c r="BO113" s="12">
        <v>16</v>
      </c>
      <c r="BP113" s="12">
        <v>4</v>
      </c>
      <c r="BQ113" s="12">
        <v>1</v>
      </c>
      <c r="BR113" s="408">
        <f t="shared" si="190"/>
        <v>5.25</v>
      </c>
      <c r="BS113" s="409">
        <f t="shared" si="198"/>
        <v>0</v>
      </c>
      <c r="BT113" s="410"/>
      <c r="BU113" s="439"/>
      <c r="BV113" s="458"/>
      <c r="BW113" s="412">
        <f t="shared" si="199"/>
        <v>0</v>
      </c>
    </row>
    <row r="114" spans="1:76" ht="16.899999999999999" customHeight="1" x14ac:dyDescent="0.3">
      <c r="A114" s="8" t="s">
        <v>181</v>
      </c>
      <c r="B114" s="25" t="s">
        <v>39</v>
      </c>
      <c r="C114" s="14" t="s">
        <v>108</v>
      </c>
      <c r="D114" s="43" t="s">
        <v>185</v>
      </c>
      <c r="E114" s="15" t="s">
        <v>103</v>
      </c>
      <c r="F114" s="59">
        <v>25</v>
      </c>
      <c r="G114" s="369">
        <f t="shared" si="206"/>
        <v>0</v>
      </c>
      <c r="H114" s="553">
        <v>25</v>
      </c>
      <c r="I114" s="371">
        <v>17</v>
      </c>
      <c r="J114" s="371">
        <v>8</v>
      </c>
      <c r="K114" s="554">
        <v>5</v>
      </c>
      <c r="L114" s="373">
        <f t="shared" si="207"/>
        <v>0</v>
      </c>
      <c r="M114" s="373">
        <f t="shared" si="208"/>
        <v>0</v>
      </c>
      <c r="N114" s="374">
        <f t="shared" si="209"/>
        <v>0</v>
      </c>
      <c r="O114" s="374">
        <f t="shared" si="210"/>
        <v>0</v>
      </c>
      <c r="P114" s="375">
        <f t="shared" si="211"/>
        <v>0</v>
      </c>
      <c r="Q114" s="376">
        <f t="shared" si="212"/>
        <v>0</v>
      </c>
      <c r="R114" s="374">
        <f t="shared" si="213"/>
        <v>0</v>
      </c>
      <c r="S114" s="377"/>
      <c r="T114" s="377"/>
      <c r="U114" s="377"/>
      <c r="V114" s="378">
        <f t="shared" si="174"/>
        <v>0</v>
      </c>
      <c r="W114" s="379">
        <v>62</v>
      </c>
      <c r="X114" s="380"/>
      <c r="Y114" s="376">
        <f t="shared" si="214"/>
        <v>0</v>
      </c>
      <c r="Z114" s="374">
        <f t="shared" si="215"/>
        <v>0</v>
      </c>
      <c r="AA114" s="381"/>
      <c r="AB114" s="381"/>
      <c r="AC114" s="382"/>
      <c r="AD114" s="376">
        <f t="shared" si="216"/>
        <v>0</v>
      </c>
      <c r="AE114" s="374">
        <f t="shared" si="217"/>
        <v>0</v>
      </c>
      <c r="AF114" s="381"/>
      <c r="AG114" s="381"/>
      <c r="AH114" s="383"/>
      <c r="AI114" s="433">
        <f t="shared" si="218"/>
        <v>0</v>
      </c>
      <c r="AJ114" s="385"/>
      <c r="AK114" s="386"/>
      <c r="AL114" s="387"/>
      <c r="AM114" s="434">
        <f t="shared" si="125"/>
        <v>0</v>
      </c>
      <c r="AN114" s="389"/>
      <c r="AO114" s="435"/>
      <c r="AP114" s="435"/>
      <c r="AQ114" s="435"/>
      <c r="AR114" s="346" t="e">
        <f t="shared" si="126"/>
        <v>#DIV/0!</v>
      </c>
      <c r="AS114" s="436"/>
      <c r="AT114" s="566">
        <v>23</v>
      </c>
      <c r="AU114" s="48"/>
      <c r="AV114" s="48"/>
      <c r="AW114" s="52"/>
      <c r="AX114" s="393" t="e">
        <f t="shared" si="127"/>
        <v>#DIV/0!</v>
      </c>
      <c r="AY114" s="77">
        <v>244</v>
      </c>
      <c r="AZ114" s="437">
        <f t="shared" si="219"/>
        <v>0</v>
      </c>
      <c r="BA114" s="395"/>
      <c r="BB114" s="396"/>
      <c r="BC114" s="397"/>
      <c r="BD114" s="399">
        <f t="shared" si="196"/>
        <v>0</v>
      </c>
      <c r="BE114" s="531">
        <f t="shared" si="197"/>
        <v>0</v>
      </c>
      <c r="BF114" s="400">
        <v>0</v>
      </c>
      <c r="BG114" s="400">
        <v>0</v>
      </c>
      <c r="BH114" s="401">
        <v>0</v>
      </c>
      <c r="BI114" s="571">
        <f t="shared" si="220"/>
        <v>3</v>
      </c>
      <c r="BJ114" s="403">
        <v>2</v>
      </c>
      <c r="BK114" s="404">
        <v>1</v>
      </c>
      <c r="BL114" s="405">
        <v>1</v>
      </c>
      <c r="BM114" s="406">
        <f t="shared" si="195"/>
        <v>24</v>
      </c>
      <c r="BN114" s="407">
        <f t="shared" si="129"/>
        <v>22</v>
      </c>
      <c r="BO114" s="12">
        <v>17</v>
      </c>
      <c r="BP114" s="12">
        <v>5</v>
      </c>
      <c r="BQ114" s="12">
        <v>2</v>
      </c>
      <c r="BR114" s="408">
        <f t="shared" si="190"/>
        <v>8</v>
      </c>
      <c r="BS114" s="409">
        <f t="shared" si="198"/>
        <v>0</v>
      </c>
      <c r="BT114" s="410"/>
      <c r="BU114" s="411"/>
      <c r="BV114" s="438"/>
      <c r="BW114" s="412">
        <f t="shared" si="199"/>
        <v>0</v>
      </c>
    </row>
    <row r="115" spans="1:76" ht="16.899999999999999" customHeight="1" x14ac:dyDescent="0.3">
      <c r="A115" s="8" t="s">
        <v>181</v>
      </c>
      <c r="B115" s="25" t="s">
        <v>39</v>
      </c>
      <c r="C115" s="14" t="s">
        <v>104</v>
      </c>
      <c r="D115" s="43" t="s">
        <v>172</v>
      </c>
      <c r="E115" s="15" t="s">
        <v>103</v>
      </c>
      <c r="F115" s="59">
        <v>50</v>
      </c>
      <c r="G115" s="369">
        <f t="shared" si="206"/>
        <v>0</v>
      </c>
      <c r="H115" s="553">
        <v>50</v>
      </c>
      <c r="I115" s="371">
        <v>34</v>
      </c>
      <c r="J115" s="371">
        <v>16</v>
      </c>
      <c r="K115" s="554">
        <v>10</v>
      </c>
      <c r="L115" s="373">
        <f t="shared" si="207"/>
        <v>0</v>
      </c>
      <c r="M115" s="373">
        <f t="shared" si="208"/>
        <v>0</v>
      </c>
      <c r="N115" s="374">
        <f t="shared" si="209"/>
        <v>0</v>
      </c>
      <c r="O115" s="374">
        <f t="shared" si="210"/>
        <v>0</v>
      </c>
      <c r="P115" s="375">
        <f t="shared" si="211"/>
        <v>0</v>
      </c>
      <c r="Q115" s="376">
        <f t="shared" si="212"/>
        <v>0</v>
      </c>
      <c r="R115" s="374">
        <f t="shared" si="213"/>
        <v>0</v>
      </c>
      <c r="S115" s="377"/>
      <c r="T115" s="377"/>
      <c r="U115" s="377"/>
      <c r="V115" s="378">
        <f t="shared" si="174"/>
        <v>0</v>
      </c>
      <c r="W115" s="379">
        <v>73.3</v>
      </c>
      <c r="X115" s="380"/>
      <c r="Y115" s="376">
        <f t="shared" si="214"/>
        <v>0</v>
      </c>
      <c r="Z115" s="374">
        <f t="shared" si="215"/>
        <v>0</v>
      </c>
      <c r="AA115" s="381"/>
      <c r="AB115" s="381"/>
      <c r="AC115" s="382"/>
      <c r="AD115" s="376">
        <f t="shared" si="216"/>
        <v>0</v>
      </c>
      <c r="AE115" s="374">
        <f t="shared" si="217"/>
        <v>0</v>
      </c>
      <c r="AF115" s="381"/>
      <c r="AG115" s="381"/>
      <c r="AH115" s="383"/>
      <c r="AI115" s="433">
        <f t="shared" si="218"/>
        <v>0</v>
      </c>
      <c r="AJ115" s="385"/>
      <c r="AK115" s="386"/>
      <c r="AL115" s="387"/>
      <c r="AM115" s="434">
        <f t="shared" si="125"/>
        <v>0</v>
      </c>
      <c r="AN115" s="389"/>
      <c r="AO115" s="435"/>
      <c r="AP115" s="435"/>
      <c r="AQ115" s="435"/>
      <c r="AR115" s="346" t="e">
        <f t="shared" si="126"/>
        <v>#DIV/0!</v>
      </c>
      <c r="AS115" s="436"/>
      <c r="AT115" s="566">
        <v>48</v>
      </c>
      <c r="AU115" s="50"/>
      <c r="AV115" s="50"/>
      <c r="AW115" s="53"/>
      <c r="AX115" s="393" t="e">
        <f t="shared" si="127"/>
        <v>#DIV/0!</v>
      </c>
      <c r="AY115" s="78">
        <v>199</v>
      </c>
      <c r="AZ115" s="437">
        <f t="shared" si="219"/>
        <v>0</v>
      </c>
      <c r="BA115" s="395"/>
      <c r="BB115" s="396"/>
      <c r="BC115" s="397"/>
      <c r="BD115" s="399">
        <f t="shared" si="196"/>
        <v>0</v>
      </c>
      <c r="BE115" s="531">
        <f t="shared" si="197"/>
        <v>0</v>
      </c>
      <c r="BF115" s="400">
        <v>0</v>
      </c>
      <c r="BG115" s="400">
        <v>0</v>
      </c>
      <c r="BH115" s="401">
        <v>0</v>
      </c>
      <c r="BI115" s="571">
        <f t="shared" si="220"/>
        <v>5</v>
      </c>
      <c r="BJ115" s="403">
        <v>3</v>
      </c>
      <c r="BK115" s="404">
        <v>2</v>
      </c>
      <c r="BL115" s="405">
        <v>1</v>
      </c>
      <c r="BM115" s="406">
        <f t="shared" si="195"/>
        <v>33</v>
      </c>
      <c r="BN115" s="407">
        <f t="shared" si="129"/>
        <v>26</v>
      </c>
      <c r="BO115" s="12">
        <v>17</v>
      </c>
      <c r="BP115" s="12">
        <v>9</v>
      </c>
      <c r="BQ115" s="12">
        <v>7</v>
      </c>
      <c r="BR115" s="408">
        <f t="shared" si="190"/>
        <v>6.6</v>
      </c>
      <c r="BS115" s="409">
        <f t="shared" si="198"/>
        <v>0</v>
      </c>
      <c r="BT115" s="410"/>
      <c r="BU115" s="411"/>
      <c r="BV115" s="438"/>
      <c r="BW115" s="412">
        <f t="shared" si="199"/>
        <v>0</v>
      </c>
    </row>
    <row r="116" spans="1:76" ht="16.899999999999999" customHeight="1" x14ac:dyDescent="0.3">
      <c r="A116" s="8" t="s">
        <v>181</v>
      </c>
      <c r="B116" s="25" t="s">
        <v>39</v>
      </c>
      <c r="C116" s="14" t="s">
        <v>186</v>
      </c>
      <c r="D116" s="43" t="s">
        <v>187</v>
      </c>
      <c r="E116" s="15" t="s">
        <v>103</v>
      </c>
      <c r="F116" s="59">
        <v>25</v>
      </c>
      <c r="G116" s="369">
        <f t="shared" si="206"/>
        <v>0</v>
      </c>
      <c r="H116" s="553">
        <v>25</v>
      </c>
      <c r="I116" s="371">
        <v>17</v>
      </c>
      <c r="J116" s="371">
        <v>8</v>
      </c>
      <c r="K116" s="554">
        <v>5</v>
      </c>
      <c r="L116" s="373">
        <f t="shared" si="207"/>
        <v>0</v>
      </c>
      <c r="M116" s="373">
        <f t="shared" si="208"/>
        <v>0</v>
      </c>
      <c r="N116" s="374">
        <f t="shared" si="209"/>
        <v>0</v>
      </c>
      <c r="O116" s="374">
        <f t="shared" si="210"/>
        <v>0</v>
      </c>
      <c r="P116" s="375">
        <f t="shared" si="211"/>
        <v>0</v>
      </c>
      <c r="Q116" s="376">
        <f t="shared" si="212"/>
        <v>0</v>
      </c>
      <c r="R116" s="374">
        <f t="shared" si="213"/>
        <v>0</v>
      </c>
      <c r="S116" s="377"/>
      <c r="T116" s="377"/>
      <c r="U116" s="377"/>
      <c r="V116" s="378">
        <f t="shared" si="174"/>
        <v>0</v>
      </c>
      <c r="W116" s="379">
        <v>81.3</v>
      </c>
      <c r="X116" s="380"/>
      <c r="Y116" s="376">
        <f t="shared" si="214"/>
        <v>0</v>
      </c>
      <c r="Z116" s="374">
        <f t="shared" si="215"/>
        <v>0</v>
      </c>
      <c r="AA116" s="381"/>
      <c r="AB116" s="381"/>
      <c r="AC116" s="382"/>
      <c r="AD116" s="376">
        <f t="shared" si="216"/>
        <v>0</v>
      </c>
      <c r="AE116" s="374">
        <f t="shared" si="217"/>
        <v>0</v>
      </c>
      <c r="AF116" s="381"/>
      <c r="AG116" s="381"/>
      <c r="AH116" s="383"/>
      <c r="AI116" s="433">
        <f t="shared" si="218"/>
        <v>0</v>
      </c>
      <c r="AJ116" s="385"/>
      <c r="AK116" s="386"/>
      <c r="AL116" s="387"/>
      <c r="AM116" s="434">
        <f t="shared" si="125"/>
        <v>0</v>
      </c>
      <c r="AN116" s="389"/>
      <c r="AO116" s="435"/>
      <c r="AP116" s="435"/>
      <c r="AQ116" s="435"/>
      <c r="AR116" s="346" t="e">
        <f t="shared" si="126"/>
        <v>#DIV/0!</v>
      </c>
      <c r="AS116" s="436"/>
      <c r="AT116" s="566">
        <v>22</v>
      </c>
      <c r="AU116" s="48"/>
      <c r="AV116" s="48"/>
      <c r="AW116" s="52"/>
      <c r="AX116" s="393" t="e">
        <f t="shared" si="127"/>
        <v>#DIV/0!</v>
      </c>
      <c r="AY116" s="77">
        <v>304</v>
      </c>
      <c r="AZ116" s="437">
        <f t="shared" si="219"/>
        <v>0</v>
      </c>
      <c r="BA116" s="395"/>
      <c r="BB116" s="396"/>
      <c r="BC116" s="397"/>
      <c r="BD116" s="399">
        <f t="shared" si="196"/>
        <v>1</v>
      </c>
      <c r="BE116" s="531">
        <f t="shared" si="197"/>
        <v>0</v>
      </c>
      <c r="BF116" s="400">
        <v>0</v>
      </c>
      <c r="BG116" s="400">
        <v>0</v>
      </c>
      <c r="BH116" s="401">
        <v>1</v>
      </c>
      <c r="BI116" s="571">
        <f t="shared" si="220"/>
        <v>3</v>
      </c>
      <c r="BJ116" s="403">
        <v>2</v>
      </c>
      <c r="BK116" s="404">
        <v>1</v>
      </c>
      <c r="BL116" s="405">
        <v>2</v>
      </c>
      <c r="BM116" s="406">
        <f t="shared" si="195"/>
        <v>15</v>
      </c>
      <c r="BN116" s="407">
        <f t="shared" si="129"/>
        <v>12</v>
      </c>
      <c r="BO116" s="12">
        <v>9</v>
      </c>
      <c r="BP116" s="12">
        <v>3</v>
      </c>
      <c r="BQ116" s="12">
        <v>3</v>
      </c>
      <c r="BR116" s="408">
        <f t="shared" si="190"/>
        <v>5</v>
      </c>
      <c r="BS116" s="409">
        <f t="shared" si="198"/>
        <v>0</v>
      </c>
      <c r="BT116" s="410"/>
      <c r="BU116" s="411"/>
      <c r="BV116" s="438"/>
      <c r="BW116" s="412">
        <f t="shared" si="199"/>
        <v>0</v>
      </c>
    </row>
    <row r="117" spans="1:76" ht="16.899999999999999" customHeight="1" x14ac:dyDescent="0.3">
      <c r="A117" s="8" t="s">
        <v>181</v>
      </c>
      <c r="B117" s="25" t="s">
        <v>39</v>
      </c>
      <c r="C117" s="14" t="s">
        <v>115</v>
      </c>
      <c r="D117" s="43" t="s">
        <v>116</v>
      </c>
      <c r="E117" s="15" t="s">
        <v>103</v>
      </c>
      <c r="F117" s="59">
        <v>50</v>
      </c>
      <c r="G117" s="369">
        <f t="shared" si="206"/>
        <v>0</v>
      </c>
      <c r="H117" s="553">
        <v>50</v>
      </c>
      <c r="I117" s="371">
        <v>34</v>
      </c>
      <c r="J117" s="371">
        <v>16</v>
      </c>
      <c r="K117" s="554">
        <v>10</v>
      </c>
      <c r="L117" s="373">
        <f t="shared" si="207"/>
        <v>0</v>
      </c>
      <c r="M117" s="373">
        <f t="shared" si="208"/>
        <v>0</v>
      </c>
      <c r="N117" s="374">
        <f t="shared" si="209"/>
        <v>0</v>
      </c>
      <c r="O117" s="374">
        <f t="shared" si="210"/>
        <v>0</v>
      </c>
      <c r="P117" s="375">
        <f t="shared" si="211"/>
        <v>0</v>
      </c>
      <c r="Q117" s="376">
        <f t="shared" si="212"/>
        <v>0</v>
      </c>
      <c r="R117" s="374">
        <f t="shared" si="213"/>
        <v>0</v>
      </c>
      <c r="S117" s="377"/>
      <c r="T117" s="377"/>
      <c r="U117" s="377"/>
      <c r="V117" s="378">
        <f t="shared" si="174"/>
        <v>0</v>
      </c>
      <c r="W117" s="379">
        <v>86.2</v>
      </c>
      <c r="X117" s="380"/>
      <c r="Y117" s="376">
        <f t="shared" si="214"/>
        <v>0</v>
      </c>
      <c r="Z117" s="374">
        <f t="shared" si="215"/>
        <v>0</v>
      </c>
      <c r="AA117" s="381"/>
      <c r="AB117" s="381"/>
      <c r="AC117" s="382"/>
      <c r="AD117" s="376">
        <f t="shared" si="216"/>
        <v>0</v>
      </c>
      <c r="AE117" s="374">
        <f t="shared" si="217"/>
        <v>0</v>
      </c>
      <c r="AF117" s="381"/>
      <c r="AG117" s="381"/>
      <c r="AH117" s="383"/>
      <c r="AI117" s="433">
        <f t="shared" si="218"/>
        <v>0</v>
      </c>
      <c r="AJ117" s="385"/>
      <c r="AK117" s="386"/>
      <c r="AL117" s="387"/>
      <c r="AM117" s="434">
        <f t="shared" si="125"/>
        <v>0</v>
      </c>
      <c r="AN117" s="389"/>
      <c r="AO117" s="435"/>
      <c r="AP117" s="435"/>
      <c r="AQ117" s="435"/>
      <c r="AR117" s="346" t="e">
        <f t="shared" si="126"/>
        <v>#DIV/0!</v>
      </c>
      <c r="AS117" s="436"/>
      <c r="AT117" s="566">
        <v>48</v>
      </c>
      <c r="AU117" s="48"/>
      <c r="AV117" s="48"/>
      <c r="AW117" s="52"/>
      <c r="AX117" s="393" t="e">
        <f t="shared" si="127"/>
        <v>#DIV/0!</v>
      </c>
      <c r="AY117" s="77">
        <v>404</v>
      </c>
      <c r="AZ117" s="437">
        <f t="shared" si="219"/>
        <v>0</v>
      </c>
      <c r="BA117" s="395"/>
      <c r="BB117" s="396"/>
      <c r="BC117" s="397"/>
      <c r="BD117" s="399">
        <f t="shared" si="196"/>
        <v>0</v>
      </c>
      <c r="BE117" s="531">
        <f t="shared" si="197"/>
        <v>0</v>
      </c>
      <c r="BF117" s="400">
        <v>0</v>
      </c>
      <c r="BG117" s="400">
        <v>0</v>
      </c>
      <c r="BH117" s="401">
        <v>0</v>
      </c>
      <c r="BI117" s="571">
        <f t="shared" si="220"/>
        <v>5</v>
      </c>
      <c r="BJ117" s="403">
        <v>3</v>
      </c>
      <c r="BK117" s="404">
        <v>2</v>
      </c>
      <c r="BL117" s="405">
        <v>1</v>
      </c>
      <c r="BM117" s="406">
        <f t="shared" si="195"/>
        <v>59</v>
      </c>
      <c r="BN117" s="407">
        <f t="shared" si="129"/>
        <v>54</v>
      </c>
      <c r="BO117" s="12">
        <v>30</v>
      </c>
      <c r="BP117" s="12">
        <v>24</v>
      </c>
      <c r="BQ117" s="12">
        <v>5</v>
      </c>
      <c r="BR117" s="408">
        <f t="shared" si="190"/>
        <v>11.8</v>
      </c>
      <c r="BS117" s="409">
        <f t="shared" si="198"/>
        <v>0</v>
      </c>
      <c r="BT117" s="410"/>
      <c r="BU117" s="411"/>
      <c r="BV117" s="438"/>
      <c r="BW117" s="412">
        <f t="shared" si="199"/>
        <v>0</v>
      </c>
    </row>
    <row r="118" spans="1:76" ht="16.899999999999999" customHeight="1" x14ac:dyDescent="0.3">
      <c r="A118" s="8" t="s">
        <v>181</v>
      </c>
      <c r="B118" s="25" t="s">
        <v>39</v>
      </c>
      <c r="C118" s="14" t="s">
        <v>117</v>
      </c>
      <c r="D118" s="43" t="s">
        <v>118</v>
      </c>
      <c r="E118" s="15" t="s">
        <v>103</v>
      </c>
      <c r="F118" s="59">
        <v>25</v>
      </c>
      <c r="G118" s="369">
        <f t="shared" si="206"/>
        <v>0</v>
      </c>
      <c r="H118" s="553">
        <v>25</v>
      </c>
      <c r="I118" s="371">
        <v>17</v>
      </c>
      <c r="J118" s="371">
        <v>8</v>
      </c>
      <c r="K118" s="554">
        <v>5</v>
      </c>
      <c r="L118" s="373">
        <f t="shared" si="207"/>
        <v>0</v>
      </c>
      <c r="M118" s="373">
        <f t="shared" si="208"/>
        <v>0</v>
      </c>
      <c r="N118" s="374">
        <f t="shared" si="209"/>
        <v>0</v>
      </c>
      <c r="O118" s="374">
        <f t="shared" si="210"/>
        <v>0</v>
      </c>
      <c r="P118" s="375">
        <f t="shared" si="211"/>
        <v>0</v>
      </c>
      <c r="Q118" s="376">
        <f t="shared" si="212"/>
        <v>0</v>
      </c>
      <c r="R118" s="374">
        <f t="shared" si="213"/>
        <v>0</v>
      </c>
      <c r="S118" s="377"/>
      <c r="T118" s="377"/>
      <c r="U118" s="377"/>
      <c r="V118" s="378">
        <f t="shared" si="174"/>
        <v>0</v>
      </c>
      <c r="W118" s="379">
        <v>64.400000000000006</v>
      </c>
      <c r="X118" s="380"/>
      <c r="Y118" s="376">
        <f t="shared" si="214"/>
        <v>0</v>
      </c>
      <c r="Z118" s="374">
        <f t="shared" si="215"/>
        <v>0</v>
      </c>
      <c r="AA118" s="381"/>
      <c r="AB118" s="381"/>
      <c r="AC118" s="382"/>
      <c r="AD118" s="376">
        <f t="shared" si="216"/>
        <v>0</v>
      </c>
      <c r="AE118" s="374">
        <f t="shared" si="217"/>
        <v>0</v>
      </c>
      <c r="AF118" s="381"/>
      <c r="AG118" s="381"/>
      <c r="AH118" s="383"/>
      <c r="AI118" s="433">
        <f t="shared" si="218"/>
        <v>0</v>
      </c>
      <c r="AJ118" s="385"/>
      <c r="AK118" s="386"/>
      <c r="AL118" s="387"/>
      <c r="AM118" s="434">
        <f t="shared" si="125"/>
        <v>0</v>
      </c>
      <c r="AN118" s="389"/>
      <c r="AO118" s="435"/>
      <c r="AP118" s="435"/>
      <c r="AQ118" s="435"/>
      <c r="AR118" s="346" t="e">
        <f t="shared" si="126"/>
        <v>#DIV/0!</v>
      </c>
      <c r="AS118" s="436"/>
      <c r="AT118" s="392">
        <v>22</v>
      </c>
      <c r="AU118" s="48"/>
      <c r="AV118" s="48"/>
      <c r="AW118" s="52"/>
      <c r="AX118" s="393" t="e">
        <f t="shared" si="127"/>
        <v>#DIV/0!</v>
      </c>
      <c r="AY118" s="77">
        <v>280</v>
      </c>
      <c r="AZ118" s="437">
        <f t="shared" si="219"/>
        <v>0</v>
      </c>
      <c r="BA118" s="395"/>
      <c r="BB118" s="396"/>
      <c r="BC118" s="397"/>
      <c r="BD118" s="399">
        <f t="shared" si="196"/>
        <v>1</v>
      </c>
      <c r="BE118" s="531">
        <f t="shared" si="197"/>
        <v>1</v>
      </c>
      <c r="BF118" s="400">
        <v>-1</v>
      </c>
      <c r="BG118" s="400">
        <v>2</v>
      </c>
      <c r="BH118" s="401">
        <v>0</v>
      </c>
      <c r="BI118" s="571">
        <f t="shared" si="220"/>
        <v>4</v>
      </c>
      <c r="BJ118" s="403">
        <v>2</v>
      </c>
      <c r="BK118" s="404">
        <v>2</v>
      </c>
      <c r="BL118" s="405">
        <v>1</v>
      </c>
      <c r="BM118" s="406">
        <f t="shared" si="195"/>
        <v>11</v>
      </c>
      <c r="BN118" s="407">
        <f t="shared" si="129"/>
        <v>10</v>
      </c>
      <c r="BO118" s="12">
        <v>8</v>
      </c>
      <c r="BP118" s="12">
        <v>2</v>
      </c>
      <c r="BQ118" s="12">
        <v>1</v>
      </c>
      <c r="BR118" s="408">
        <f t="shared" si="190"/>
        <v>2.75</v>
      </c>
      <c r="BS118" s="409">
        <f t="shared" si="198"/>
        <v>0</v>
      </c>
      <c r="BT118" s="410"/>
      <c r="BU118" s="411"/>
      <c r="BV118" s="438"/>
      <c r="BW118" s="412">
        <f t="shared" si="199"/>
        <v>0</v>
      </c>
    </row>
    <row r="119" spans="1:76" ht="16.899999999999999" customHeight="1" x14ac:dyDescent="0.3">
      <c r="A119" s="4" t="s">
        <v>181</v>
      </c>
      <c r="B119" s="5" t="s">
        <v>40</v>
      </c>
      <c r="C119" s="5"/>
      <c r="D119" s="18" t="s">
        <v>21</v>
      </c>
      <c r="E119" s="6"/>
      <c r="F119" s="58">
        <f t="shared" ref="F119:U119" si="221">SUM(F120:F123)</f>
        <v>150</v>
      </c>
      <c r="G119" s="7">
        <f t="shared" si="221"/>
        <v>0</v>
      </c>
      <c r="H119" s="7">
        <f t="shared" si="221"/>
        <v>150</v>
      </c>
      <c r="I119" s="67">
        <f t="shared" si="221"/>
        <v>102</v>
      </c>
      <c r="J119" s="67">
        <f t="shared" si="221"/>
        <v>48</v>
      </c>
      <c r="K119" s="70">
        <f t="shared" si="221"/>
        <v>30</v>
      </c>
      <c r="L119" s="413">
        <f t="shared" si="221"/>
        <v>0</v>
      </c>
      <c r="M119" s="413">
        <f t="shared" si="221"/>
        <v>0</v>
      </c>
      <c r="N119" s="413">
        <f t="shared" si="221"/>
        <v>0</v>
      </c>
      <c r="O119" s="413">
        <f t="shared" si="221"/>
        <v>0</v>
      </c>
      <c r="P119" s="414">
        <f t="shared" si="221"/>
        <v>0</v>
      </c>
      <c r="Q119" s="415">
        <f t="shared" si="221"/>
        <v>0</v>
      </c>
      <c r="R119" s="416">
        <f t="shared" si="221"/>
        <v>0</v>
      </c>
      <c r="S119" s="416">
        <f t="shared" si="221"/>
        <v>0</v>
      </c>
      <c r="T119" s="416">
        <f t="shared" si="221"/>
        <v>0</v>
      </c>
      <c r="U119" s="416">
        <f t="shared" si="221"/>
        <v>0</v>
      </c>
      <c r="V119" s="334">
        <f t="shared" si="174"/>
        <v>0</v>
      </c>
      <c r="W119" s="335">
        <f t="shared" ref="W119:AI119" si="222">SUM(W120:W123)</f>
        <v>273.40000000000003</v>
      </c>
      <c r="X119" s="413">
        <f t="shared" si="222"/>
        <v>0</v>
      </c>
      <c r="Y119" s="415">
        <f t="shared" si="222"/>
        <v>0</v>
      </c>
      <c r="Z119" s="416">
        <f t="shared" si="222"/>
        <v>0</v>
      </c>
      <c r="AA119" s="416">
        <f t="shared" si="222"/>
        <v>0</v>
      </c>
      <c r="AB119" s="416">
        <f t="shared" si="222"/>
        <v>0</v>
      </c>
      <c r="AC119" s="417">
        <f t="shared" si="222"/>
        <v>0</v>
      </c>
      <c r="AD119" s="415">
        <f t="shared" si="222"/>
        <v>0</v>
      </c>
      <c r="AE119" s="416">
        <f t="shared" si="222"/>
        <v>0</v>
      </c>
      <c r="AF119" s="416">
        <f t="shared" si="222"/>
        <v>0</v>
      </c>
      <c r="AG119" s="416">
        <f t="shared" si="222"/>
        <v>0</v>
      </c>
      <c r="AH119" s="418">
        <f t="shared" si="222"/>
        <v>0</v>
      </c>
      <c r="AI119" s="339">
        <f t="shared" si="222"/>
        <v>0</v>
      </c>
      <c r="AJ119" s="340"/>
      <c r="AK119" s="341"/>
      <c r="AL119" s="342"/>
      <c r="AM119" s="420">
        <f t="shared" si="125"/>
        <v>0</v>
      </c>
      <c r="AN119" s="344"/>
      <c r="AO119" s="440"/>
      <c r="AP119" s="440"/>
      <c r="AQ119" s="440"/>
      <c r="AR119" s="346" t="e">
        <f t="shared" si="126"/>
        <v>#DIV/0!</v>
      </c>
      <c r="AS119" s="424">
        <v>1.141</v>
      </c>
      <c r="AT119" s="441">
        <f>SUM(AT120:AT123)</f>
        <v>101</v>
      </c>
      <c r="AU119" s="361"/>
      <c r="AV119" s="361"/>
      <c r="AW119" s="444"/>
      <c r="AX119" s="352" t="e">
        <f t="shared" si="127"/>
        <v>#DIV/0!</v>
      </c>
      <c r="AY119" s="427">
        <v>0.76800000000000002</v>
      </c>
      <c r="AZ119" s="354">
        <f>SUM(AZ120:AZ123)</f>
        <v>0</v>
      </c>
      <c r="BA119" s="340"/>
      <c r="BB119" s="340"/>
      <c r="BC119" s="355"/>
      <c r="BD119" s="356">
        <f t="shared" si="196"/>
        <v>41</v>
      </c>
      <c r="BE119" s="445">
        <f t="shared" si="197"/>
        <v>27</v>
      </c>
      <c r="BF119" s="446">
        <f t="shared" ref="BF119:BL119" si="223">SUM(BF120:BF123)</f>
        <v>15</v>
      </c>
      <c r="BG119" s="446">
        <f t="shared" si="223"/>
        <v>12</v>
      </c>
      <c r="BH119" s="447">
        <f t="shared" si="223"/>
        <v>14</v>
      </c>
      <c r="BI119" s="359">
        <f t="shared" si="223"/>
        <v>43</v>
      </c>
      <c r="BJ119" s="360">
        <f t="shared" si="223"/>
        <v>28</v>
      </c>
      <c r="BK119" s="361">
        <f t="shared" si="223"/>
        <v>15</v>
      </c>
      <c r="BL119" s="362">
        <f t="shared" si="223"/>
        <v>18</v>
      </c>
      <c r="BM119" s="363">
        <f t="shared" si="195"/>
        <v>94</v>
      </c>
      <c r="BN119" s="356">
        <f t="shared" si="129"/>
        <v>79</v>
      </c>
      <c r="BO119" s="446">
        <f>SUM(BO120:BO123)</f>
        <v>50</v>
      </c>
      <c r="BP119" s="446">
        <f>SUM(BP120:BP123)</f>
        <v>29</v>
      </c>
      <c r="BQ119" s="446">
        <f>SUM(BQ120:BQ123)</f>
        <v>15</v>
      </c>
      <c r="BR119" s="432">
        <f t="shared" si="190"/>
        <v>2.1860465116279069</v>
      </c>
      <c r="BS119" s="366">
        <f t="shared" si="198"/>
        <v>0</v>
      </c>
      <c r="BT119" s="367">
        <f>SUM(BT120:BT123)</f>
        <v>0</v>
      </c>
      <c r="BU119" s="367">
        <f>SUM(BU120:BU123)</f>
        <v>0</v>
      </c>
      <c r="BV119" s="367">
        <f>SUM(BV120:BV123)</f>
        <v>0</v>
      </c>
      <c r="BW119" s="368">
        <f t="shared" si="199"/>
        <v>0</v>
      </c>
      <c r="BX119" t="s">
        <v>40</v>
      </c>
    </row>
    <row r="120" spans="1:76" ht="16.899999999999999" customHeight="1" x14ac:dyDescent="0.3">
      <c r="A120" s="8" t="s">
        <v>181</v>
      </c>
      <c r="B120" s="9" t="s">
        <v>40</v>
      </c>
      <c r="C120" s="25" t="s">
        <v>104</v>
      </c>
      <c r="D120" s="25" t="s">
        <v>188</v>
      </c>
      <c r="E120" s="10" t="s">
        <v>103</v>
      </c>
      <c r="F120" s="59">
        <v>25</v>
      </c>
      <c r="G120" s="369">
        <f>L120/F120</f>
        <v>0</v>
      </c>
      <c r="H120" s="553">
        <v>25</v>
      </c>
      <c r="I120" s="371">
        <v>17</v>
      </c>
      <c r="J120" s="371">
        <v>8</v>
      </c>
      <c r="K120" s="554">
        <v>5</v>
      </c>
      <c r="L120" s="373">
        <f>N120+O120+P120</f>
        <v>0</v>
      </c>
      <c r="M120" s="373">
        <f>N120+O120</f>
        <v>0</v>
      </c>
      <c r="N120" s="374">
        <f t="shared" ref="N120:P123" si="224">AA120+AF120</f>
        <v>0</v>
      </c>
      <c r="O120" s="374">
        <f t="shared" si="224"/>
        <v>0</v>
      </c>
      <c r="P120" s="375">
        <f t="shared" si="224"/>
        <v>0</v>
      </c>
      <c r="Q120" s="376">
        <f>R120+U120</f>
        <v>0</v>
      </c>
      <c r="R120" s="374">
        <f>S120+T120</f>
        <v>0</v>
      </c>
      <c r="S120" s="377"/>
      <c r="T120" s="377"/>
      <c r="U120" s="377"/>
      <c r="V120" s="378">
        <f t="shared" si="174"/>
        <v>0</v>
      </c>
      <c r="W120" s="379">
        <v>87.6</v>
      </c>
      <c r="X120" s="380"/>
      <c r="Y120" s="376">
        <f>Z120+AC120</f>
        <v>0</v>
      </c>
      <c r="Z120" s="374">
        <f>AA120+AB120</f>
        <v>0</v>
      </c>
      <c r="AA120" s="381"/>
      <c r="AB120" s="381"/>
      <c r="AC120" s="382"/>
      <c r="AD120" s="376">
        <f>AE120+AH120</f>
        <v>0</v>
      </c>
      <c r="AE120" s="374">
        <f>AF120+AG120</f>
        <v>0</v>
      </c>
      <c r="AF120" s="381"/>
      <c r="AG120" s="381"/>
      <c r="AH120" s="383"/>
      <c r="AI120" s="433">
        <f>AJ120+AK120</f>
        <v>0</v>
      </c>
      <c r="AJ120" s="385"/>
      <c r="AK120" s="386"/>
      <c r="AL120" s="387"/>
      <c r="AM120" s="434">
        <f t="shared" si="125"/>
        <v>0</v>
      </c>
      <c r="AN120" s="389"/>
      <c r="AO120" s="435"/>
      <c r="AP120" s="435"/>
      <c r="AQ120" s="435"/>
      <c r="AR120" s="346" t="e">
        <f t="shared" si="126"/>
        <v>#DIV/0!</v>
      </c>
      <c r="AS120" s="436"/>
      <c r="AT120" s="392">
        <v>14</v>
      </c>
      <c r="AU120" s="48"/>
      <c r="AV120" s="48"/>
      <c r="AW120" s="52"/>
      <c r="AX120" s="393" t="e">
        <f t="shared" si="127"/>
        <v>#DIV/0!</v>
      </c>
      <c r="AY120" s="77">
        <v>104</v>
      </c>
      <c r="AZ120" s="437">
        <f>BA120+BB120</f>
        <v>0</v>
      </c>
      <c r="BA120" s="395"/>
      <c r="BB120" s="396"/>
      <c r="BC120" s="397"/>
      <c r="BD120" s="398">
        <f t="shared" si="196"/>
        <v>9</v>
      </c>
      <c r="BE120" s="399">
        <f t="shared" si="197"/>
        <v>9</v>
      </c>
      <c r="BF120" s="400">
        <v>4</v>
      </c>
      <c r="BG120" s="400">
        <v>5</v>
      </c>
      <c r="BH120" s="401">
        <v>0</v>
      </c>
      <c r="BI120" s="402">
        <f>SUM(BJ120:BK120)</f>
        <v>12</v>
      </c>
      <c r="BJ120" s="403">
        <v>6</v>
      </c>
      <c r="BK120" s="404">
        <v>6</v>
      </c>
      <c r="BL120" s="405">
        <v>1</v>
      </c>
      <c r="BM120" s="406">
        <f t="shared" si="195"/>
        <v>14</v>
      </c>
      <c r="BN120" s="407">
        <f t="shared" si="129"/>
        <v>11</v>
      </c>
      <c r="BO120" s="12">
        <v>8</v>
      </c>
      <c r="BP120" s="12">
        <v>3</v>
      </c>
      <c r="BQ120" s="12">
        <v>3</v>
      </c>
      <c r="BR120" s="408">
        <f t="shared" si="190"/>
        <v>1.1666666666666667</v>
      </c>
      <c r="BS120" s="409">
        <f t="shared" si="198"/>
        <v>0</v>
      </c>
      <c r="BT120" s="410"/>
      <c r="BU120" s="411"/>
      <c r="BV120" s="438"/>
      <c r="BW120" s="412">
        <f t="shared" si="199"/>
        <v>0</v>
      </c>
    </row>
    <row r="121" spans="1:76" ht="16.899999999999999" customHeight="1" x14ac:dyDescent="0.3">
      <c r="A121" s="8" t="s">
        <v>181</v>
      </c>
      <c r="B121" s="9" t="s">
        <v>40</v>
      </c>
      <c r="C121" s="9" t="s">
        <v>117</v>
      </c>
      <c r="D121" s="25" t="s">
        <v>148</v>
      </c>
      <c r="E121" s="10" t="s">
        <v>103</v>
      </c>
      <c r="F121" s="59">
        <v>50</v>
      </c>
      <c r="G121" s="369">
        <f>L121/F121</f>
        <v>0</v>
      </c>
      <c r="H121" s="553">
        <v>50</v>
      </c>
      <c r="I121" s="371">
        <v>34</v>
      </c>
      <c r="J121" s="371">
        <v>16</v>
      </c>
      <c r="K121" s="554">
        <v>10</v>
      </c>
      <c r="L121" s="373">
        <f>N121+O121+P121</f>
        <v>0</v>
      </c>
      <c r="M121" s="373">
        <f>N121+O121</f>
        <v>0</v>
      </c>
      <c r="N121" s="374">
        <f t="shared" si="224"/>
        <v>0</v>
      </c>
      <c r="O121" s="374">
        <f t="shared" si="224"/>
        <v>0</v>
      </c>
      <c r="P121" s="375">
        <f t="shared" si="224"/>
        <v>0</v>
      </c>
      <c r="Q121" s="376">
        <f>R121+U121</f>
        <v>0</v>
      </c>
      <c r="R121" s="374">
        <f>S121+T121</f>
        <v>0</v>
      </c>
      <c r="S121" s="377"/>
      <c r="T121" s="377"/>
      <c r="U121" s="377"/>
      <c r="V121" s="378">
        <f t="shared" si="174"/>
        <v>0</v>
      </c>
      <c r="W121" s="379">
        <v>55.7</v>
      </c>
      <c r="X121" s="380"/>
      <c r="Y121" s="376">
        <f>Z121+AC121</f>
        <v>0</v>
      </c>
      <c r="Z121" s="374">
        <f>AA121+AB121</f>
        <v>0</v>
      </c>
      <c r="AA121" s="381"/>
      <c r="AB121" s="381"/>
      <c r="AC121" s="382"/>
      <c r="AD121" s="376">
        <f>AE121+AH121</f>
        <v>0</v>
      </c>
      <c r="AE121" s="374">
        <f>AF121+AG121</f>
        <v>0</v>
      </c>
      <c r="AF121" s="381"/>
      <c r="AG121" s="381"/>
      <c r="AH121" s="383"/>
      <c r="AI121" s="433">
        <f>AJ121+AK121</f>
        <v>0</v>
      </c>
      <c r="AJ121" s="385"/>
      <c r="AK121" s="386"/>
      <c r="AL121" s="387"/>
      <c r="AM121" s="434">
        <f t="shared" si="125"/>
        <v>0</v>
      </c>
      <c r="AN121" s="389"/>
      <c r="AO121" s="435"/>
      <c r="AP121" s="435"/>
      <c r="AQ121" s="435"/>
      <c r="AR121" s="346" t="e">
        <f t="shared" si="126"/>
        <v>#DIV/0!</v>
      </c>
      <c r="AS121" s="436"/>
      <c r="AT121" s="392">
        <v>23</v>
      </c>
      <c r="AU121" s="48"/>
      <c r="AV121" s="48"/>
      <c r="AW121" s="52"/>
      <c r="AX121" s="393" t="e">
        <f t="shared" si="127"/>
        <v>#DIV/0!</v>
      </c>
      <c r="AY121" s="77">
        <v>391</v>
      </c>
      <c r="AZ121" s="437">
        <f>BA121+BB121</f>
        <v>0</v>
      </c>
      <c r="BA121" s="395"/>
      <c r="BB121" s="396"/>
      <c r="BC121" s="397"/>
      <c r="BD121" s="398">
        <f t="shared" si="196"/>
        <v>25</v>
      </c>
      <c r="BE121" s="399">
        <f t="shared" si="197"/>
        <v>18</v>
      </c>
      <c r="BF121" s="400">
        <v>14</v>
      </c>
      <c r="BG121" s="400">
        <v>4</v>
      </c>
      <c r="BH121" s="401">
        <v>7</v>
      </c>
      <c r="BI121" s="402">
        <f>SUM(BJ121:BK121)</f>
        <v>23</v>
      </c>
      <c r="BJ121" s="403">
        <v>17</v>
      </c>
      <c r="BK121" s="404">
        <v>6</v>
      </c>
      <c r="BL121" s="405">
        <v>8</v>
      </c>
      <c r="BM121" s="406">
        <f t="shared" si="195"/>
        <v>32</v>
      </c>
      <c r="BN121" s="407">
        <f t="shared" si="129"/>
        <v>28</v>
      </c>
      <c r="BO121" s="12">
        <v>16</v>
      </c>
      <c r="BP121" s="12">
        <v>12</v>
      </c>
      <c r="BQ121" s="12">
        <v>4</v>
      </c>
      <c r="BR121" s="408">
        <f t="shared" si="190"/>
        <v>1.3913043478260869</v>
      </c>
      <c r="BS121" s="409">
        <f t="shared" si="198"/>
        <v>0</v>
      </c>
      <c r="BT121" s="410"/>
      <c r="BU121" s="411"/>
      <c r="BV121" s="438"/>
      <c r="BW121" s="412">
        <f t="shared" si="199"/>
        <v>0</v>
      </c>
    </row>
    <row r="122" spans="1:76" ht="16.899999999999999" customHeight="1" x14ac:dyDescent="0.3">
      <c r="A122" s="8" t="s">
        <v>181</v>
      </c>
      <c r="B122" s="9" t="s">
        <v>40</v>
      </c>
      <c r="C122" s="9" t="s">
        <v>115</v>
      </c>
      <c r="D122" s="25" t="s">
        <v>189</v>
      </c>
      <c r="E122" s="10" t="s">
        <v>103</v>
      </c>
      <c r="F122" s="59">
        <v>50</v>
      </c>
      <c r="G122" s="369">
        <f>L122/F122</f>
        <v>0</v>
      </c>
      <c r="H122" s="553">
        <v>50</v>
      </c>
      <c r="I122" s="371">
        <v>34</v>
      </c>
      <c r="J122" s="371">
        <v>16</v>
      </c>
      <c r="K122" s="554">
        <v>10</v>
      </c>
      <c r="L122" s="373">
        <f>N122+O122+P122</f>
        <v>0</v>
      </c>
      <c r="M122" s="373">
        <f>N122+O122</f>
        <v>0</v>
      </c>
      <c r="N122" s="374">
        <f t="shared" si="224"/>
        <v>0</v>
      </c>
      <c r="O122" s="374">
        <f t="shared" si="224"/>
        <v>0</v>
      </c>
      <c r="P122" s="375">
        <f t="shared" si="224"/>
        <v>0</v>
      </c>
      <c r="Q122" s="376">
        <f>R122+U122</f>
        <v>0</v>
      </c>
      <c r="R122" s="374">
        <f>S122+T122</f>
        <v>0</v>
      </c>
      <c r="S122" s="377"/>
      <c r="T122" s="377"/>
      <c r="U122" s="377"/>
      <c r="V122" s="378">
        <f t="shared" si="174"/>
        <v>0</v>
      </c>
      <c r="W122" s="379">
        <v>55.4</v>
      </c>
      <c r="X122" s="380"/>
      <c r="Y122" s="376">
        <f>Z122+AC122</f>
        <v>0</v>
      </c>
      <c r="Z122" s="374">
        <f>AA122+AB122</f>
        <v>0</v>
      </c>
      <c r="AA122" s="381"/>
      <c r="AB122" s="381"/>
      <c r="AC122" s="382"/>
      <c r="AD122" s="376">
        <f>AE122+AH122</f>
        <v>0</v>
      </c>
      <c r="AE122" s="374">
        <f>AF122+AG122</f>
        <v>0</v>
      </c>
      <c r="AF122" s="381"/>
      <c r="AG122" s="381"/>
      <c r="AH122" s="383"/>
      <c r="AI122" s="433">
        <f>AJ122+AK122</f>
        <v>0</v>
      </c>
      <c r="AJ122" s="385"/>
      <c r="AK122" s="386"/>
      <c r="AL122" s="387"/>
      <c r="AM122" s="434">
        <f t="shared" si="125"/>
        <v>0</v>
      </c>
      <c r="AN122" s="389"/>
      <c r="AO122" s="435"/>
      <c r="AP122" s="435"/>
      <c r="AQ122" s="435"/>
      <c r="AR122" s="346" t="e">
        <f t="shared" si="126"/>
        <v>#DIV/0!</v>
      </c>
      <c r="AS122" s="436"/>
      <c r="AT122" s="392">
        <v>43</v>
      </c>
      <c r="AU122" s="48"/>
      <c r="AV122" s="48"/>
      <c r="AW122" s="52"/>
      <c r="AX122" s="393" t="e">
        <f t="shared" si="127"/>
        <v>#DIV/0!</v>
      </c>
      <c r="AY122" s="77">
        <v>28</v>
      </c>
      <c r="AZ122" s="437">
        <f>BA122+BB122</f>
        <v>0</v>
      </c>
      <c r="BA122" s="395"/>
      <c r="BB122" s="396"/>
      <c r="BC122" s="397"/>
      <c r="BD122" s="398">
        <f t="shared" si="196"/>
        <v>5</v>
      </c>
      <c r="BE122" s="399">
        <f t="shared" si="197"/>
        <v>0</v>
      </c>
      <c r="BF122" s="400">
        <v>-4</v>
      </c>
      <c r="BG122" s="400">
        <v>4</v>
      </c>
      <c r="BH122" s="401">
        <v>5</v>
      </c>
      <c r="BI122" s="402">
        <f>SUM(BJ122:BK122)</f>
        <v>5</v>
      </c>
      <c r="BJ122" s="403">
        <v>3</v>
      </c>
      <c r="BK122" s="404">
        <v>2</v>
      </c>
      <c r="BL122" s="405">
        <v>6</v>
      </c>
      <c r="BM122" s="406">
        <f t="shared" si="195"/>
        <v>32</v>
      </c>
      <c r="BN122" s="407">
        <f t="shared" si="129"/>
        <v>28</v>
      </c>
      <c r="BO122" s="12">
        <v>17</v>
      </c>
      <c r="BP122" s="12">
        <v>11</v>
      </c>
      <c r="BQ122" s="12">
        <v>4</v>
      </c>
      <c r="BR122" s="408">
        <f t="shared" si="190"/>
        <v>6.4</v>
      </c>
      <c r="BS122" s="409">
        <f t="shared" si="198"/>
        <v>0</v>
      </c>
      <c r="BT122" s="410"/>
      <c r="BU122" s="411"/>
      <c r="BV122" s="438"/>
      <c r="BW122" s="412">
        <f t="shared" si="199"/>
        <v>0</v>
      </c>
    </row>
    <row r="123" spans="1:76" ht="16.899999999999999" customHeight="1" x14ac:dyDescent="0.3">
      <c r="A123" s="8" t="s">
        <v>181</v>
      </c>
      <c r="B123" s="9" t="s">
        <v>40</v>
      </c>
      <c r="C123" s="9" t="s">
        <v>108</v>
      </c>
      <c r="D123" s="25" t="s">
        <v>185</v>
      </c>
      <c r="E123" s="10" t="s">
        <v>103</v>
      </c>
      <c r="F123" s="59">
        <v>25</v>
      </c>
      <c r="G123" s="369">
        <f>L123/F123</f>
        <v>0</v>
      </c>
      <c r="H123" s="553">
        <v>25</v>
      </c>
      <c r="I123" s="371">
        <v>17</v>
      </c>
      <c r="J123" s="371">
        <v>8</v>
      </c>
      <c r="K123" s="554">
        <v>5</v>
      </c>
      <c r="L123" s="373">
        <f>N123+O123+P123</f>
        <v>0</v>
      </c>
      <c r="M123" s="373">
        <f>N123+O123</f>
        <v>0</v>
      </c>
      <c r="N123" s="374">
        <f t="shared" si="224"/>
        <v>0</v>
      </c>
      <c r="O123" s="374">
        <f t="shared" si="224"/>
        <v>0</v>
      </c>
      <c r="P123" s="375">
        <f t="shared" si="224"/>
        <v>0</v>
      </c>
      <c r="Q123" s="376">
        <f>R123+U123</f>
        <v>0</v>
      </c>
      <c r="R123" s="374">
        <f>S123+T123</f>
        <v>0</v>
      </c>
      <c r="S123" s="377"/>
      <c r="T123" s="377"/>
      <c r="U123" s="377"/>
      <c r="V123" s="378">
        <f t="shared" si="174"/>
        <v>0</v>
      </c>
      <c r="W123" s="379">
        <v>74.7</v>
      </c>
      <c r="X123" s="380"/>
      <c r="Y123" s="376">
        <f>Z123+AC123</f>
        <v>0</v>
      </c>
      <c r="Z123" s="374">
        <f>AA123+AB123</f>
        <v>0</v>
      </c>
      <c r="AA123" s="381"/>
      <c r="AB123" s="381"/>
      <c r="AC123" s="382"/>
      <c r="AD123" s="376">
        <f>AE123+AH123</f>
        <v>0</v>
      </c>
      <c r="AE123" s="374">
        <f>AF123+AG123</f>
        <v>0</v>
      </c>
      <c r="AF123" s="381"/>
      <c r="AG123" s="381"/>
      <c r="AH123" s="383"/>
      <c r="AI123" s="433">
        <f>AJ123+AK123</f>
        <v>0</v>
      </c>
      <c r="AJ123" s="385"/>
      <c r="AK123" s="386"/>
      <c r="AL123" s="387"/>
      <c r="AM123" s="434">
        <f t="shared" si="125"/>
        <v>0</v>
      </c>
      <c r="AN123" s="389"/>
      <c r="AO123" s="435"/>
      <c r="AP123" s="435"/>
      <c r="AQ123" s="435"/>
      <c r="AR123" s="346" t="e">
        <f t="shared" si="126"/>
        <v>#DIV/0!</v>
      </c>
      <c r="AS123" s="436"/>
      <c r="AT123" s="392">
        <v>21</v>
      </c>
      <c r="AU123" s="48"/>
      <c r="AV123" s="48"/>
      <c r="AW123" s="52"/>
      <c r="AX123" s="393" t="e">
        <f t="shared" si="127"/>
        <v>#DIV/0!</v>
      </c>
      <c r="AY123" s="77">
        <v>91</v>
      </c>
      <c r="AZ123" s="437">
        <f>BA123+BB123</f>
        <v>0</v>
      </c>
      <c r="BA123" s="395"/>
      <c r="BB123" s="396"/>
      <c r="BC123" s="397"/>
      <c r="BD123" s="398">
        <f t="shared" si="196"/>
        <v>2</v>
      </c>
      <c r="BE123" s="399">
        <f t="shared" si="197"/>
        <v>0</v>
      </c>
      <c r="BF123" s="400">
        <v>1</v>
      </c>
      <c r="BG123" s="400">
        <v>-1</v>
      </c>
      <c r="BH123" s="401">
        <v>2</v>
      </c>
      <c r="BI123" s="402">
        <f>SUM(BJ123:BK123)</f>
        <v>3</v>
      </c>
      <c r="BJ123" s="403">
        <v>2</v>
      </c>
      <c r="BK123" s="404">
        <v>1</v>
      </c>
      <c r="BL123" s="405">
        <v>3</v>
      </c>
      <c r="BM123" s="406">
        <f t="shared" si="195"/>
        <v>16</v>
      </c>
      <c r="BN123" s="407">
        <f t="shared" si="129"/>
        <v>12</v>
      </c>
      <c r="BO123" s="12">
        <v>9</v>
      </c>
      <c r="BP123" s="12">
        <v>3</v>
      </c>
      <c r="BQ123" s="12">
        <v>4</v>
      </c>
      <c r="BR123" s="408">
        <f t="shared" si="190"/>
        <v>5.333333333333333</v>
      </c>
      <c r="BS123" s="409">
        <f t="shared" si="198"/>
        <v>0</v>
      </c>
      <c r="BT123" s="410"/>
      <c r="BU123" s="411"/>
      <c r="BV123" s="438"/>
      <c r="BW123" s="412">
        <f t="shared" si="199"/>
        <v>0</v>
      </c>
    </row>
    <row r="124" spans="1:76" ht="16.899999999999999" customHeight="1" x14ac:dyDescent="0.3">
      <c r="A124" s="4" t="s">
        <v>181</v>
      </c>
      <c r="B124" s="5" t="s">
        <v>41</v>
      </c>
      <c r="C124" s="5"/>
      <c r="D124" s="5" t="s">
        <v>21</v>
      </c>
      <c r="E124" s="6"/>
      <c r="F124" s="58">
        <f t="shared" ref="F124:U124" si="225">SUM(F125:F127)</f>
        <v>75</v>
      </c>
      <c r="G124" s="7">
        <f t="shared" si="225"/>
        <v>0</v>
      </c>
      <c r="H124" s="7">
        <f t="shared" si="225"/>
        <v>75</v>
      </c>
      <c r="I124" s="67">
        <f t="shared" si="225"/>
        <v>51</v>
      </c>
      <c r="J124" s="67">
        <f t="shared" si="225"/>
        <v>24</v>
      </c>
      <c r="K124" s="70">
        <f t="shared" si="225"/>
        <v>15</v>
      </c>
      <c r="L124" s="413">
        <f t="shared" si="225"/>
        <v>0</v>
      </c>
      <c r="M124" s="413">
        <f t="shared" si="225"/>
        <v>0</v>
      </c>
      <c r="N124" s="413">
        <f t="shared" si="225"/>
        <v>0</v>
      </c>
      <c r="O124" s="413">
        <f t="shared" si="225"/>
        <v>0</v>
      </c>
      <c r="P124" s="414">
        <f t="shared" si="225"/>
        <v>0</v>
      </c>
      <c r="Q124" s="415">
        <f t="shared" si="225"/>
        <v>0</v>
      </c>
      <c r="R124" s="416">
        <f t="shared" si="225"/>
        <v>0</v>
      </c>
      <c r="S124" s="416">
        <f t="shared" si="225"/>
        <v>0</v>
      </c>
      <c r="T124" s="416">
        <f t="shared" si="225"/>
        <v>0</v>
      </c>
      <c r="U124" s="416">
        <f t="shared" si="225"/>
        <v>0</v>
      </c>
      <c r="V124" s="334">
        <f t="shared" si="174"/>
        <v>0</v>
      </c>
      <c r="W124" s="335">
        <f t="shared" ref="W124:AI124" si="226">SUM(W125:W127)</f>
        <v>197.8</v>
      </c>
      <c r="X124" s="413">
        <f t="shared" si="226"/>
        <v>0</v>
      </c>
      <c r="Y124" s="415">
        <f t="shared" si="226"/>
        <v>0</v>
      </c>
      <c r="Z124" s="416">
        <f t="shared" si="226"/>
        <v>0</v>
      </c>
      <c r="AA124" s="416">
        <f t="shared" si="226"/>
        <v>0</v>
      </c>
      <c r="AB124" s="416">
        <f t="shared" si="226"/>
        <v>0</v>
      </c>
      <c r="AC124" s="417">
        <f t="shared" si="226"/>
        <v>0</v>
      </c>
      <c r="AD124" s="415">
        <f t="shared" si="226"/>
        <v>0</v>
      </c>
      <c r="AE124" s="416">
        <f t="shared" si="226"/>
        <v>0</v>
      </c>
      <c r="AF124" s="416">
        <f t="shared" si="226"/>
        <v>0</v>
      </c>
      <c r="AG124" s="416">
        <f t="shared" si="226"/>
        <v>0</v>
      </c>
      <c r="AH124" s="418">
        <f t="shared" si="226"/>
        <v>0</v>
      </c>
      <c r="AI124" s="339">
        <f t="shared" si="226"/>
        <v>0</v>
      </c>
      <c r="AJ124" s="340"/>
      <c r="AK124" s="341"/>
      <c r="AL124" s="342"/>
      <c r="AM124" s="420">
        <f t="shared" si="125"/>
        <v>0</v>
      </c>
      <c r="AN124" s="344"/>
      <c r="AO124" s="440"/>
      <c r="AP124" s="440"/>
      <c r="AQ124" s="440"/>
      <c r="AR124" s="346" t="e">
        <f t="shared" si="126"/>
        <v>#DIV/0!</v>
      </c>
      <c r="AS124" s="424">
        <v>1.2330000000000001</v>
      </c>
      <c r="AT124" s="561">
        <f>SUM(AT125:AT127)</f>
        <v>58</v>
      </c>
      <c r="AU124" s="361"/>
      <c r="AV124" s="361"/>
      <c r="AW124" s="444"/>
      <c r="AX124" s="352" t="e">
        <f t="shared" si="127"/>
        <v>#DIV/0!</v>
      </c>
      <c r="AY124" s="427">
        <v>0.7</v>
      </c>
      <c r="AZ124" s="354">
        <f>SUM(AZ125:AZ127)</f>
        <v>0</v>
      </c>
      <c r="BA124" s="340"/>
      <c r="BB124" s="340"/>
      <c r="BC124" s="355"/>
      <c r="BD124" s="356">
        <f t="shared" si="196"/>
        <v>11</v>
      </c>
      <c r="BE124" s="445">
        <f t="shared" si="197"/>
        <v>6</v>
      </c>
      <c r="BF124" s="446">
        <f t="shared" ref="BF124:BL124" si="227">SUM(BF125:BF127)</f>
        <v>3</v>
      </c>
      <c r="BG124" s="446">
        <f t="shared" si="227"/>
        <v>3</v>
      </c>
      <c r="BH124" s="447">
        <f t="shared" si="227"/>
        <v>5</v>
      </c>
      <c r="BI124" s="359">
        <f t="shared" si="227"/>
        <v>15</v>
      </c>
      <c r="BJ124" s="360">
        <f t="shared" si="227"/>
        <v>10</v>
      </c>
      <c r="BK124" s="361">
        <f t="shared" si="227"/>
        <v>5</v>
      </c>
      <c r="BL124" s="362">
        <f t="shared" si="227"/>
        <v>8</v>
      </c>
      <c r="BM124" s="363">
        <f t="shared" si="195"/>
        <v>39</v>
      </c>
      <c r="BN124" s="356">
        <f t="shared" si="129"/>
        <v>38</v>
      </c>
      <c r="BO124" s="446">
        <f>SUM(BO125:BO127)</f>
        <v>28</v>
      </c>
      <c r="BP124" s="446">
        <f>SUM(BP125:BP127)</f>
        <v>10</v>
      </c>
      <c r="BQ124" s="446">
        <f>SUM(BQ125:BQ127)</f>
        <v>1</v>
      </c>
      <c r="BR124" s="432">
        <f t="shared" si="190"/>
        <v>2.6</v>
      </c>
      <c r="BS124" s="366">
        <f t="shared" si="198"/>
        <v>0</v>
      </c>
      <c r="BT124" s="367">
        <f>SUM(BT125:BT127)</f>
        <v>0</v>
      </c>
      <c r="BU124" s="367">
        <f>SUM(BU125:BU127)</f>
        <v>0</v>
      </c>
      <c r="BV124" s="367">
        <f>SUM(BV125:BV127)</f>
        <v>0</v>
      </c>
      <c r="BW124" s="368">
        <f t="shared" si="199"/>
        <v>0</v>
      </c>
      <c r="BX124" t="s">
        <v>41</v>
      </c>
    </row>
    <row r="125" spans="1:76" ht="16.899999999999999" customHeight="1" x14ac:dyDescent="0.3">
      <c r="A125" s="8" t="s">
        <v>181</v>
      </c>
      <c r="B125" s="9" t="s">
        <v>41</v>
      </c>
      <c r="C125" s="9" t="s">
        <v>108</v>
      </c>
      <c r="D125" s="25" t="s">
        <v>190</v>
      </c>
      <c r="E125" s="10" t="s">
        <v>103</v>
      </c>
      <c r="F125" s="59">
        <v>25</v>
      </c>
      <c r="G125" s="369">
        <f>L125/F125</f>
        <v>0</v>
      </c>
      <c r="H125" s="553">
        <v>25</v>
      </c>
      <c r="I125" s="371">
        <v>17</v>
      </c>
      <c r="J125" s="371">
        <v>8</v>
      </c>
      <c r="K125" s="554">
        <v>5</v>
      </c>
      <c r="L125" s="373">
        <f>N125+O125+P125</f>
        <v>0</v>
      </c>
      <c r="M125" s="373">
        <f>N125+O125</f>
        <v>0</v>
      </c>
      <c r="N125" s="374">
        <f t="shared" ref="N125:P127" si="228">AA125+AF125</f>
        <v>0</v>
      </c>
      <c r="O125" s="374">
        <f t="shared" si="228"/>
        <v>0</v>
      </c>
      <c r="P125" s="375">
        <f t="shared" si="228"/>
        <v>0</v>
      </c>
      <c r="Q125" s="376">
        <f>R125+U125</f>
        <v>0</v>
      </c>
      <c r="R125" s="374">
        <f>S125+T125</f>
        <v>0</v>
      </c>
      <c r="S125" s="377"/>
      <c r="T125" s="377"/>
      <c r="U125" s="377"/>
      <c r="V125" s="378">
        <f t="shared" si="174"/>
        <v>0</v>
      </c>
      <c r="W125" s="379">
        <v>59.1</v>
      </c>
      <c r="X125" s="380"/>
      <c r="Y125" s="376">
        <f>Z125+AC125</f>
        <v>0</v>
      </c>
      <c r="Z125" s="374">
        <f>AA125+AB125</f>
        <v>0</v>
      </c>
      <c r="AA125" s="381"/>
      <c r="AB125" s="381"/>
      <c r="AC125" s="382"/>
      <c r="AD125" s="376">
        <f>AE125+AH125</f>
        <v>0</v>
      </c>
      <c r="AE125" s="374">
        <f>AF125+AG125</f>
        <v>0</v>
      </c>
      <c r="AF125" s="381"/>
      <c r="AG125" s="381"/>
      <c r="AH125" s="383"/>
      <c r="AI125" s="384">
        <f>AJ125+AK125</f>
        <v>0</v>
      </c>
      <c r="AJ125" s="385"/>
      <c r="AK125" s="386"/>
      <c r="AL125" s="387"/>
      <c r="AM125" s="434">
        <f t="shared" si="125"/>
        <v>0</v>
      </c>
      <c r="AN125" s="389"/>
      <c r="AO125" s="390"/>
      <c r="AP125" s="390"/>
      <c r="AQ125" s="390"/>
      <c r="AR125" s="346" t="e">
        <f t="shared" si="126"/>
        <v>#DIV/0!</v>
      </c>
      <c r="AS125" s="436"/>
      <c r="AT125" s="566">
        <v>17</v>
      </c>
      <c r="AU125" s="48"/>
      <c r="AV125" s="48"/>
      <c r="AW125" s="52"/>
      <c r="AX125" s="393" t="e">
        <f t="shared" si="127"/>
        <v>#DIV/0!</v>
      </c>
      <c r="AY125" s="77">
        <v>253</v>
      </c>
      <c r="AZ125" s="394">
        <f>BA125+BB125</f>
        <v>0</v>
      </c>
      <c r="BA125" s="395"/>
      <c r="BB125" s="396"/>
      <c r="BC125" s="397"/>
      <c r="BD125" s="398">
        <f t="shared" si="196"/>
        <v>6</v>
      </c>
      <c r="BE125" s="399">
        <f t="shared" si="197"/>
        <v>4</v>
      </c>
      <c r="BF125" s="400">
        <v>4</v>
      </c>
      <c r="BG125" s="400">
        <v>0</v>
      </c>
      <c r="BH125" s="401">
        <v>2</v>
      </c>
      <c r="BI125" s="402">
        <f>SUM(BJ125:BK125)</f>
        <v>7</v>
      </c>
      <c r="BJ125" s="403">
        <v>6</v>
      </c>
      <c r="BK125" s="404">
        <v>1</v>
      </c>
      <c r="BL125" s="405">
        <v>3</v>
      </c>
      <c r="BM125" s="406">
        <f t="shared" si="195"/>
        <v>12</v>
      </c>
      <c r="BN125" s="407">
        <f t="shared" si="129"/>
        <v>12</v>
      </c>
      <c r="BO125" s="12">
        <v>9</v>
      </c>
      <c r="BP125" s="12">
        <v>3</v>
      </c>
      <c r="BQ125" s="12">
        <v>0</v>
      </c>
      <c r="BR125" s="408">
        <f t="shared" si="190"/>
        <v>1.7142857142857142</v>
      </c>
      <c r="BS125" s="409">
        <f t="shared" si="198"/>
        <v>0</v>
      </c>
      <c r="BT125" s="410"/>
      <c r="BU125" s="411"/>
      <c r="BV125" s="438"/>
      <c r="BW125" s="412">
        <f t="shared" si="199"/>
        <v>0</v>
      </c>
    </row>
    <row r="126" spans="1:76" ht="16.899999999999999" customHeight="1" x14ac:dyDescent="0.3">
      <c r="A126" s="8" t="s">
        <v>181</v>
      </c>
      <c r="B126" s="9" t="s">
        <v>41</v>
      </c>
      <c r="C126" s="9" t="s">
        <v>117</v>
      </c>
      <c r="D126" s="25" t="s">
        <v>191</v>
      </c>
      <c r="E126" s="10" t="s">
        <v>103</v>
      </c>
      <c r="F126" s="59">
        <v>25</v>
      </c>
      <c r="G126" s="369">
        <f>L126/F126</f>
        <v>0</v>
      </c>
      <c r="H126" s="553">
        <v>25</v>
      </c>
      <c r="I126" s="371">
        <v>17</v>
      </c>
      <c r="J126" s="371">
        <v>8</v>
      </c>
      <c r="K126" s="554">
        <v>5</v>
      </c>
      <c r="L126" s="373">
        <f>N126+O126+P126</f>
        <v>0</v>
      </c>
      <c r="M126" s="373">
        <f>N126+O126</f>
        <v>0</v>
      </c>
      <c r="N126" s="374">
        <f t="shared" si="228"/>
        <v>0</v>
      </c>
      <c r="O126" s="374">
        <f t="shared" si="228"/>
        <v>0</v>
      </c>
      <c r="P126" s="375">
        <f t="shared" si="228"/>
        <v>0</v>
      </c>
      <c r="Q126" s="376">
        <f>R126+U126</f>
        <v>0</v>
      </c>
      <c r="R126" s="374">
        <f>S126+T126</f>
        <v>0</v>
      </c>
      <c r="S126" s="377"/>
      <c r="T126" s="377"/>
      <c r="U126" s="377"/>
      <c r="V126" s="378">
        <f t="shared" ref="V126:V149" si="229">Q126/H126</f>
        <v>0</v>
      </c>
      <c r="W126" s="379">
        <v>79.400000000000006</v>
      </c>
      <c r="X126" s="380"/>
      <c r="Y126" s="376">
        <f>Z126+AC126</f>
        <v>0</v>
      </c>
      <c r="Z126" s="374">
        <f>AA126+AB126</f>
        <v>0</v>
      </c>
      <c r="AA126" s="381"/>
      <c r="AB126" s="381"/>
      <c r="AC126" s="382"/>
      <c r="AD126" s="376">
        <f>AE126+AH126</f>
        <v>0</v>
      </c>
      <c r="AE126" s="374">
        <f>AF126+AG126</f>
        <v>0</v>
      </c>
      <c r="AF126" s="381"/>
      <c r="AG126" s="381"/>
      <c r="AH126" s="383"/>
      <c r="AI126" s="384">
        <f>AJ126+AK126</f>
        <v>0</v>
      </c>
      <c r="AJ126" s="385"/>
      <c r="AK126" s="386"/>
      <c r="AL126" s="387"/>
      <c r="AM126" s="434">
        <f t="shared" si="125"/>
        <v>0</v>
      </c>
      <c r="AN126" s="389"/>
      <c r="AO126" s="390"/>
      <c r="AP126" s="390"/>
      <c r="AQ126" s="390"/>
      <c r="AR126" s="346" t="e">
        <f t="shared" si="126"/>
        <v>#DIV/0!</v>
      </c>
      <c r="AS126" s="436"/>
      <c r="AT126" s="566">
        <v>18</v>
      </c>
      <c r="AU126" s="48"/>
      <c r="AV126" s="48"/>
      <c r="AW126" s="52"/>
      <c r="AX126" s="393" t="e">
        <f t="shared" si="127"/>
        <v>#DIV/0!</v>
      </c>
      <c r="AY126" s="77">
        <v>343</v>
      </c>
      <c r="AZ126" s="394">
        <f>BA126+BB126</f>
        <v>0</v>
      </c>
      <c r="BA126" s="395"/>
      <c r="BB126" s="396"/>
      <c r="BC126" s="397"/>
      <c r="BD126" s="398">
        <f t="shared" si="196"/>
        <v>5</v>
      </c>
      <c r="BE126" s="399">
        <f t="shared" si="197"/>
        <v>2</v>
      </c>
      <c r="BF126" s="400">
        <v>-1</v>
      </c>
      <c r="BG126" s="400">
        <v>3</v>
      </c>
      <c r="BH126" s="401">
        <v>3</v>
      </c>
      <c r="BI126" s="402">
        <f>SUM(BJ126:BK126)</f>
        <v>5</v>
      </c>
      <c r="BJ126" s="403">
        <v>2</v>
      </c>
      <c r="BK126" s="404">
        <v>3</v>
      </c>
      <c r="BL126" s="405">
        <v>4</v>
      </c>
      <c r="BM126" s="406">
        <f t="shared" si="195"/>
        <v>11</v>
      </c>
      <c r="BN126" s="407">
        <f t="shared" si="129"/>
        <v>11</v>
      </c>
      <c r="BO126" s="12">
        <v>7</v>
      </c>
      <c r="BP126" s="12">
        <v>4</v>
      </c>
      <c r="BQ126" s="12">
        <v>0</v>
      </c>
      <c r="BR126" s="408">
        <f t="shared" si="190"/>
        <v>2.2000000000000002</v>
      </c>
      <c r="BS126" s="409">
        <f t="shared" si="198"/>
        <v>0</v>
      </c>
      <c r="BT126" s="410"/>
      <c r="BU126" s="411"/>
      <c r="BV126" s="438"/>
      <c r="BW126" s="412">
        <f t="shared" si="199"/>
        <v>0</v>
      </c>
    </row>
    <row r="127" spans="1:76" ht="16.899999999999999" customHeight="1" x14ac:dyDescent="0.3">
      <c r="A127" s="8" t="s">
        <v>181</v>
      </c>
      <c r="B127" s="9" t="s">
        <v>41</v>
      </c>
      <c r="C127" s="9" t="s">
        <v>115</v>
      </c>
      <c r="D127" s="25" t="s">
        <v>116</v>
      </c>
      <c r="E127" s="10" t="s">
        <v>103</v>
      </c>
      <c r="F127" s="59">
        <v>25</v>
      </c>
      <c r="G127" s="369">
        <f>L127/F127</f>
        <v>0</v>
      </c>
      <c r="H127" s="553">
        <v>25</v>
      </c>
      <c r="I127" s="371">
        <v>17</v>
      </c>
      <c r="J127" s="371">
        <v>8</v>
      </c>
      <c r="K127" s="554">
        <v>5</v>
      </c>
      <c r="L127" s="373">
        <f>N127+O127+P127</f>
        <v>0</v>
      </c>
      <c r="M127" s="373">
        <f>N127+O127</f>
        <v>0</v>
      </c>
      <c r="N127" s="374">
        <f t="shared" si="228"/>
        <v>0</v>
      </c>
      <c r="O127" s="374">
        <f t="shared" si="228"/>
        <v>0</v>
      </c>
      <c r="P127" s="375">
        <f t="shared" si="228"/>
        <v>0</v>
      </c>
      <c r="Q127" s="376">
        <f>R127+U127</f>
        <v>0</v>
      </c>
      <c r="R127" s="374">
        <f>S127+T127</f>
        <v>0</v>
      </c>
      <c r="S127" s="377"/>
      <c r="T127" s="377"/>
      <c r="U127" s="377"/>
      <c r="V127" s="378">
        <f t="shared" si="229"/>
        <v>0</v>
      </c>
      <c r="W127" s="379">
        <v>59.3</v>
      </c>
      <c r="X127" s="380"/>
      <c r="Y127" s="376">
        <f>Z127+AC127</f>
        <v>0</v>
      </c>
      <c r="Z127" s="374">
        <f>AA127+AB127</f>
        <v>0</v>
      </c>
      <c r="AA127" s="381"/>
      <c r="AB127" s="381"/>
      <c r="AC127" s="382"/>
      <c r="AD127" s="376">
        <f>AE127+AH127</f>
        <v>0</v>
      </c>
      <c r="AE127" s="374">
        <f>AF127+AG127</f>
        <v>0</v>
      </c>
      <c r="AF127" s="381"/>
      <c r="AG127" s="381"/>
      <c r="AH127" s="383"/>
      <c r="AI127" s="384">
        <f>AJ127+AK127</f>
        <v>0</v>
      </c>
      <c r="AJ127" s="385"/>
      <c r="AK127" s="386"/>
      <c r="AL127" s="387"/>
      <c r="AM127" s="434">
        <f t="shared" si="125"/>
        <v>0</v>
      </c>
      <c r="AN127" s="389"/>
      <c r="AO127" s="390"/>
      <c r="AP127" s="390"/>
      <c r="AQ127" s="390"/>
      <c r="AR127" s="346" t="e">
        <f t="shared" si="126"/>
        <v>#DIV/0!</v>
      </c>
      <c r="AS127" s="436"/>
      <c r="AT127" s="566">
        <v>23</v>
      </c>
      <c r="AU127" s="48"/>
      <c r="AV127" s="48"/>
      <c r="AW127" s="52"/>
      <c r="AX127" s="393" t="e">
        <f t="shared" si="127"/>
        <v>#DIV/0!</v>
      </c>
      <c r="AY127" s="77">
        <v>259</v>
      </c>
      <c r="AZ127" s="394">
        <f>BA127+BB127</f>
        <v>0</v>
      </c>
      <c r="BA127" s="395"/>
      <c r="BB127" s="396"/>
      <c r="BC127" s="397"/>
      <c r="BD127" s="398">
        <f t="shared" si="196"/>
        <v>0</v>
      </c>
      <c r="BE127" s="399">
        <f t="shared" si="197"/>
        <v>0</v>
      </c>
      <c r="BF127" s="400">
        <v>0</v>
      </c>
      <c r="BG127" s="400">
        <v>0</v>
      </c>
      <c r="BH127" s="401">
        <v>0</v>
      </c>
      <c r="BI127" s="402">
        <f>SUM(BJ127:BK127)</f>
        <v>3</v>
      </c>
      <c r="BJ127" s="403">
        <v>2</v>
      </c>
      <c r="BK127" s="404">
        <v>1</v>
      </c>
      <c r="BL127" s="405">
        <v>1</v>
      </c>
      <c r="BM127" s="406">
        <f t="shared" si="195"/>
        <v>16</v>
      </c>
      <c r="BN127" s="407">
        <f t="shared" si="129"/>
        <v>15</v>
      </c>
      <c r="BO127" s="12">
        <v>12</v>
      </c>
      <c r="BP127" s="12">
        <v>3</v>
      </c>
      <c r="BQ127" s="12">
        <v>1</v>
      </c>
      <c r="BR127" s="408">
        <f t="shared" si="190"/>
        <v>5.333333333333333</v>
      </c>
      <c r="BS127" s="409">
        <f t="shared" si="198"/>
        <v>0</v>
      </c>
      <c r="BT127" s="410"/>
      <c r="BU127" s="439"/>
      <c r="BV127" s="458"/>
      <c r="BW127" s="412">
        <f t="shared" si="199"/>
        <v>0</v>
      </c>
    </row>
    <row r="128" spans="1:76" ht="16.899999999999999" customHeight="1" x14ac:dyDescent="0.3">
      <c r="A128" s="4" t="s">
        <v>181</v>
      </c>
      <c r="B128" s="5" t="s">
        <v>42</v>
      </c>
      <c r="C128" s="5"/>
      <c r="D128" s="5" t="s">
        <v>21</v>
      </c>
      <c r="E128" s="6"/>
      <c r="F128" s="58">
        <f t="shared" ref="F128:U128" si="230">SUM(F129:F130)</f>
        <v>50</v>
      </c>
      <c r="G128" s="7">
        <f t="shared" si="230"/>
        <v>0</v>
      </c>
      <c r="H128" s="7">
        <f t="shared" si="230"/>
        <v>50</v>
      </c>
      <c r="I128" s="67">
        <f t="shared" si="230"/>
        <v>34</v>
      </c>
      <c r="J128" s="67">
        <f t="shared" si="230"/>
        <v>16</v>
      </c>
      <c r="K128" s="70">
        <f t="shared" si="230"/>
        <v>10</v>
      </c>
      <c r="L128" s="413">
        <f t="shared" si="230"/>
        <v>0</v>
      </c>
      <c r="M128" s="413">
        <f t="shared" si="230"/>
        <v>0</v>
      </c>
      <c r="N128" s="413">
        <f t="shared" si="230"/>
        <v>0</v>
      </c>
      <c r="O128" s="413">
        <f t="shared" si="230"/>
        <v>0</v>
      </c>
      <c r="P128" s="414">
        <f t="shared" si="230"/>
        <v>0</v>
      </c>
      <c r="Q128" s="415">
        <f t="shared" si="230"/>
        <v>0</v>
      </c>
      <c r="R128" s="416">
        <f t="shared" si="230"/>
        <v>0</v>
      </c>
      <c r="S128" s="416">
        <f t="shared" si="230"/>
        <v>0</v>
      </c>
      <c r="T128" s="416">
        <f t="shared" si="230"/>
        <v>0</v>
      </c>
      <c r="U128" s="416">
        <f t="shared" si="230"/>
        <v>0</v>
      </c>
      <c r="V128" s="334">
        <f t="shared" si="229"/>
        <v>0</v>
      </c>
      <c r="W128" s="335">
        <f t="shared" ref="W128:AI128" si="231">SUM(W129:W130)</f>
        <v>158.89999999999998</v>
      </c>
      <c r="X128" s="413">
        <f t="shared" si="231"/>
        <v>0</v>
      </c>
      <c r="Y128" s="415">
        <f t="shared" si="231"/>
        <v>0</v>
      </c>
      <c r="Z128" s="416">
        <f t="shared" si="231"/>
        <v>0</v>
      </c>
      <c r="AA128" s="416">
        <f t="shared" si="231"/>
        <v>0</v>
      </c>
      <c r="AB128" s="416">
        <f t="shared" si="231"/>
        <v>0</v>
      </c>
      <c r="AC128" s="417">
        <f t="shared" si="231"/>
        <v>0</v>
      </c>
      <c r="AD128" s="415">
        <f t="shared" si="231"/>
        <v>0</v>
      </c>
      <c r="AE128" s="416">
        <f t="shared" si="231"/>
        <v>0</v>
      </c>
      <c r="AF128" s="416">
        <f t="shared" si="231"/>
        <v>0</v>
      </c>
      <c r="AG128" s="416">
        <f t="shared" si="231"/>
        <v>0</v>
      </c>
      <c r="AH128" s="418">
        <f t="shared" si="231"/>
        <v>0</v>
      </c>
      <c r="AI128" s="339">
        <f t="shared" si="231"/>
        <v>0</v>
      </c>
      <c r="AJ128" s="340"/>
      <c r="AK128" s="341"/>
      <c r="AL128" s="342"/>
      <c r="AM128" s="420">
        <f t="shared" si="125"/>
        <v>0</v>
      </c>
      <c r="AN128" s="344"/>
      <c r="AO128" s="440"/>
      <c r="AP128" s="440"/>
      <c r="AQ128" s="440"/>
      <c r="AR128" s="346" t="e">
        <f t="shared" si="126"/>
        <v>#DIV/0!</v>
      </c>
      <c r="AS128" s="424">
        <v>1</v>
      </c>
      <c r="AT128" s="441">
        <f>SUM(AT129:AT130)</f>
        <v>20</v>
      </c>
      <c r="AU128" s="361"/>
      <c r="AV128" s="361"/>
      <c r="AW128" s="444"/>
      <c r="AX128" s="352" t="e">
        <f t="shared" si="127"/>
        <v>#DIV/0!</v>
      </c>
      <c r="AY128" s="449">
        <v>0.47399999999999998</v>
      </c>
      <c r="AZ128" s="354">
        <f>SUM(AZ129:AZ130)</f>
        <v>0</v>
      </c>
      <c r="BA128" s="340"/>
      <c r="BB128" s="340"/>
      <c r="BC128" s="355"/>
      <c r="BD128" s="356">
        <f t="shared" si="196"/>
        <v>24</v>
      </c>
      <c r="BE128" s="445">
        <f t="shared" si="197"/>
        <v>22</v>
      </c>
      <c r="BF128" s="446">
        <f t="shared" ref="BF128:BL128" si="232">SUM(BF129:BF130)</f>
        <v>15</v>
      </c>
      <c r="BG128" s="446">
        <f t="shared" si="232"/>
        <v>7</v>
      </c>
      <c r="BH128" s="447">
        <f t="shared" si="232"/>
        <v>2</v>
      </c>
      <c r="BI128" s="359">
        <f t="shared" si="232"/>
        <v>28</v>
      </c>
      <c r="BJ128" s="360">
        <f t="shared" si="232"/>
        <v>19</v>
      </c>
      <c r="BK128" s="361">
        <f t="shared" si="232"/>
        <v>9</v>
      </c>
      <c r="BL128" s="362">
        <f t="shared" si="232"/>
        <v>4</v>
      </c>
      <c r="BM128" s="363">
        <f t="shared" si="195"/>
        <v>30</v>
      </c>
      <c r="BN128" s="356">
        <f t="shared" si="129"/>
        <v>28</v>
      </c>
      <c r="BO128" s="446">
        <f>SUM(BO129:BO130)</f>
        <v>8</v>
      </c>
      <c r="BP128" s="446">
        <f>SUM(BP129:BP130)</f>
        <v>20</v>
      </c>
      <c r="BQ128" s="446">
        <f>SUM(BQ129:BQ130)</f>
        <v>2</v>
      </c>
      <c r="BR128" s="432">
        <f t="shared" si="190"/>
        <v>1.0714285714285714</v>
      </c>
      <c r="BS128" s="366">
        <f t="shared" si="198"/>
        <v>0</v>
      </c>
      <c r="BT128" s="367">
        <f>SUM(BT129:BT130)</f>
        <v>0</v>
      </c>
      <c r="BU128" s="367">
        <f>SUM(BU129:BU130)</f>
        <v>0</v>
      </c>
      <c r="BV128" s="367">
        <f>SUM(BV129:BV130)</f>
        <v>0</v>
      </c>
      <c r="BW128" s="368">
        <f t="shared" si="199"/>
        <v>0</v>
      </c>
      <c r="BX128" t="s">
        <v>42</v>
      </c>
    </row>
    <row r="129" spans="1:76" ht="16.899999999999999" customHeight="1" x14ac:dyDescent="0.3">
      <c r="A129" s="8" t="s">
        <v>181</v>
      </c>
      <c r="B129" s="9" t="s">
        <v>42</v>
      </c>
      <c r="C129" s="9" t="s">
        <v>101</v>
      </c>
      <c r="D129" s="25" t="s">
        <v>192</v>
      </c>
      <c r="E129" s="10" t="s">
        <v>103</v>
      </c>
      <c r="F129" s="59">
        <v>25</v>
      </c>
      <c r="G129" s="369">
        <f>L129/F129</f>
        <v>0</v>
      </c>
      <c r="H129" s="553">
        <v>25</v>
      </c>
      <c r="I129" s="371">
        <v>17</v>
      </c>
      <c r="J129" s="371">
        <v>8</v>
      </c>
      <c r="K129" s="554">
        <v>5</v>
      </c>
      <c r="L129" s="373">
        <f>N129+O129+P129</f>
        <v>0</v>
      </c>
      <c r="M129" s="373">
        <f>N129+O129</f>
        <v>0</v>
      </c>
      <c r="N129" s="374">
        <f t="shared" ref="N129:P130" si="233">AA129+AF129</f>
        <v>0</v>
      </c>
      <c r="O129" s="374">
        <f t="shared" si="233"/>
        <v>0</v>
      </c>
      <c r="P129" s="375">
        <f t="shared" si="233"/>
        <v>0</v>
      </c>
      <c r="Q129" s="376">
        <f>R129+U129</f>
        <v>0</v>
      </c>
      <c r="R129" s="374">
        <f>S129+T129</f>
        <v>0</v>
      </c>
      <c r="S129" s="377"/>
      <c r="T129" s="377"/>
      <c r="U129" s="377"/>
      <c r="V129" s="378">
        <f t="shared" si="229"/>
        <v>0</v>
      </c>
      <c r="W129" s="379">
        <v>90.6</v>
      </c>
      <c r="X129" s="380"/>
      <c r="Y129" s="376">
        <f>Z129+AC129</f>
        <v>0</v>
      </c>
      <c r="Z129" s="374">
        <f>AA129+AB129</f>
        <v>0</v>
      </c>
      <c r="AA129" s="381"/>
      <c r="AB129" s="381"/>
      <c r="AC129" s="382"/>
      <c r="AD129" s="376">
        <f>AE129+AH129</f>
        <v>0</v>
      </c>
      <c r="AE129" s="374">
        <f>AF129+AG129</f>
        <v>0</v>
      </c>
      <c r="AF129" s="381"/>
      <c r="AG129" s="381"/>
      <c r="AH129" s="383"/>
      <c r="AI129" s="384">
        <f>AJ129+AK129</f>
        <v>0</v>
      </c>
      <c r="AJ129" s="385"/>
      <c r="AK129" s="386"/>
      <c r="AL129" s="387"/>
      <c r="AM129" s="434">
        <f t="shared" si="125"/>
        <v>0</v>
      </c>
      <c r="AN129" s="454"/>
      <c r="AO129" s="390"/>
      <c r="AP129" s="390"/>
      <c r="AQ129" s="390"/>
      <c r="AR129" s="346" t="e">
        <f t="shared" si="126"/>
        <v>#DIV/0!</v>
      </c>
      <c r="AS129" s="436"/>
      <c r="AT129" s="392">
        <v>11</v>
      </c>
      <c r="AU129" s="48"/>
      <c r="AV129" s="48"/>
      <c r="AW129" s="52"/>
      <c r="AX129" s="393" t="e">
        <f t="shared" si="127"/>
        <v>#DIV/0!</v>
      </c>
      <c r="AY129" s="77">
        <v>206</v>
      </c>
      <c r="AZ129" s="394">
        <f>BA129+BB129</f>
        <v>0</v>
      </c>
      <c r="BA129" s="395"/>
      <c r="BB129" s="396"/>
      <c r="BC129" s="397"/>
      <c r="BD129" s="398">
        <f t="shared" si="196"/>
        <v>11</v>
      </c>
      <c r="BE129" s="399">
        <f t="shared" si="197"/>
        <v>11</v>
      </c>
      <c r="BF129" s="400">
        <v>8</v>
      </c>
      <c r="BG129" s="400">
        <v>3</v>
      </c>
      <c r="BH129" s="401">
        <v>0</v>
      </c>
      <c r="BI129" s="402">
        <f>SUM(BJ129:BK129)</f>
        <v>14</v>
      </c>
      <c r="BJ129" s="403">
        <v>10</v>
      </c>
      <c r="BK129" s="404">
        <v>4</v>
      </c>
      <c r="BL129" s="405">
        <v>1</v>
      </c>
      <c r="BM129" s="406">
        <f t="shared" si="195"/>
        <v>24</v>
      </c>
      <c r="BN129" s="407">
        <f t="shared" si="129"/>
        <v>23</v>
      </c>
      <c r="BO129" s="12">
        <v>4</v>
      </c>
      <c r="BP129" s="12">
        <v>19</v>
      </c>
      <c r="BQ129" s="12">
        <v>1</v>
      </c>
      <c r="BR129" s="408">
        <f t="shared" si="190"/>
        <v>1.7142857142857142</v>
      </c>
      <c r="BS129" s="409">
        <f t="shared" si="198"/>
        <v>0</v>
      </c>
      <c r="BT129" s="410"/>
      <c r="BU129" s="411"/>
      <c r="BV129" s="438"/>
      <c r="BW129" s="412">
        <f t="shared" si="199"/>
        <v>0</v>
      </c>
    </row>
    <row r="130" spans="1:76" ht="16.899999999999999" customHeight="1" x14ac:dyDescent="0.3">
      <c r="A130" s="8" t="s">
        <v>181</v>
      </c>
      <c r="B130" s="9" t="s">
        <v>42</v>
      </c>
      <c r="C130" s="9" t="s">
        <v>101</v>
      </c>
      <c r="D130" s="25" t="s">
        <v>193</v>
      </c>
      <c r="E130" s="10" t="s">
        <v>103</v>
      </c>
      <c r="F130" s="59">
        <v>25</v>
      </c>
      <c r="G130" s="369">
        <f>L130/F130</f>
        <v>0</v>
      </c>
      <c r="H130" s="553">
        <v>25</v>
      </c>
      <c r="I130" s="371">
        <v>17</v>
      </c>
      <c r="J130" s="371">
        <v>8</v>
      </c>
      <c r="K130" s="554">
        <v>5</v>
      </c>
      <c r="L130" s="373">
        <f>N130+O130+P130</f>
        <v>0</v>
      </c>
      <c r="M130" s="373">
        <f>N130+O130</f>
        <v>0</v>
      </c>
      <c r="N130" s="374">
        <f t="shared" si="233"/>
        <v>0</v>
      </c>
      <c r="O130" s="374">
        <f t="shared" si="233"/>
        <v>0</v>
      </c>
      <c r="P130" s="375">
        <f t="shared" si="233"/>
        <v>0</v>
      </c>
      <c r="Q130" s="376">
        <f>R130+U130</f>
        <v>0</v>
      </c>
      <c r="R130" s="374">
        <f>S130+T130</f>
        <v>0</v>
      </c>
      <c r="S130" s="377"/>
      <c r="T130" s="377"/>
      <c r="U130" s="377"/>
      <c r="V130" s="378">
        <f t="shared" si="229"/>
        <v>0</v>
      </c>
      <c r="W130" s="379">
        <v>68.3</v>
      </c>
      <c r="X130" s="380"/>
      <c r="Y130" s="376">
        <f>Z130+AC130</f>
        <v>0</v>
      </c>
      <c r="Z130" s="374">
        <f>AA130+AB130</f>
        <v>0</v>
      </c>
      <c r="AA130" s="381"/>
      <c r="AB130" s="381"/>
      <c r="AC130" s="382"/>
      <c r="AD130" s="376">
        <f>AE130+AH130</f>
        <v>0</v>
      </c>
      <c r="AE130" s="374">
        <f>AF130+AG130</f>
        <v>0</v>
      </c>
      <c r="AF130" s="381"/>
      <c r="AG130" s="381"/>
      <c r="AH130" s="383"/>
      <c r="AI130" s="384">
        <f>AJ130+AK130</f>
        <v>0</v>
      </c>
      <c r="AJ130" s="385"/>
      <c r="AK130" s="386"/>
      <c r="AL130" s="387"/>
      <c r="AM130" s="434">
        <f t="shared" si="125"/>
        <v>0</v>
      </c>
      <c r="AN130" s="454"/>
      <c r="AO130" s="390"/>
      <c r="AP130" s="390"/>
      <c r="AQ130" s="390"/>
      <c r="AR130" s="346" t="e">
        <f t="shared" si="126"/>
        <v>#DIV/0!</v>
      </c>
      <c r="AS130" s="436"/>
      <c r="AT130" s="392">
        <v>9</v>
      </c>
      <c r="AU130" s="48"/>
      <c r="AV130" s="48"/>
      <c r="AW130" s="52"/>
      <c r="AX130" s="393" t="e">
        <f t="shared" si="127"/>
        <v>#DIV/0!</v>
      </c>
      <c r="AY130" s="79">
        <v>430</v>
      </c>
      <c r="AZ130" s="394">
        <f>BA130+BB130</f>
        <v>0</v>
      </c>
      <c r="BA130" s="395"/>
      <c r="BB130" s="396"/>
      <c r="BC130" s="397"/>
      <c r="BD130" s="398">
        <f t="shared" si="196"/>
        <v>13</v>
      </c>
      <c r="BE130" s="399">
        <f t="shared" si="197"/>
        <v>11</v>
      </c>
      <c r="BF130" s="400">
        <v>7</v>
      </c>
      <c r="BG130" s="400">
        <v>4</v>
      </c>
      <c r="BH130" s="401">
        <v>2</v>
      </c>
      <c r="BI130" s="402">
        <f>SUM(BJ130:BK130)</f>
        <v>14</v>
      </c>
      <c r="BJ130" s="403">
        <v>9</v>
      </c>
      <c r="BK130" s="404">
        <v>5</v>
      </c>
      <c r="BL130" s="405">
        <v>3</v>
      </c>
      <c r="BM130" s="406">
        <f t="shared" si="195"/>
        <v>6</v>
      </c>
      <c r="BN130" s="407">
        <f t="shared" si="129"/>
        <v>5</v>
      </c>
      <c r="BO130" s="12">
        <v>4</v>
      </c>
      <c r="BP130" s="12">
        <v>1</v>
      </c>
      <c r="BQ130" s="12">
        <v>1</v>
      </c>
      <c r="BR130" s="408">
        <f t="shared" si="190"/>
        <v>0.42857142857142855</v>
      </c>
      <c r="BS130" s="409">
        <f t="shared" si="198"/>
        <v>0</v>
      </c>
      <c r="BT130" s="410"/>
      <c r="BU130" s="411"/>
      <c r="BV130" s="438"/>
      <c r="BW130" s="412">
        <f t="shared" si="199"/>
        <v>0</v>
      </c>
    </row>
    <row r="131" spans="1:76" ht="20.45" customHeight="1" x14ac:dyDescent="0.3">
      <c r="A131" s="742" t="s">
        <v>194</v>
      </c>
      <c r="B131" s="743"/>
      <c r="C131" s="743"/>
      <c r="D131" s="743"/>
      <c r="E131" s="744"/>
      <c r="F131" s="57">
        <f>F132+F141+F148+F150</f>
        <v>575</v>
      </c>
      <c r="G131" s="288">
        <f>L131/F131</f>
        <v>0</v>
      </c>
      <c r="H131" s="503">
        <f t="shared" ref="H131:U131" si="234">H132+H141+H148+H150</f>
        <v>575</v>
      </c>
      <c r="I131" s="504">
        <f t="shared" si="234"/>
        <v>388</v>
      </c>
      <c r="J131" s="504">
        <f t="shared" si="234"/>
        <v>187</v>
      </c>
      <c r="K131" s="505">
        <f t="shared" si="234"/>
        <v>115</v>
      </c>
      <c r="L131" s="506">
        <f t="shared" si="234"/>
        <v>0</v>
      </c>
      <c r="M131" s="506">
        <f t="shared" si="234"/>
        <v>0</v>
      </c>
      <c r="N131" s="506">
        <f t="shared" si="234"/>
        <v>0</v>
      </c>
      <c r="O131" s="506">
        <f t="shared" si="234"/>
        <v>0</v>
      </c>
      <c r="P131" s="535">
        <f t="shared" si="234"/>
        <v>0</v>
      </c>
      <c r="Q131" s="468">
        <f t="shared" si="234"/>
        <v>0</v>
      </c>
      <c r="R131" s="469">
        <f t="shared" si="234"/>
        <v>0</v>
      </c>
      <c r="S131" s="469">
        <f t="shared" si="234"/>
        <v>0</v>
      </c>
      <c r="T131" s="469">
        <f t="shared" si="234"/>
        <v>0</v>
      </c>
      <c r="U131" s="469">
        <f t="shared" si="234"/>
        <v>0</v>
      </c>
      <c r="V131" s="466">
        <f t="shared" si="229"/>
        <v>0</v>
      </c>
      <c r="W131" s="464">
        <f t="shared" ref="W131:AI131" si="235">W132+W141+W148+W150</f>
        <v>1429.8999999999999</v>
      </c>
      <c r="X131" s="506">
        <f t="shared" si="235"/>
        <v>0</v>
      </c>
      <c r="Y131" s="468">
        <f t="shared" si="235"/>
        <v>0</v>
      </c>
      <c r="Z131" s="469">
        <f t="shared" si="235"/>
        <v>0</v>
      </c>
      <c r="AA131" s="469">
        <f t="shared" si="235"/>
        <v>0</v>
      </c>
      <c r="AB131" s="469">
        <f t="shared" si="235"/>
        <v>0</v>
      </c>
      <c r="AC131" s="469">
        <f t="shared" si="235"/>
        <v>0</v>
      </c>
      <c r="AD131" s="469">
        <f t="shared" si="235"/>
        <v>0</v>
      </c>
      <c r="AE131" s="469">
        <f t="shared" si="235"/>
        <v>0</v>
      </c>
      <c r="AF131" s="469">
        <f t="shared" si="235"/>
        <v>0</v>
      </c>
      <c r="AG131" s="469">
        <f t="shared" si="235"/>
        <v>0</v>
      </c>
      <c r="AH131" s="470">
        <f t="shared" si="235"/>
        <v>0</v>
      </c>
      <c r="AI131" s="572">
        <f t="shared" si="235"/>
        <v>0</v>
      </c>
      <c r="AJ131" s="573"/>
      <c r="AK131" s="574"/>
      <c r="AL131" s="575"/>
      <c r="AM131" s="474">
        <f t="shared" si="125"/>
        <v>0</v>
      </c>
      <c r="AN131" s="475"/>
      <c r="AO131" s="538"/>
      <c r="AP131" s="538"/>
      <c r="AQ131" s="538"/>
      <c r="AR131" s="308" t="e">
        <f t="shared" si="126"/>
        <v>#DIV/0!</v>
      </c>
      <c r="AS131" s="309">
        <v>1.1279999999999999</v>
      </c>
      <c r="AT131" s="539">
        <f>AT132+AT141+AT148+AT150</f>
        <v>293</v>
      </c>
      <c r="AU131" s="540"/>
      <c r="AV131" s="541"/>
      <c r="AW131" s="542"/>
      <c r="AX131" s="481" t="e">
        <f t="shared" si="127"/>
        <v>#DIV/0!</v>
      </c>
      <c r="AY131" s="482">
        <v>0.71899999999999997</v>
      </c>
      <c r="AZ131" s="543">
        <f>AZ132+AZ141+AZ148+AZ150</f>
        <v>0</v>
      </c>
      <c r="BA131" s="541"/>
      <c r="BB131" s="541"/>
      <c r="BC131" s="544"/>
      <c r="BD131" s="540">
        <f t="shared" ref="BD131:BM131" si="236">BD132+BD141+BD148+BD150</f>
        <v>170</v>
      </c>
      <c r="BE131" s="541">
        <f t="shared" si="236"/>
        <v>131</v>
      </c>
      <c r="BF131" s="541">
        <f t="shared" si="236"/>
        <v>83</v>
      </c>
      <c r="BG131" s="541">
        <f t="shared" si="236"/>
        <v>48</v>
      </c>
      <c r="BH131" s="542">
        <f t="shared" si="236"/>
        <v>39</v>
      </c>
      <c r="BI131" s="545">
        <f t="shared" si="236"/>
        <v>220</v>
      </c>
      <c r="BJ131" s="541">
        <f t="shared" si="236"/>
        <v>135</v>
      </c>
      <c r="BK131" s="541">
        <f t="shared" si="236"/>
        <v>85</v>
      </c>
      <c r="BL131" s="546">
        <f t="shared" si="236"/>
        <v>71</v>
      </c>
      <c r="BM131" s="547">
        <f t="shared" si="236"/>
        <v>281</v>
      </c>
      <c r="BN131" s="487">
        <f t="shared" si="129"/>
        <v>248</v>
      </c>
      <c r="BO131" s="541">
        <f>BO132+BO141+BO148+BO150</f>
        <v>179</v>
      </c>
      <c r="BP131" s="541">
        <f>BP132+BP141+BP148+BP150</f>
        <v>69</v>
      </c>
      <c r="BQ131" s="541">
        <f>BQ132+BQ141+BQ148+BQ150</f>
        <v>33</v>
      </c>
      <c r="BR131" s="494">
        <f t="shared" si="190"/>
        <v>1.2772727272727273</v>
      </c>
      <c r="BS131" s="540">
        <f>BS132+BS141+BS148+BS150</f>
        <v>0</v>
      </c>
      <c r="BT131" s="541">
        <f>BT132+BT141+BT148+BT150</f>
        <v>0</v>
      </c>
      <c r="BU131" s="541">
        <f>BU132+BU141+BU148+BU150</f>
        <v>0</v>
      </c>
      <c r="BV131" s="541">
        <f>BV132+BV141+BV148+BV150</f>
        <v>0</v>
      </c>
      <c r="BW131" s="576">
        <f>BW132+BW141+BW148+BW150</f>
        <v>0</v>
      </c>
    </row>
    <row r="132" spans="1:76" ht="16.899999999999999" customHeight="1" x14ac:dyDescent="0.3">
      <c r="A132" s="4" t="s">
        <v>195</v>
      </c>
      <c r="B132" s="5" t="s">
        <v>44</v>
      </c>
      <c r="C132" s="5"/>
      <c r="D132" s="13" t="s">
        <v>21</v>
      </c>
      <c r="E132" s="6"/>
      <c r="F132" s="58">
        <f t="shared" ref="F132:U132" si="237">SUM(F133:F140)</f>
        <v>250</v>
      </c>
      <c r="G132" s="7">
        <f t="shared" si="237"/>
        <v>0</v>
      </c>
      <c r="H132" s="7">
        <f t="shared" si="237"/>
        <v>250</v>
      </c>
      <c r="I132" s="67">
        <f t="shared" si="237"/>
        <v>168</v>
      </c>
      <c r="J132" s="67">
        <f t="shared" si="237"/>
        <v>82</v>
      </c>
      <c r="K132" s="70">
        <f t="shared" si="237"/>
        <v>50</v>
      </c>
      <c r="L132" s="413">
        <f t="shared" si="237"/>
        <v>0</v>
      </c>
      <c r="M132" s="413">
        <f t="shared" si="237"/>
        <v>0</v>
      </c>
      <c r="N132" s="413">
        <f t="shared" si="237"/>
        <v>0</v>
      </c>
      <c r="O132" s="413">
        <f t="shared" si="237"/>
        <v>0</v>
      </c>
      <c r="P132" s="414">
        <f t="shared" si="237"/>
        <v>0</v>
      </c>
      <c r="Q132" s="415">
        <f t="shared" si="237"/>
        <v>0</v>
      </c>
      <c r="R132" s="416">
        <f t="shared" si="237"/>
        <v>0</v>
      </c>
      <c r="S132" s="416">
        <f t="shared" si="237"/>
        <v>0</v>
      </c>
      <c r="T132" s="416">
        <f t="shared" si="237"/>
        <v>0</v>
      </c>
      <c r="U132" s="416">
        <f t="shared" si="237"/>
        <v>0</v>
      </c>
      <c r="V132" s="334">
        <f t="shared" si="229"/>
        <v>0</v>
      </c>
      <c r="W132" s="335">
        <f t="shared" ref="W132:AI132" si="238">SUM(W133:W140)</f>
        <v>577.29999999999995</v>
      </c>
      <c r="X132" s="413">
        <f t="shared" si="238"/>
        <v>0</v>
      </c>
      <c r="Y132" s="415">
        <f t="shared" si="238"/>
        <v>0</v>
      </c>
      <c r="Z132" s="416">
        <f t="shared" si="238"/>
        <v>0</v>
      </c>
      <c r="AA132" s="416">
        <f t="shared" si="238"/>
        <v>0</v>
      </c>
      <c r="AB132" s="416">
        <f t="shared" si="238"/>
        <v>0</v>
      </c>
      <c r="AC132" s="417">
        <f t="shared" si="238"/>
        <v>0</v>
      </c>
      <c r="AD132" s="415">
        <f t="shared" si="238"/>
        <v>0</v>
      </c>
      <c r="AE132" s="416">
        <f t="shared" si="238"/>
        <v>0</v>
      </c>
      <c r="AF132" s="416">
        <f t="shared" si="238"/>
        <v>0</v>
      </c>
      <c r="AG132" s="416">
        <f t="shared" si="238"/>
        <v>0</v>
      </c>
      <c r="AH132" s="418">
        <f t="shared" si="238"/>
        <v>0</v>
      </c>
      <c r="AI132" s="339">
        <f t="shared" si="238"/>
        <v>0</v>
      </c>
      <c r="AJ132" s="340"/>
      <c r="AK132" s="341"/>
      <c r="AL132" s="342"/>
      <c r="AM132" s="420">
        <f t="shared" si="125"/>
        <v>0</v>
      </c>
      <c r="AN132" s="344"/>
      <c r="AO132" s="440"/>
      <c r="AP132" s="440"/>
      <c r="AQ132" s="440"/>
      <c r="AR132" s="346" t="e">
        <f t="shared" si="126"/>
        <v>#DIV/0!</v>
      </c>
      <c r="AS132" s="424">
        <v>1.0429999999999999</v>
      </c>
      <c r="AT132" s="561">
        <f>SUM(AT133:AT140)</f>
        <v>138</v>
      </c>
      <c r="AU132" s="361"/>
      <c r="AV132" s="361"/>
      <c r="AW132" s="444"/>
      <c r="AX132" s="352" t="e">
        <f t="shared" si="127"/>
        <v>#DIV/0!</v>
      </c>
      <c r="AY132" s="427">
        <v>0.67200000000000004</v>
      </c>
      <c r="AZ132" s="354">
        <f>SUM(AZ133:AZ140)</f>
        <v>0</v>
      </c>
      <c r="BA132" s="340"/>
      <c r="BB132" s="340"/>
      <c r="BC132" s="355"/>
      <c r="BD132" s="356">
        <f t="shared" ref="BD132:BD147" si="239">BE132+BH132</f>
        <v>68</v>
      </c>
      <c r="BE132" s="445">
        <f t="shared" ref="BE132:BE147" si="240">BF132+BG132</f>
        <v>58</v>
      </c>
      <c r="BF132" s="446">
        <f t="shared" ref="BF132:BL132" si="241">SUM(BF133:BF140)</f>
        <v>34</v>
      </c>
      <c r="BG132" s="446">
        <f t="shared" si="241"/>
        <v>24</v>
      </c>
      <c r="BH132" s="447">
        <f t="shared" si="241"/>
        <v>10</v>
      </c>
      <c r="BI132" s="359">
        <f t="shared" si="241"/>
        <v>94</v>
      </c>
      <c r="BJ132" s="360">
        <f t="shared" si="241"/>
        <v>56</v>
      </c>
      <c r="BK132" s="361">
        <f t="shared" si="241"/>
        <v>38</v>
      </c>
      <c r="BL132" s="362">
        <f t="shared" si="241"/>
        <v>23</v>
      </c>
      <c r="BM132" s="363">
        <f t="shared" ref="BM132:BM147" si="242">BN132+BQ132</f>
        <v>134</v>
      </c>
      <c r="BN132" s="356">
        <f t="shared" si="129"/>
        <v>114</v>
      </c>
      <c r="BO132" s="446">
        <f>SUM(BO133:BO140)</f>
        <v>79</v>
      </c>
      <c r="BP132" s="446">
        <f>SUM(BP133:BP140)</f>
        <v>35</v>
      </c>
      <c r="BQ132" s="446">
        <f>SUM(BQ133:BQ140)</f>
        <v>20</v>
      </c>
      <c r="BR132" s="432">
        <f t="shared" si="190"/>
        <v>1.425531914893617</v>
      </c>
      <c r="BS132" s="366">
        <f t="shared" ref="BS132:BS147" si="243">BT132+BU132+BV132</f>
        <v>0</v>
      </c>
      <c r="BT132" s="367">
        <f>SUM(BT133:BT140)</f>
        <v>0</v>
      </c>
      <c r="BU132" s="367">
        <f>SUM(BU133:BU140)</f>
        <v>0</v>
      </c>
      <c r="BV132" s="367">
        <f>SUM(BV133:BV140)</f>
        <v>0</v>
      </c>
      <c r="BW132" s="368">
        <f t="shared" ref="BW132:BW147" si="244">BS132/BI132</f>
        <v>0</v>
      </c>
      <c r="BX132" t="s">
        <v>44</v>
      </c>
    </row>
    <row r="133" spans="1:76" ht="16.899999999999999" customHeight="1" x14ac:dyDescent="0.3">
      <c r="A133" s="8" t="s">
        <v>195</v>
      </c>
      <c r="B133" s="9" t="s">
        <v>44</v>
      </c>
      <c r="C133" s="14" t="s">
        <v>132</v>
      </c>
      <c r="D133" s="40" t="s">
        <v>196</v>
      </c>
      <c r="E133" s="15" t="s">
        <v>103</v>
      </c>
      <c r="F133" s="59">
        <v>25</v>
      </c>
      <c r="G133" s="369">
        <f t="shared" ref="G133:G140" si="245">L133/F133</f>
        <v>0</v>
      </c>
      <c r="H133" s="553">
        <v>25</v>
      </c>
      <c r="I133" s="371">
        <v>17</v>
      </c>
      <c r="J133" s="371">
        <v>8</v>
      </c>
      <c r="K133" s="554">
        <v>5</v>
      </c>
      <c r="L133" s="373">
        <f t="shared" ref="L133:L140" si="246">N133+O133+P133</f>
        <v>0</v>
      </c>
      <c r="M133" s="373">
        <f t="shared" ref="M133:M140" si="247">N133+O133</f>
        <v>0</v>
      </c>
      <c r="N133" s="374">
        <f t="shared" ref="N133:P140" si="248">AA133+AF133</f>
        <v>0</v>
      </c>
      <c r="O133" s="374">
        <f t="shared" si="248"/>
        <v>0</v>
      </c>
      <c r="P133" s="375">
        <f t="shared" si="248"/>
        <v>0</v>
      </c>
      <c r="Q133" s="376">
        <f t="shared" ref="Q133:Q140" si="249">R133+U133</f>
        <v>0</v>
      </c>
      <c r="R133" s="374">
        <f t="shared" ref="R133:R140" si="250">S133+T133</f>
        <v>0</v>
      </c>
      <c r="S133" s="377"/>
      <c r="T133" s="377"/>
      <c r="U133" s="377"/>
      <c r="V133" s="378">
        <f t="shared" si="229"/>
        <v>0</v>
      </c>
      <c r="W133" s="379">
        <v>69</v>
      </c>
      <c r="X133" s="380"/>
      <c r="Y133" s="376">
        <f t="shared" ref="Y133:Y140" si="251">Z133+AC133</f>
        <v>0</v>
      </c>
      <c r="Z133" s="374">
        <f t="shared" ref="Z133:Z140" si="252">AA133+AB133</f>
        <v>0</v>
      </c>
      <c r="AA133" s="381"/>
      <c r="AB133" s="381"/>
      <c r="AC133" s="382"/>
      <c r="AD133" s="376">
        <f t="shared" ref="AD133:AD140" si="253">AE133+AH133</f>
        <v>0</v>
      </c>
      <c r="AE133" s="374">
        <f t="shared" ref="AE133:AE140" si="254">AF133+AG133</f>
        <v>0</v>
      </c>
      <c r="AF133" s="381"/>
      <c r="AG133" s="381"/>
      <c r="AH133" s="383"/>
      <c r="AI133" s="384">
        <f t="shared" ref="AI133:AI140" si="255">AJ133+AK133</f>
        <v>0</v>
      </c>
      <c r="AJ133" s="385"/>
      <c r="AK133" s="386"/>
      <c r="AL133" s="387"/>
      <c r="AM133" s="434">
        <f t="shared" si="125"/>
        <v>0</v>
      </c>
      <c r="AN133" s="389"/>
      <c r="AO133" s="390"/>
      <c r="AP133" s="390"/>
      <c r="AQ133" s="390"/>
      <c r="AR133" s="346" t="e">
        <f t="shared" si="126"/>
        <v>#DIV/0!</v>
      </c>
      <c r="AS133" s="436"/>
      <c r="AT133" s="566">
        <v>12</v>
      </c>
      <c r="AU133" s="48"/>
      <c r="AV133" s="48"/>
      <c r="AW133" s="52"/>
      <c r="AX133" s="393" t="e">
        <f t="shared" si="127"/>
        <v>#DIV/0!</v>
      </c>
      <c r="AY133" s="77">
        <v>101</v>
      </c>
      <c r="AZ133" s="394">
        <f t="shared" ref="AZ133:AZ140" si="256">BA133+BB133</f>
        <v>0</v>
      </c>
      <c r="BA133" s="395"/>
      <c r="BB133" s="396"/>
      <c r="BC133" s="397"/>
      <c r="BD133" s="398">
        <f t="shared" si="239"/>
        <v>5</v>
      </c>
      <c r="BE133" s="399">
        <f t="shared" si="240"/>
        <v>3</v>
      </c>
      <c r="BF133" s="577">
        <v>2</v>
      </c>
      <c r="BG133" s="577">
        <v>1</v>
      </c>
      <c r="BH133" s="578">
        <v>2</v>
      </c>
      <c r="BI133" s="402">
        <f t="shared" ref="BI133:BI140" si="257">SUM(BJ133:BK133)</f>
        <v>8</v>
      </c>
      <c r="BJ133" s="403">
        <v>5</v>
      </c>
      <c r="BK133" s="403">
        <v>3</v>
      </c>
      <c r="BL133" s="534">
        <v>4</v>
      </c>
      <c r="BM133" s="406">
        <f t="shared" si="242"/>
        <v>8</v>
      </c>
      <c r="BN133" s="407">
        <f t="shared" si="129"/>
        <v>7</v>
      </c>
      <c r="BO133" s="12">
        <v>7</v>
      </c>
      <c r="BP133" s="12">
        <v>0</v>
      </c>
      <c r="BQ133" s="12">
        <v>1</v>
      </c>
      <c r="BR133" s="408">
        <f t="shared" si="190"/>
        <v>1</v>
      </c>
      <c r="BS133" s="409">
        <f t="shared" si="243"/>
        <v>0</v>
      </c>
      <c r="BT133" s="410"/>
      <c r="BU133" s="411"/>
      <c r="BV133" s="438"/>
      <c r="BW133" s="412">
        <f t="shared" si="244"/>
        <v>0</v>
      </c>
    </row>
    <row r="134" spans="1:76" ht="16.899999999999999" customHeight="1" x14ac:dyDescent="0.3">
      <c r="A134" s="8" t="s">
        <v>195</v>
      </c>
      <c r="B134" s="9" t="s">
        <v>44</v>
      </c>
      <c r="C134" s="26" t="s">
        <v>101</v>
      </c>
      <c r="D134" s="40" t="s">
        <v>197</v>
      </c>
      <c r="E134" s="15" t="s">
        <v>103</v>
      </c>
      <c r="F134" s="59">
        <v>50</v>
      </c>
      <c r="G134" s="369">
        <f t="shared" si="245"/>
        <v>0</v>
      </c>
      <c r="H134" s="553">
        <v>50</v>
      </c>
      <c r="I134" s="371">
        <v>34</v>
      </c>
      <c r="J134" s="371">
        <v>16</v>
      </c>
      <c r="K134" s="554">
        <v>10</v>
      </c>
      <c r="L134" s="373">
        <f t="shared" si="246"/>
        <v>0</v>
      </c>
      <c r="M134" s="373">
        <f t="shared" si="247"/>
        <v>0</v>
      </c>
      <c r="N134" s="374">
        <f t="shared" si="248"/>
        <v>0</v>
      </c>
      <c r="O134" s="374">
        <f t="shared" si="248"/>
        <v>0</v>
      </c>
      <c r="P134" s="375">
        <f t="shared" si="248"/>
        <v>0</v>
      </c>
      <c r="Q134" s="376">
        <f t="shared" si="249"/>
        <v>0</v>
      </c>
      <c r="R134" s="374">
        <f t="shared" si="250"/>
        <v>0</v>
      </c>
      <c r="S134" s="377"/>
      <c r="T134" s="377"/>
      <c r="U134" s="377"/>
      <c r="V134" s="378">
        <f t="shared" si="229"/>
        <v>0</v>
      </c>
      <c r="W134" s="379">
        <v>65.8</v>
      </c>
      <c r="X134" s="380"/>
      <c r="Y134" s="376">
        <f t="shared" si="251"/>
        <v>0</v>
      </c>
      <c r="Z134" s="374">
        <f t="shared" si="252"/>
        <v>0</v>
      </c>
      <c r="AA134" s="381"/>
      <c r="AB134" s="381"/>
      <c r="AC134" s="382"/>
      <c r="AD134" s="376">
        <f t="shared" si="253"/>
        <v>0</v>
      </c>
      <c r="AE134" s="374">
        <f t="shared" si="254"/>
        <v>0</v>
      </c>
      <c r="AF134" s="381"/>
      <c r="AG134" s="381"/>
      <c r="AH134" s="383"/>
      <c r="AI134" s="384">
        <f t="shared" si="255"/>
        <v>0</v>
      </c>
      <c r="AJ134" s="385"/>
      <c r="AK134" s="386"/>
      <c r="AL134" s="387"/>
      <c r="AM134" s="434">
        <f t="shared" si="125"/>
        <v>0</v>
      </c>
      <c r="AN134" s="389"/>
      <c r="AO134" s="390"/>
      <c r="AP134" s="390"/>
      <c r="AQ134" s="390"/>
      <c r="AR134" s="346" t="e">
        <f t="shared" si="126"/>
        <v>#DIV/0!</v>
      </c>
      <c r="AS134" s="436"/>
      <c r="AT134" s="566">
        <v>36</v>
      </c>
      <c r="AU134" s="48"/>
      <c r="AV134" s="48"/>
      <c r="AW134" s="52"/>
      <c r="AX134" s="393" t="e">
        <f t="shared" si="127"/>
        <v>#DIV/0!</v>
      </c>
      <c r="AY134" s="77">
        <v>78</v>
      </c>
      <c r="AZ134" s="394">
        <f t="shared" si="256"/>
        <v>0</v>
      </c>
      <c r="BA134" s="395"/>
      <c r="BB134" s="396"/>
      <c r="BC134" s="397"/>
      <c r="BD134" s="398">
        <f t="shared" si="239"/>
        <v>13</v>
      </c>
      <c r="BE134" s="399">
        <f t="shared" si="240"/>
        <v>13</v>
      </c>
      <c r="BF134" s="577">
        <v>6</v>
      </c>
      <c r="BG134" s="577">
        <v>7</v>
      </c>
      <c r="BH134" s="578">
        <v>0</v>
      </c>
      <c r="BI134" s="402">
        <f t="shared" si="257"/>
        <v>18</v>
      </c>
      <c r="BJ134" s="403">
        <v>9</v>
      </c>
      <c r="BK134" s="403">
        <v>9</v>
      </c>
      <c r="BL134" s="534">
        <v>1</v>
      </c>
      <c r="BM134" s="406">
        <f t="shared" si="242"/>
        <v>41</v>
      </c>
      <c r="BN134" s="407">
        <f t="shared" si="129"/>
        <v>36</v>
      </c>
      <c r="BO134" s="12">
        <v>25</v>
      </c>
      <c r="BP134" s="12">
        <v>11</v>
      </c>
      <c r="BQ134" s="12">
        <v>5</v>
      </c>
      <c r="BR134" s="408">
        <f t="shared" si="190"/>
        <v>2.2777777777777777</v>
      </c>
      <c r="BS134" s="409">
        <f t="shared" si="243"/>
        <v>0</v>
      </c>
      <c r="BT134" s="410"/>
      <c r="BU134" s="411"/>
      <c r="BV134" s="438"/>
      <c r="BW134" s="412">
        <f t="shared" si="244"/>
        <v>0</v>
      </c>
    </row>
    <row r="135" spans="1:76" ht="16.899999999999999" customHeight="1" x14ac:dyDescent="0.3">
      <c r="A135" s="8" t="s">
        <v>195</v>
      </c>
      <c r="B135" s="9" t="s">
        <v>44</v>
      </c>
      <c r="C135" s="14" t="s">
        <v>198</v>
      </c>
      <c r="D135" s="40" t="s">
        <v>199</v>
      </c>
      <c r="E135" s="15" t="s">
        <v>103</v>
      </c>
      <c r="F135" s="59">
        <v>25</v>
      </c>
      <c r="G135" s="369">
        <f t="shared" si="245"/>
        <v>0</v>
      </c>
      <c r="H135" s="370">
        <v>25</v>
      </c>
      <c r="I135" s="371">
        <v>17</v>
      </c>
      <c r="J135" s="371">
        <v>8</v>
      </c>
      <c r="K135" s="372">
        <v>5</v>
      </c>
      <c r="L135" s="373">
        <f t="shared" si="246"/>
        <v>0</v>
      </c>
      <c r="M135" s="373">
        <f t="shared" si="247"/>
        <v>0</v>
      </c>
      <c r="N135" s="374">
        <f t="shared" si="248"/>
        <v>0</v>
      </c>
      <c r="O135" s="374">
        <f t="shared" si="248"/>
        <v>0</v>
      </c>
      <c r="P135" s="375">
        <f t="shared" si="248"/>
        <v>0</v>
      </c>
      <c r="Q135" s="376">
        <f t="shared" si="249"/>
        <v>0</v>
      </c>
      <c r="R135" s="374">
        <f t="shared" si="250"/>
        <v>0</v>
      </c>
      <c r="S135" s="377"/>
      <c r="T135" s="377"/>
      <c r="U135" s="377"/>
      <c r="V135" s="378">
        <f t="shared" si="229"/>
        <v>0</v>
      </c>
      <c r="W135" s="379">
        <v>90</v>
      </c>
      <c r="X135" s="380"/>
      <c r="Y135" s="376">
        <f t="shared" si="251"/>
        <v>0</v>
      </c>
      <c r="Z135" s="374">
        <f t="shared" si="252"/>
        <v>0</v>
      </c>
      <c r="AA135" s="381"/>
      <c r="AB135" s="381"/>
      <c r="AC135" s="382"/>
      <c r="AD135" s="376">
        <f t="shared" si="253"/>
        <v>0</v>
      </c>
      <c r="AE135" s="374">
        <f t="shared" si="254"/>
        <v>0</v>
      </c>
      <c r="AF135" s="381"/>
      <c r="AG135" s="381"/>
      <c r="AH135" s="383"/>
      <c r="AI135" s="384">
        <f t="shared" si="255"/>
        <v>0</v>
      </c>
      <c r="AJ135" s="385"/>
      <c r="AK135" s="386"/>
      <c r="AL135" s="387"/>
      <c r="AM135" s="434">
        <f t="shared" ref="AM135:AM198" si="258">AN135+AQ135</f>
        <v>0</v>
      </c>
      <c r="AN135" s="389"/>
      <c r="AO135" s="390"/>
      <c r="AP135" s="390"/>
      <c r="AQ135" s="390"/>
      <c r="AR135" s="346" t="e">
        <f t="shared" ref="AR135:AR198" si="259">AM135/AI135</f>
        <v>#DIV/0!</v>
      </c>
      <c r="AS135" s="436"/>
      <c r="AT135" s="566">
        <v>6</v>
      </c>
      <c r="AU135" s="48"/>
      <c r="AV135" s="48"/>
      <c r="AW135" s="52"/>
      <c r="AX135" s="393" t="e">
        <f t="shared" ref="AX135:AX198" si="260">AT135/AI135</f>
        <v>#DIV/0!</v>
      </c>
      <c r="AY135" s="77">
        <v>222</v>
      </c>
      <c r="AZ135" s="394">
        <f t="shared" si="256"/>
        <v>0</v>
      </c>
      <c r="BA135" s="395"/>
      <c r="BB135" s="396"/>
      <c r="BC135" s="397"/>
      <c r="BD135" s="398">
        <f t="shared" si="239"/>
        <v>11</v>
      </c>
      <c r="BE135" s="399">
        <f t="shared" si="240"/>
        <v>9</v>
      </c>
      <c r="BF135" s="577">
        <v>7</v>
      </c>
      <c r="BG135" s="577">
        <v>2</v>
      </c>
      <c r="BH135" s="578">
        <v>2</v>
      </c>
      <c r="BI135" s="402">
        <f t="shared" si="257"/>
        <v>14</v>
      </c>
      <c r="BJ135" s="403">
        <v>10</v>
      </c>
      <c r="BK135" s="403">
        <v>4</v>
      </c>
      <c r="BL135" s="534">
        <v>4</v>
      </c>
      <c r="BM135" s="406">
        <f t="shared" si="242"/>
        <v>2</v>
      </c>
      <c r="BN135" s="407">
        <f t="shared" ref="BN135:BN198" si="261">BO135+BP135</f>
        <v>2</v>
      </c>
      <c r="BO135" s="12">
        <v>2</v>
      </c>
      <c r="BP135" s="12">
        <v>0</v>
      </c>
      <c r="BQ135" s="12">
        <v>0</v>
      </c>
      <c r="BR135" s="408">
        <f t="shared" si="190"/>
        <v>0.14285714285714285</v>
      </c>
      <c r="BS135" s="409">
        <f t="shared" si="243"/>
        <v>0</v>
      </c>
      <c r="BT135" s="410"/>
      <c r="BU135" s="439"/>
      <c r="BV135" s="458"/>
      <c r="BW135" s="412">
        <f t="shared" si="244"/>
        <v>0</v>
      </c>
    </row>
    <row r="136" spans="1:76" ht="16.899999999999999" customHeight="1" x14ac:dyDescent="0.3">
      <c r="A136" s="8" t="s">
        <v>195</v>
      </c>
      <c r="B136" s="9" t="s">
        <v>44</v>
      </c>
      <c r="C136" s="14" t="s">
        <v>53</v>
      </c>
      <c r="D136" s="40" t="s">
        <v>200</v>
      </c>
      <c r="E136" s="15" t="s">
        <v>103</v>
      </c>
      <c r="F136" s="59">
        <v>25</v>
      </c>
      <c r="G136" s="369">
        <f t="shared" si="245"/>
        <v>0</v>
      </c>
      <c r="H136" s="370">
        <v>25</v>
      </c>
      <c r="I136" s="371">
        <v>17</v>
      </c>
      <c r="J136" s="371">
        <v>8</v>
      </c>
      <c r="K136" s="372">
        <v>5</v>
      </c>
      <c r="L136" s="373">
        <f t="shared" si="246"/>
        <v>0</v>
      </c>
      <c r="M136" s="373">
        <f t="shared" si="247"/>
        <v>0</v>
      </c>
      <c r="N136" s="374">
        <f t="shared" si="248"/>
        <v>0</v>
      </c>
      <c r="O136" s="374">
        <f t="shared" si="248"/>
        <v>0</v>
      </c>
      <c r="P136" s="375">
        <f t="shared" si="248"/>
        <v>0</v>
      </c>
      <c r="Q136" s="376">
        <f t="shared" si="249"/>
        <v>0</v>
      </c>
      <c r="R136" s="374">
        <f t="shared" si="250"/>
        <v>0</v>
      </c>
      <c r="S136" s="377"/>
      <c r="T136" s="377"/>
      <c r="U136" s="377"/>
      <c r="V136" s="378">
        <f t="shared" si="229"/>
        <v>0</v>
      </c>
      <c r="W136" s="379">
        <v>61.3</v>
      </c>
      <c r="X136" s="380"/>
      <c r="Y136" s="376">
        <f t="shared" si="251"/>
        <v>0</v>
      </c>
      <c r="Z136" s="374">
        <f t="shared" si="252"/>
        <v>0</v>
      </c>
      <c r="AA136" s="381"/>
      <c r="AB136" s="381"/>
      <c r="AC136" s="382"/>
      <c r="AD136" s="376">
        <f t="shared" si="253"/>
        <v>0</v>
      </c>
      <c r="AE136" s="374">
        <f t="shared" si="254"/>
        <v>0</v>
      </c>
      <c r="AF136" s="381"/>
      <c r="AG136" s="381"/>
      <c r="AH136" s="383"/>
      <c r="AI136" s="384">
        <f t="shared" si="255"/>
        <v>0</v>
      </c>
      <c r="AJ136" s="385"/>
      <c r="AK136" s="386"/>
      <c r="AL136" s="387"/>
      <c r="AM136" s="434">
        <f t="shared" si="258"/>
        <v>0</v>
      </c>
      <c r="AN136" s="389"/>
      <c r="AO136" s="390"/>
      <c r="AP136" s="390"/>
      <c r="AQ136" s="390"/>
      <c r="AR136" s="346" t="e">
        <f t="shared" si="259"/>
        <v>#DIV/0!</v>
      </c>
      <c r="AS136" s="436"/>
      <c r="AT136" s="566">
        <v>5</v>
      </c>
      <c r="AU136" s="48"/>
      <c r="AV136" s="48"/>
      <c r="AW136" s="52"/>
      <c r="AX136" s="393" t="e">
        <f t="shared" si="260"/>
        <v>#DIV/0!</v>
      </c>
      <c r="AY136" s="77">
        <v>161</v>
      </c>
      <c r="AZ136" s="394">
        <f t="shared" si="256"/>
        <v>0</v>
      </c>
      <c r="BA136" s="395"/>
      <c r="BB136" s="396"/>
      <c r="BC136" s="397"/>
      <c r="BD136" s="398">
        <f t="shared" si="239"/>
        <v>12</v>
      </c>
      <c r="BE136" s="399">
        <f t="shared" si="240"/>
        <v>10</v>
      </c>
      <c r="BF136" s="577">
        <v>6</v>
      </c>
      <c r="BG136" s="577">
        <v>4</v>
      </c>
      <c r="BH136" s="578">
        <v>2</v>
      </c>
      <c r="BI136" s="402">
        <f t="shared" si="257"/>
        <v>15</v>
      </c>
      <c r="BJ136" s="403">
        <v>9</v>
      </c>
      <c r="BK136" s="403">
        <v>6</v>
      </c>
      <c r="BL136" s="534">
        <v>4</v>
      </c>
      <c r="BM136" s="406">
        <f t="shared" si="242"/>
        <v>3</v>
      </c>
      <c r="BN136" s="407">
        <f t="shared" si="261"/>
        <v>3</v>
      </c>
      <c r="BO136" s="12">
        <v>2</v>
      </c>
      <c r="BP136" s="12">
        <v>1</v>
      </c>
      <c r="BQ136" s="12">
        <v>0</v>
      </c>
      <c r="BR136" s="408">
        <f t="shared" si="190"/>
        <v>0.2</v>
      </c>
      <c r="BS136" s="409">
        <f t="shared" si="243"/>
        <v>0</v>
      </c>
      <c r="BT136" s="410"/>
      <c r="BU136" s="439"/>
      <c r="BV136" s="458"/>
      <c r="BW136" s="412">
        <f t="shared" si="244"/>
        <v>0</v>
      </c>
    </row>
    <row r="137" spans="1:76" ht="16.899999999999999" customHeight="1" x14ac:dyDescent="0.3">
      <c r="A137" s="8" t="s">
        <v>195</v>
      </c>
      <c r="B137" s="9" t="s">
        <v>44</v>
      </c>
      <c r="C137" s="14" t="s">
        <v>117</v>
      </c>
      <c r="D137" s="40" t="s">
        <v>148</v>
      </c>
      <c r="E137" s="15" t="s">
        <v>103</v>
      </c>
      <c r="F137" s="59">
        <v>25</v>
      </c>
      <c r="G137" s="369">
        <f t="shared" si="245"/>
        <v>0</v>
      </c>
      <c r="H137" s="370">
        <v>25</v>
      </c>
      <c r="I137" s="371">
        <v>16</v>
      </c>
      <c r="J137" s="371">
        <v>9</v>
      </c>
      <c r="K137" s="372">
        <v>5</v>
      </c>
      <c r="L137" s="373">
        <f t="shared" si="246"/>
        <v>0</v>
      </c>
      <c r="M137" s="373">
        <f t="shared" si="247"/>
        <v>0</v>
      </c>
      <c r="N137" s="374">
        <f t="shared" si="248"/>
        <v>0</v>
      </c>
      <c r="O137" s="374">
        <f t="shared" si="248"/>
        <v>0</v>
      </c>
      <c r="P137" s="375">
        <f t="shared" si="248"/>
        <v>0</v>
      </c>
      <c r="Q137" s="376">
        <f t="shared" si="249"/>
        <v>0</v>
      </c>
      <c r="R137" s="374">
        <f t="shared" si="250"/>
        <v>0</v>
      </c>
      <c r="S137" s="377"/>
      <c r="T137" s="377"/>
      <c r="U137" s="377"/>
      <c r="V137" s="378">
        <f t="shared" si="229"/>
        <v>0</v>
      </c>
      <c r="W137" s="379">
        <v>76.8</v>
      </c>
      <c r="X137" s="380"/>
      <c r="Y137" s="376">
        <f t="shared" si="251"/>
        <v>0</v>
      </c>
      <c r="Z137" s="374">
        <f t="shared" si="252"/>
        <v>0</v>
      </c>
      <c r="AA137" s="381"/>
      <c r="AB137" s="381"/>
      <c r="AC137" s="382"/>
      <c r="AD137" s="376">
        <f t="shared" si="253"/>
        <v>0</v>
      </c>
      <c r="AE137" s="374">
        <f t="shared" si="254"/>
        <v>0</v>
      </c>
      <c r="AF137" s="381"/>
      <c r="AG137" s="381"/>
      <c r="AH137" s="383"/>
      <c r="AI137" s="384">
        <f t="shared" si="255"/>
        <v>0</v>
      </c>
      <c r="AJ137" s="385"/>
      <c r="AK137" s="386"/>
      <c r="AL137" s="387"/>
      <c r="AM137" s="434">
        <f t="shared" si="258"/>
        <v>0</v>
      </c>
      <c r="AN137" s="389"/>
      <c r="AO137" s="390"/>
      <c r="AP137" s="390"/>
      <c r="AQ137" s="390"/>
      <c r="AR137" s="346" t="e">
        <f t="shared" si="259"/>
        <v>#DIV/0!</v>
      </c>
      <c r="AS137" s="436"/>
      <c r="AT137" s="566">
        <v>22</v>
      </c>
      <c r="AU137" s="48"/>
      <c r="AV137" s="48"/>
      <c r="AW137" s="52"/>
      <c r="AX137" s="393" t="e">
        <f t="shared" si="260"/>
        <v>#DIV/0!</v>
      </c>
      <c r="AY137" s="77">
        <v>103</v>
      </c>
      <c r="AZ137" s="394">
        <f t="shared" si="256"/>
        <v>0</v>
      </c>
      <c r="BA137" s="395"/>
      <c r="BB137" s="396"/>
      <c r="BC137" s="397"/>
      <c r="BD137" s="398">
        <f t="shared" si="239"/>
        <v>1</v>
      </c>
      <c r="BE137" s="399">
        <f t="shared" si="240"/>
        <v>0</v>
      </c>
      <c r="BF137" s="577">
        <v>0</v>
      </c>
      <c r="BG137" s="577">
        <v>0</v>
      </c>
      <c r="BH137" s="578">
        <v>1</v>
      </c>
      <c r="BI137" s="402">
        <f t="shared" si="257"/>
        <v>3</v>
      </c>
      <c r="BJ137" s="403">
        <v>2</v>
      </c>
      <c r="BK137" s="403">
        <v>1</v>
      </c>
      <c r="BL137" s="534">
        <v>2</v>
      </c>
      <c r="BM137" s="406">
        <f t="shared" si="242"/>
        <v>23</v>
      </c>
      <c r="BN137" s="407">
        <f t="shared" si="261"/>
        <v>18</v>
      </c>
      <c r="BO137" s="12">
        <v>9</v>
      </c>
      <c r="BP137" s="12">
        <v>9</v>
      </c>
      <c r="BQ137" s="12">
        <v>5</v>
      </c>
      <c r="BR137" s="408">
        <f t="shared" si="190"/>
        <v>7.666666666666667</v>
      </c>
      <c r="BS137" s="409">
        <f t="shared" si="243"/>
        <v>0</v>
      </c>
      <c r="BT137" s="410"/>
      <c r="BU137" s="411"/>
      <c r="BV137" s="438"/>
      <c r="BW137" s="412">
        <f t="shared" si="244"/>
        <v>0</v>
      </c>
    </row>
    <row r="138" spans="1:76" ht="16.899999999999999" customHeight="1" x14ac:dyDescent="0.3">
      <c r="A138" s="8" t="s">
        <v>195</v>
      </c>
      <c r="B138" s="9" t="s">
        <v>44</v>
      </c>
      <c r="C138" s="14" t="s">
        <v>115</v>
      </c>
      <c r="D138" s="40" t="s">
        <v>201</v>
      </c>
      <c r="E138" s="15" t="s">
        <v>103</v>
      </c>
      <c r="F138" s="59">
        <v>25</v>
      </c>
      <c r="G138" s="369">
        <f t="shared" si="245"/>
        <v>0</v>
      </c>
      <c r="H138" s="370">
        <v>25</v>
      </c>
      <c r="I138" s="371">
        <v>17</v>
      </c>
      <c r="J138" s="371">
        <v>8</v>
      </c>
      <c r="K138" s="372">
        <v>5</v>
      </c>
      <c r="L138" s="373">
        <f t="shared" si="246"/>
        <v>0</v>
      </c>
      <c r="M138" s="373">
        <f t="shared" si="247"/>
        <v>0</v>
      </c>
      <c r="N138" s="374">
        <f t="shared" si="248"/>
        <v>0</v>
      </c>
      <c r="O138" s="374">
        <f t="shared" si="248"/>
        <v>0</v>
      </c>
      <c r="P138" s="375">
        <f t="shared" si="248"/>
        <v>0</v>
      </c>
      <c r="Q138" s="376">
        <f t="shared" si="249"/>
        <v>0</v>
      </c>
      <c r="R138" s="374">
        <f t="shared" si="250"/>
        <v>0</v>
      </c>
      <c r="S138" s="377"/>
      <c r="T138" s="377"/>
      <c r="U138" s="377"/>
      <c r="V138" s="378">
        <f t="shared" si="229"/>
        <v>0</v>
      </c>
      <c r="W138" s="379">
        <v>88.7</v>
      </c>
      <c r="X138" s="380"/>
      <c r="Y138" s="376">
        <f t="shared" si="251"/>
        <v>0</v>
      </c>
      <c r="Z138" s="374">
        <f t="shared" si="252"/>
        <v>0</v>
      </c>
      <c r="AA138" s="381"/>
      <c r="AB138" s="381"/>
      <c r="AC138" s="382"/>
      <c r="AD138" s="376">
        <f t="shared" si="253"/>
        <v>0</v>
      </c>
      <c r="AE138" s="374">
        <f t="shared" si="254"/>
        <v>0</v>
      </c>
      <c r="AF138" s="381"/>
      <c r="AG138" s="381"/>
      <c r="AH138" s="383"/>
      <c r="AI138" s="384">
        <f t="shared" si="255"/>
        <v>0</v>
      </c>
      <c r="AJ138" s="385"/>
      <c r="AK138" s="386"/>
      <c r="AL138" s="387"/>
      <c r="AM138" s="434">
        <f t="shared" si="258"/>
        <v>0</v>
      </c>
      <c r="AN138" s="389"/>
      <c r="AO138" s="390"/>
      <c r="AP138" s="390"/>
      <c r="AQ138" s="390"/>
      <c r="AR138" s="346" t="e">
        <f t="shared" si="259"/>
        <v>#DIV/0!</v>
      </c>
      <c r="AS138" s="436"/>
      <c r="AT138" s="566">
        <v>7</v>
      </c>
      <c r="AU138" s="48"/>
      <c r="AV138" s="48"/>
      <c r="AW138" s="52"/>
      <c r="AX138" s="393" t="e">
        <f t="shared" si="260"/>
        <v>#DIV/0!</v>
      </c>
      <c r="AY138" s="77">
        <v>92</v>
      </c>
      <c r="AZ138" s="394">
        <f t="shared" si="256"/>
        <v>0</v>
      </c>
      <c r="BA138" s="395"/>
      <c r="BB138" s="396"/>
      <c r="BC138" s="397"/>
      <c r="BD138" s="398">
        <f t="shared" si="239"/>
        <v>10</v>
      </c>
      <c r="BE138" s="399">
        <f t="shared" si="240"/>
        <v>9</v>
      </c>
      <c r="BF138" s="577">
        <v>6</v>
      </c>
      <c r="BG138" s="577">
        <v>3</v>
      </c>
      <c r="BH138" s="578">
        <v>1</v>
      </c>
      <c r="BI138" s="402">
        <f t="shared" si="257"/>
        <v>14</v>
      </c>
      <c r="BJ138" s="403">
        <v>9</v>
      </c>
      <c r="BK138" s="403">
        <v>5</v>
      </c>
      <c r="BL138" s="534">
        <v>3</v>
      </c>
      <c r="BM138" s="406">
        <f t="shared" si="242"/>
        <v>14</v>
      </c>
      <c r="BN138" s="407">
        <f t="shared" si="261"/>
        <v>14</v>
      </c>
      <c r="BO138" s="12">
        <v>13</v>
      </c>
      <c r="BP138" s="12">
        <v>1</v>
      </c>
      <c r="BQ138" s="12">
        <v>0</v>
      </c>
      <c r="BR138" s="408">
        <f t="shared" si="190"/>
        <v>1</v>
      </c>
      <c r="BS138" s="409">
        <f t="shared" si="243"/>
        <v>0</v>
      </c>
      <c r="BT138" s="410"/>
      <c r="BU138" s="411"/>
      <c r="BV138" s="438"/>
      <c r="BW138" s="412">
        <f t="shared" si="244"/>
        <v>0</v>
      </c>
    </row>
    <row r="139" spans="1:76" ht="16.899999999999999" customHeight="1" x14ac:dyDescent="0.3">
      <c r="A139" s="8" t="s">
        <v>195</v>
      </c>
      <c r="B139" s="9" t="s">
        <v>44</v>
      </c>
      <c r="C139" s="14" t="s">
        <v>186</v>
      </c>
      <c r="D139" s="40" t="s">
        <v>202</v>
      </c>
      <c r="E139" s="15" t="s">
        <v>103</v>
      </c>
      <c r="F139" s="59">
        <v>25</v>
      </c>
      <c r="G139" s="369">
        <f t="shared" si="245"/>
        <v>0</v>
      </c>
      <c r="H139" s="370">
        <v>25</v>
      </c>
      <c r="I139" s="371">
        <v>16</v>
      </c>
      <c r="J139" s="371">
        <v>9</v>
      </c>
      <c r="K139" s="372">
        <v>5</v>
      </c>
      <c r="L139" s="373">
        <f t="shared" si="246"/>
        <v>0</v>
      </c>
      <c r="M139" s="373">
        <f t="shared" si="247"/>
        <v>0</v>
      </c>
      <c r="N139" s="374">
        <f t="shared" si="248"/>
        <v>0</v>
      </c>
      <c r="O139" s="374">
        <f t="shared" si="248"/>
        <v>0</v>
      </c>
      <c r="P139" s="375">
        <f t="shared" si="248"/>
        <v>0</v>
      </c>
      <c r="Q139" s="376">
        <f t="shared" si="249"/>
        <v>0</v>
      </c>
      <c r="R139" s="374">
        <f t="shared" si="250"/>
        <v>0</v>
      </c>
      <c r="S139" s="377"/>
      <c r="T139" s="377"/>
      <c r="U139" s="377"/>
      <c r="V139" s="378">
        <f t="shared" si="229"/>
        <v>0</v>
      </c>
      <c r="W139" s="379">
        <v>64.8</v>
      </c>
      <c r="X139" s="380"/>
      <c r="Y139" s="376">
        <f t="shared" si="251"/>
        <v>0</v>
      </c>
      <c r="Z139" s="374">
        <f t="shared" si="252"/>
        <v>0</v>
      </c>
      <c r="AA139" s="381"/>
      <c r="AB139" s="381"/>
      <c r="AC139" s="382"/>
      <c r="AD139" s="376">
        <f t="shared" si="253"/>
        <v>0</v>
      </c>
      <c r="AE139" s="374">
        <f t="shared" si="254"/>
        <v>0</v>
      </c>
      <c r="AF139" s="381"/>
      <c r="AG139" s="381"/>
      <c r="AH139" s="383"/>
      <c r="AI139" s="384">
        <f t="shared" si="255"/>
        <v>0</v>
      </c>
      <c r="AJ139" s="385"/>
      <c r="AK139" s="386"/>
      <c r="AL139" s="387"/>
      <c r="AM139" s="434">
        <f t="shared" si="258"/>
        <v>0</v>
      </c>
      <c r="AN139" s="389"/>
      <c r="AO139" s="390"/>
      <c r="AP139" s="390"/>
      <c r="AQ139" s="390"/>
      <c r="AR139" s="346" t="e">
        <f t="shared" si="259"/>
        <v>#DIV/0!</v>
      </c>
      <c r="AS139" s="436"/>
      <c r="AT139" s="566">
        <v>7</v>
      </c>
      <c r="AU139" s="48"/>
      <c r="AV139" s="48"/>
      <c r="AW139" s="52"/>
      <c r="AX139" s="393" t="e">
        <f t="shared" si="260"/>
        <v>#DIV/0!</v>
      </c>
      <c r="AY139" s="77">
        <v>33</v>
      </c>
      <c r="AZ139" s="394">
        <f t="shared" si="256"/>
        <v>0</v>
      </c>
      <c r="BA139" s="395"/>
      <c r="BB139" s="396"/>
      <c r="BC139" s="397"/>
      <c r="BD139" s="398">
        <f t="shared" si="239"/>
        <v>16</v>
      </c>
      <c r="BE139" s="399">
        <f t="shared" si="240"/>
        <v>14</v>
      </c>
      <c r="BF139" s="577">
        <v>7</v>
      </c>
      <c r="BG139" s="577">
        <v>7</v>
      </c>
      <c r="BH139" s="578">
        <v>2</v>
      </c>
      <c r="BI139" s="402">
        <f t="shared" si="257"/>
        <v>17</v>
      </c>
      <c r="BJ139" s="403">
        <v>9</v>
      </c>
      <c r="BK139" s="403">
        <v>8</v>
      </c>
      <c r="BL139" s="534">
        <v>3</v>
      </c>
      <c r="BM139" s="406">
        <f t="shared" si="242"/>
        <v>3</v>
      </c>
      <c r="BN139" s="407">
        <f t="shared" si="261"/>
        <v>3</v>
      </c>
      <c r="BO139" s="12">
        <v>2</v>
      </c>
      <c r="BP139" s="12">
        <v>1</v>
      </c>
      <c r="BQ139" s="12">
        <v>0</v>
      </c>
      <c r="BR139" s="408">
        <f t="shared" si="190"/>
        <v>0.17647058823529413</v>
      </c>
      <c r="BS139" s="409">
        <f t="shared" si="243"/>
        <v>0</v>
      </c>
      <c r="BT139" s="410"/>
      <c r="BU139" s="411"/>
      <c r="BV139" s="438"/>
      <c r="BW139" s="412">
        <f t="shared" si="244"/>
        <v>0</v>
      </c>
    </row>
    <row r="140" spans="1:76" ht="16.899999999999999" customHeight="1" x14ac:dyDescent="0.3">
      <c r="A140" s="8" t="s">
        <v>195</v>
      </c>
      <c r="B140" s="9" t="s">
        <v>44</v>
      </c>
      <c r="C140" s="14" t="s">
        <v>115</v>
      </c>
      <c r="D140" s="40" t="s">
        <v>116</v>
      </c>
      <c r="E140" s="15" t="s">
        <v>103</v>
      </c>
      <c r="F140" s="59">
        <v>50</v>
      </c>
      <c r="G140" s="369">
        <f t="shared" si="245"/>
        <v>0</v>
      </c>
      <c r="H140" s="370">
        <v>50</v>
      </c>
      <c r="I140" s="371">
        <v>34</v>
      </c>
      <c r="J140" s="371">
        <v>16</v>
      </c>
      <c r="K140" s="372">
        <v>10</v>
      </c>
      <c r="L140" s="373">
        <f t="shared" si="246"/>
        <v>0</v>
      </c>
      <c r="M140" s="373">
        <f t="shared" si="247"/>
        <v>0</v>
      </c>
      <c r="N140" s="374">
        <f t="shared" si="248"/>
        <v>0</v>
      </c>
      <c r="O140" s="374">
        <f t="shared" si="248"/>
        <v>0</v>
      </c>
      <c r="P140" s="375">
        <f t="shared" si="248"/>
        <v>0</v>
      </c>
      <c r="Q140" s="376">
        <f t="shared" si="249"/>
        <v>0</v>
      </c>
      <c r="R140" s="374">
        <f t="shared" si="250"/>
        <v>0</v>
      </c>
      <c r="S140" s="377"/>
      <c r="T140" s="377"/>
      <c r="U140" s="377"/>
      <c r="V140" s="378">
        <f t="shared" si="229"/>
        <v>0</v>
      </c>
      <c r="W140" s="379">
        <v>60.9</v>
      </c>
      <c r="X140" s="380"/>
      <c r="Y140" s="376">
        <f t="shared" si="251"/>
        <v>0</v>
      </c>
      <c r="Z140" s="374">
        <f t="shared" si="252"/>
        <v>0</v>
      </c>
      <c r="AA140" s="381"/>
      <c r="AB140" s="381"/>
      <c r="AC140" s="382"/>
      <c r="AD140" s="376">
        <f t="shared" si="253"/>
        <v>0</v>
      </c>
      <c r="AE140" s="374">
        <f t="shared" si="254"/>
        <v>0</v>
      </c>
      <c r="AF140" s="381"/>
      <c r="AG140" s="381"/>
      <c r="AH140" s="383"/>
      <c r="AI140" s="384">
        <f t="shared" si="255"/>
        <v>0</v>
      </c>
      <c r="AJ140" s="385"/>
      <c r="AK140" s="386"/>
      <c r="AL140" s="387"/>
      <c r="AM140" s="434">
        <f t="shared" si="258"/>
        <v>0</v>
      </c>
      <c r="AN140" s="389"/>
      <c r="AO140" s="390"/>
      <c r="AP140" s="390"/>
      <c r="AQ140" s="390"/>
      <c r="AR140" s="346" t="e">
        <f t="shared" si="259"/>
        <v>#DIV/0!</v>
      </c>
      <c r="AS140" s="436"/>
      <c r="AT140" s="566">
        <v>43</v>
      </c>
      <c r="AU140" s="48"/>
      <c r="AV140" s="48"/>
      <c r="AW140" s="52"/>
      <c r="AX140" s="393" t="e">
        <f t="shared" si="260"/>
        <v>#DIV/0!</v>
      </c>
      <c r="AY140" s="77">
        <v>399</v>
      </c>
      <c r="AZ140" s="394">
        <f t="shared" si="256"/>
        <v>0</v>
      </c>
      <c r="BA140" s="395"/>
      <c r="BB140" s="396"/>
      <c r="BC140" s="397"/>
      <c r="BD140" s="398">
        <f t="shared" si="239"/>
        <v>0</v>
      </c>
      <c r="BE140" s="399">
        <f t="shared" si="240"/>
        <v>0</v>
      </c>
      <c r="BF140" s="577">
        <v>0</v>
      </c>
      <c r="BG140" s="577">
        <v>0</v>
      </c>
      <c r="BH140" s="578">
        <v>0</v>
      </c>
      <c r="BI140" s="402">
        <f t="shared" si="257"/>
        <v>5</v>
      </c>
      <c r="BJ140" s="403">
        <v>3</v>
      </c>
      <c r="BK140" s="403">
        <v>2</v>
      </c>
      <c r="BL140" s="534">
        <v>2</v>
      </c>
      <c r="BM140" s="406">
        <f t="shared" si="242"/>
        <v>40</v>
      </c>
      <c r="BN140" s="407">
        <f t="shared" si="261"/>
        <v>31</v>
      </c>
      <c r="BO140" s="12">
        <v>19</v>
      </c>
      <c r="BP140" s="12">
        <v>12</v>
      </c>
      <c r="BQ140" s="12">
        <v>9</v>
      </c>
      <c r="BR140" s="408">
        <f t="shared" si="190"/>
        <v>8</v>
      </c>
      <c r="BS140" s="409">
        <f t="shared" si="243"/>
        <v>0</v>
      </c>
      <c r="BT140" s="410"/>
      <c r="BU140" s="411"/>
      <c r="BV140" s="438"/>
      <c r="BW140" s="412">
        <f t="shared" si="244"/>
        <v>0</v>
      </c>
    </row>
    <row r="141" spans="1:76" ht="16.899999999999999" customHeight="1" x14ac:dyDescent="0.3">
      <c r="A141" s="4" t="s">
        <v>195</v>
      </c>
      <c r="B141" s="5" t="s">
        <v>45</v>
      </c>
      <c r="C141" s="19"/>
      <c r="D141" s="27" t="s">
        <v>21</v>
      </c>
      <c r="E141" s="20"/>
      <c r="F141" s="58">
        <f t="shared" ref="F141:U141" si="262">SUM(F142:F147)</f>
        <v>200</v>
      </c>
      <c r="G141" s="7">
        <f t="shared" si="262"/>
        <v>0</v>
      </c>
      <c r="H141" s="7">
        <f t="shared" si="262"/>
        <v>200</v>
      </c>
      <c r="I141" s="65">
        <f t="shared" si="262"/>
        <v>136</v>
      </c>
      <c r="J141" s="65">
        <f t="shared" si="262"/>
        <v>64</v>
      </c>
      <c r="K141" s="70">
        <f t="shared" si="262"/>
        <v>40</v>
      </c>
      <c r="L141" s="413">
        <f t="shared" si="262"/>
        <v>0</v>
      </c>
      <c r="M141" s="413">
        <f t="shared" si="262"/>
        <v>0</v>
      </c>
      <c r="N141" s="413">
        <f t="shared" si="262"/>
        <v>0</v>
      </c>
      <c r="O141" s="413">
        <f t="shared" si="262"/>
        <v>0</v>
      </c>
      <c r="P141" s="414">
        <f t="shared" si="262"/>
        <v>0</v>
      </c>
      <c r="Q141" s="415">
        <f t="shared" si="262"/>
        <v>0</v>
      </c>
      <c r="R141" s="416">
        <f t="shared" si="262"/>
        <v>0</v>
      </c>
      <c r="S141" s="416">
        <f t="shared" si="262"/>
        <v>0</v>
      </c>
      <c r="T141" s="416">
        <f t="shared" si="262"/>
        <v>0</v>
      </c>
      <c r="U141" s="416">
        <f t="shared" si="262"/>
        <v>0</v>
      </c>
      <c r="V141" s="334">
        <f t="shared" si="229"/>
        <v>0</v>
      </c>
      <c r="W141" s="335">
        <f t="shared" ref="W141:AI141" si="263">SUM(W142:W147)</f>
        <v>434.5</v>
      </c>
      <c r="X141" s="413">
        <f t="shared" si="263"/>
        <v>0</v>
      </c>
      <c r="Y141" s="415">
        <f t="shared" si="263"/>
        <v>0</v>
      </c>
      <c r="Z141" s="416">
        <f t="shared" si="263"/>
        <v>0</v>
      </c>
      <c r="AA141" s="416">
        <f t="shared" si="263"/>
        <v>0</v>
      </c>
      <c r="AB141" s="416">
        <f t="shared" si="263"/>
        <v>0</v>
      </c>
      <c r="AC141" s="417">
        <f t="shared" si="263"/>
        <v>0</v>
      </c>
      <c r="AD141" s="415">
        <f t="shared" si="263"/>
        <v>0</v>
      </c>
      <c r="AE141" s="416">
        <f t="shared" si="263"/>
        <v>0</v>
      </c>
      <c r="AF141" s="416">
        <f t="shared" si="263"/>
        <v>0</v>
      </c>
      <c r="AG141" s="416">
        <f t="shared" si="263"/>
        <v>0</v>
      </c>
      <c r="AH141" s="418">
        <f t="shared" si="263"/>
        <v>0</v>
      </c>
      <c r="AI141" s="339">
        <f t="shared" si="263"/>
        <v>0</v>
      </c>
      <c r="AJ141" s="340"/>
      <c r="AK141" s="341"/>
      <c r="AL141" s="342"/>
      <c r="AM141" s="420">
        <f t="shared" si="258"/>
        <v>0</v>
      </c>
      <c r="AN141" s="344"/>
      <c r="AO141" s="440"/>
      <c r="AP141" s="440"/>
      <c r="AQ141" s="440"/>
      <c r="AR141" s="346" t="e">
        <f t="shared" si="259"/>
        <v>#DIV/0!</v>
      </c>
      <c r="AS141" s="424">
        <v>1.226</v>
      </c>
      <c r="AT141" s="441">
        <f>SUM(AT142:AT147)</f>
        <v>116</v>
      </c>
      <c r="AU141" s="361"/>
      <c r="AV141" s="361"/>
      <c r="AW141" s="444"/>
      <c r="AX141" s="352" t="e">
        <f t="shared" si="260"/>
        <v>#DIV/0!</v>
      </c>
      <c r="AY141" s="427">
        <v>0.85399999999999998</v>
      </c>
      <c r="AZ141" s="354">
        <f>SUM(AZ142:AZ147)</f>
        <v>0</v>
      </c>
      <c r="BA141" s="340"/>
      <c r="BB141" s="340"/>
      <c r="BC141" s="355"/>
      <c r="BD141" s="356">
        <f t="shared" si="239"/>
        <v>50</v>
      </c>
      <c r="BE141" s="356">
        <f t="shared" si="240"/>
        <v>32</v>
      </c>
      <c r="BF141" s="357">
        <f t="shared" ref="BF141:BL141" si="264">SUM(BF142:BF147)</f>
        <v>22</v>
      </c>
      <c r="BG141" s="357">
        <f t="shared" si="264"/>
        <v>10</v>
      </c>
      <c r="BH141" s="358">
        <f t="shared" si="264"/>
        <v>18</v>
      </c>
      <c r="BI141" s="359">
        <f t="shared" si="264"/>
        <v>62</v>
      </c>
      <c r="BJ141" s="360">
        <f t="shared" si="264"/>
        <v>38</v>
      </c>
      <c r="BK141" s="361">
        <f t="shared" si="264"/>
        <v>24</v>
      </c>
      <c r="BL141" s="362">
        <f t="shared" si="264"/>
        <v>28</v>
      </c>
      <c r="BM141" s="363">
        <f t="shared" si="242"/>
        <v>100</v>
      </c>
      <c r="BN141" s="356">
        <f t="shared" si="261"/>
        <v>87</v>
      </c>
      <c r="BO141" s="357">
        <f>SUM(BO142:BO147)</f>
        <v>65</v>
      </c>
      <c r="BP141" s="357">
        <f>SUM(BP142:BP147)</f>
        <v>22</v>
      </c>
      <c r="BQ141" s="357">
        <f>SUM(BQ142:BQ147)</f>
        <v>13</v>
      </c>
      <c r="BR141" s="432">
        <f t="shared" si="190"/>
        <v>1.6129032258064515</v>
      </c>
      <c r="BS141" s="366">
        <f t="shared" si="243"/>
        <v>0</v>
      </c>
      <c r="BT141" s="367">
        <f>SUM(BT142:BT147)</f>
        <v>0</v>
      </c>
      <c r="BU141" s="367">
        <f>SUM(BU142:BU147)</f>
        <v>0</v>
      </c>
      <c r="BV141" s="367">
        <f>SUM(BV142:BV147)</f>
        <v>0</v>
      </c>
      <c r="BW141" s="368">
        <f t="shared" si="244"/>
        <v>0</v>
      </c>
      <c r="BX141" t="s">
        <v>45</v>
      </c>
    </row>
    <row r="142" spans="1:76" ht="16.899999999999999" customHeight="1" x14ac:dyDescent="0.3">
      <c r="A142" s="8" t="s">
        <v>195</v>
      </c>
      <c r="B142" s="9" t="s">
        <v>45</v>
      </c>
      <c r="C142" s="14" t="s">
        <v>110</v>
      </c>
      <c r="D142" s="40" t="s">
        <v>174</v>
      </c>
      <c r="E142" s="15" t="s">
        <v>103</v>
      </c>
      <c r="F142" s="59">
        <v>25</v>
      </c>
      <c r="G142" s="369">
        <f t="shared" ref="G142:G147" si="265">L142/F142</f>
        <v>0</v>
      </c>
      <c r="H142" s="370">
        <v>25</v>
      </c>
      <c r="I142" s="371">
        <v>17</v>
      </c>
      <c r="J142" s="371">
        <v>8</v>
      </c>
      <c r="K142" s="372">
        <v>5</v>
      </c>
      <c r="L142" s="373">
        <f t="shared" ref="L142:L147" si="266">N142+O142+P142</f>
        <v>0</v>
      </c>
      <c r="M142" s="373">
        <f t="shared" ref="M142:M147" si="267">N142+O142</f>
        <v>0</v>
      </c>
      <c r="N142" s="374">
        <f t="shared" ref="N142:P147" si="268">AA142+AF142</f>
        <v>0</v>
      </c>
      <c r="O142" s="374">
        <f t="shared" si="268"/>
        <v>0</v>
      </c>
      <c r="P142" s="375">
        <f t="shared" si="268"/>
        <v>0</v>
      </c>
      <c r="Q142" s="376">
        <f t="shared" ref="Q142:Q147" si="269">R142+U142</f>
        <v>0</v>
      </c>
      <c r="R142" s="374">
        <f t="shared" ref="R142:R147" si="270">S142+T142</f>
        <v>0</v>
      </c>
      <c r="S142" s="377"/>
      <c r="T142" s="377"/>
      <c r="U142" s="377"/>
      <c r="V142" s="378">
        <f t="shared" si="229"/>
        <v>0</v>
      </c>
      <c r="W142" s="379">
        <v>57.5</v>
      </c>
      <c r="X142" s="380"/>
      <c r="Y142" s="376">
        <f t="shared" ref="Y142:Y147" si="271">Z142+AC142</f>
        <v>0</v>
      </c>
      <c r="Z142" s="374">
        <f t="shared" ref="Z142:Z147" si="272">AA142+AB142</f>
        <v>0</v>
      </c>
      <c r="AA142" s="381"/>
      <c r="AB142" s="381"/>
      <c r="AC142" s="382"/>
      <c r="AD142" s="376">
        <f t="shared" ref="AD142:AD147" si="273">AE142+AH142</f>
        <v>0</v>
      </c>
      <c r="AE142" s="374">
        <f t="shared" ref="AE142:AE147" si="274">AF142+AG142</f>
        <v>0</v>
      </c>
      <c r="AF142" s="381"/>
      <c r="AG142" s="381"/>
      <c r="AH142" s="383"/>
      <c r="AI142" s="384">
        <f t="shared" ref="AI142:AI147" si="275">AJ142+AK142</f>
        <v>0</v>
      </c>
      <c r="AJ142" s="385"/>
      <c r="AK142" s="386"/>
      <c r="AL142" s="387"/>
      <c r="AM142" s="434">
        <f t="shared" si="258"/>
        <v>0</v>
      </c>
      <c r="AN142" s="389"/>
      <c r="AO142" s="390"/>
      <c r="AP142" s="390"/>
      <c r="AQ142" s="390"/>
      <c r="AR142" s="346" t="e">
        <f t="shared" si="259"/>
        <v>#DIV/0!</v>
      </c>
      <c r="AS142" s="436"/>
      <c r="AT142" s="392">
        <v>13</v>
      </c>
      <c r="AU142" s="48"/>
      <c r="AV142" s="48"/>
      <c r="AW142" s="52"/>
      <c r="AX142" s="393" t="e">
        <f t="shared" si="260"/>
        <v>#DIV/0!</v>
      </c>
      <c r="AY142" s="77">
        <v>492</v>
      </c>
      <c r="AZ142" s="394">
        <f t="shared" ref="AZ142:AZ147" si="276">BA142+BB142</f>
        <v>0</v>
      </c>
      <c r="BA142" s="395"/>
      <c r="BB142" s="396"/>
      <c r="BC142" s="397"/>
      <c r="BD142" s="398">
        <f t="shared" si="239"/>
        <v>4</v>
      </c>
      <c r="BE142" s="531">
        <f t="shared" si="240"/>
        <v>3</v>
      </c>
      <c r="BF142" s="579">
        <v>0</v>
      </c>
      <c r="BG142" s="579">
        <v>3</v>
      </c>
      <c r="BH142" s="580">
        <v>1</v>
      </c>
      <c r="BI142" s="402">
        <f t="shared" ref="BI142:BI147" si="277">SUM(BJ142:BK142)</f>
        <v>8</v>
      </c>
      <c r="BJ142" s="403">
        <v>3</v>
      </c>
      <c r="BK142" s="403">
        <v>5</v>
      </c>
      <c r="BL142" s="534">
        <v>3</v>
      </c>
      <c r="BM142" s="406">
        <f t="shared" si="242"/>
        <v>7</v>
      </c>
      <c r="BN142" s="407">
        <f t="shared" si="261"/>
        <v>7</v>
      </c>
      <c r="BO142" s="12">
        <v>6</v>
      </c>
      <c r="BP142" s="12">
        <v>1</v>
      </c>
      <c r="BQ142" s="12">
        <v>0</v>
      </c>
      <c r="BR142" s="408">
        <f t="shared" si="190"/>
        <v>0.875</v>
      </c>
      <c r="BS142" s="409">
        <f t="shared" si="243"/>
        <v>0</v>
      </c>
      <c r="BT142" s="410"/>
      <c r="BU142" s="439"/>
      <c r="BV142" s="458"/>
      <c r="BW142" s="412">
        <f t="shared" si="244"/>
        <v>0</v>
      </c>
    </row>
    <row r="143" spans="1:76" ht="16.899999999999999" customHeight="1" x14ac:dyDescent="0.3">
      <c r="A143" s="8" t="s">
        <v>195</v>
      </c>
      <c r="B143" s="9" t="s">
        <v>45</v>
      </c>
      <c r="C143" s="14" t="s">
        <v>101</v>
      </c>
      <c r="D143" s="40" t="s">
        <v>159</v>
      </c>
      <c r="E143" s="15" t="s">
        <v>103</v>
      </c>
      <c r="F143" s="59">
        <v>50</v>
      </c>
      <c r="G143" s="369">
        <f t="shared" si="265"/>
        <v>0</v>
      </c>
      <c r="H143" s="370">
        <v>50</v>
      </c>
      <c r="I143" s="371">
        <v>34</v>
      </c>
      <c r="J143" s="371">
        <v>16</v>
      </c>
      <c r="K143" s="372">
        <v>10</v>
      </c>
      <c r="L143" s="373">
        <f t="shared" si="266"/>
        <v>0</v>
      </c>
      <c r="M143" s="373">
        <f t="shared" si="267"/>
        <v>0</v>
      </c>
      <c r="N143" s="374">
        <f t="shared" si="268"/>
        <v>0</v>
      </c>
      <c r="O143" s="374">
        <f t="shared" si="268"/>
        <v>0</v>
      </c>
      <c r="P143" s="375">
        <f t="shared" si="268"/>
        <v>0</v>
      </c>
      <c r="Q143" s="376">
        <f t="shared" si="269"/>
        <v>0</v>
      </c>
      <c r="R143" s="374">
        <f t="shared" si="270"/>
        <v>0</v>
      </c>
      <c r="S143" s="377"/>
      <c r="T143" s="377"/>
      <c r="U143" s="377"/>
      <c r="V143" s="378">
        <f t="shared" si="229"/>
        <v>0</v>
      </c>
      <c r="W143" s="379">
        <v>64</v>
      </c>
      <c r="X143" s="380"/>
      <c r="Y143" s="376">
        <f t="shared" si="271"/>
        <v>0</v>
      </c>
      <c r="Z143" s="374">
        <f t="shared" si="272"/>
        <v>0</v>
      </c>
      <c r="AA143" s="381"/>
      <c r="AB143" s="381"/>
      <c r="AC143" s="382"/>
      <c r="AD143" s="376">
        <f t="shared" si="273"/>
        <v>0</v>
      </c>
      <c r="AE143" s="374">
        <f t="shared" si="274"/>
        <v>0</v>
      </c>
      <c r="AF143" s="381"/>
      <c r="AG143" s="381"/>
      <c r="AH143" s="383"/>
      <c r="AI143" s="384">
        <f t="shared" si="275"/>
        <v>0</v>
      </c>
      <c r="AJ143" s="385"/>
      <c r="AK143" s="581"/>
      <c r="AL143" s="582"/>
      <c r="AM143" s="434">
        <f t="shared" si="258"/>
        <v>0</v>
      </c>
      <c r="AN143" s="389"/>
      <c r="AO143" s="390"/>
      <c r="AP143" s="390"/>
      <c r="AQ143" s="390"/>
      <c r="AR143" s="346" t="e">
        <f t="shared" si="259"/>
        <v>#DIV/0!</v>
      </c>
      <c r="AS143" s="436"/>
      <c r="AT143" s="392">
        <v>27</v>
      </c>
      <c r="AU143" s="48"/>
      <c r="AV143" s="48"/>
      <c r="AW143" s="52"/>
      <c r="AX143" s="393" t="e">
        <f t="shared" si="260"/>
        <v>#DIV/0!</v>
      </c>
      <c r="AY143" s="77">
        <v>72</v>
      </c>
      <c r="AZ143" s="394">
        <f t="shared" si="276"/>
        <v>0</v>
      </c>
      <c r="BA143" s="395"/>
      <c r="BB143" s="396"/>
      <c r="BC143" s="397"/>
      <c r="BD143" s="398">
        <f t="shared" si="239"/>
        <v>22</v>
      </c>
      <c r="BE143" s="531">
        <f t="shared" si="240"/>
        <v>16</v>
      </c>
      <c r="BF143" s="579">
        <v>13</v>
      </c>
      <c r="BG143" s="579">
        <v>3</v>
      </c>
      <c r="BH143" s="580">
        <v>6</v>
      </c>
      <c r="BI143" s="402">
        <f t="shared" si="277"/>
        <v>21</v>
      </c>
      <c r="BJ143" s="403">
        <v>16</v>
      </c>
      <c r="BK143" s="403">
        <v>5</v>
      </c>
      <c r="BL143" s="534">
        <v>7</v>
      </c>
      <c r="BM143" s="406">
        <f t="shared" si="242"/>
        <v>17</v>
      </c>
      <c r="BN143" s="407">
        <f t="shared" si="261"/>
        <v>17</v>
      </c>
      <c r="BO143" s="12">
        <v>13</v>
      </c>
      <c r="BP143" s="12">
        <v>4</v>
      </c>
      <c r="BQ143" s="12">
        <v>0</v>
      </c>
      <c r="BR143" s="408">
        <f t="shared" si="190"/>
        <v>0.80952380952380953</v>
      </c>
      <c r="BS143" s="409">
        <f t="shared" si="243"/>
        <v>0</v>
      </c>
      <c r="BT143" s="410"/>
      <c r="BU143" s="411"/>
      <c r="BV143" s="438"/>
      <c r="BW143" s="412">
        <f t="shared" si="244"/>
        <v>0</v>
      </c>
    </row>
    <row r="144" spans="1:76" ht="16.899999999999999" customHeight="1" x14ac:dyDescent="0.3">
      <c r="A144" s="8" t="s">
        <v>195</v>
      </c>
      <c r="B144" s="9" t="s">
        <v>45</v>
      </c>
      <c r="C144" s="14" t="s">
        <v>132</v>
      </c>
      <c r="D144" s="40" t="s">
        <v>203</v>
      </c>
      <c r="E144" s="15" t="s">
        <v>103</v>
      </c>
      <c r="F144" s="59">
        <v>25</v>
      </c>
      <c r="G144" s="369">
        <f t="shared" si="265"/>
        <v>0</v>
      </c>
      <c r="H144" s="370">
        <v>25</v>
      </c>
      <c r="I144" s="371">
        <v>17</v>
      </c>
      <c r="J144" s="371">
        <v>8</v>
      </c>
      <c r="K144" s="372">
        <v>5</v>
      </c>
      <c r="L144" s="373">
        <f t="shared" si="266"/>
        <v>0</v>
      </c>
      <c r="M144" s="373">
        <f t="shared" si="267"/>
        <v>0</v>
      </c>
      <c r="N144" s="374">
        <f t="shared" si="268"/>
        <v>0</v>
      </c>
      <c r="O144" s="374">
        <f t="shared" si="268"/>
        <v>0</v>
      </c>
      <c r="P144" s="375">
        <f t="shared" si="268"/>
        <v>0</v>
      </c>
      <c r="Q144" s="376">
        <f t="shared" si="269"/>
        <v>0</v>
      </c>
      <c r="R144" s="374">
        <f t="shared" si="270"/>
        <v>0</v>
      </c>
      <c r="S144" s="377"/>
      <c r="T144" s="377"/>
      <c r="U144" s="377"/>
      <c r="V144" s="378">
        <f t="shared" si="229"/>
        <v>0</v>
      </c>
      <c r="W144" s="379">
        <v>56.9</v>
      </c>
      <c r="X144" s="380"/>
      <c r="Y144" s="376">
        <f t="shared" si="271"/>
        <v>0</v>
      </c>
      <c r="Z144" s="374">
        <f t="shared" si="272"/>
        <v>0</v>
      </c>
      <c r="AA144" s="381"/>
      <c r="AB144" s="381"/>
      <c r="AC144" s="382"/>
      <c r="AD144" s="376">
        <f t="shared" si="273"/>
        <v>0</v>
      </c>
      <c r="AE144" s="374">
        <f t="shared" si="274"/>
        <v>0</v>
      </c>
      <c r="AF144" s="381"/>
      <c r="AG144" s="381"/>
      <c r="AH144" s="383"/>
      <c r="AI144" s="384">
        <f t="shared" si="275"/>
        <v>0</v>
      </c>
      <c r="AJ144" s="385"/>
      <c r="AK144" s="581"/>
      <c r="AL144" s="582"/>
      <c r="AM144" s="434">
        <f t="shared" si="258"/>
        <v>0</v>
      </c>
      <c r="AN144" s="389"/>
      <c r="AO144" s="390"/>
      <c r="AP144" s="390"/>
      <c r="AQ144" s="390"/>
      <c r="AR144" s="346" t="e">
        <f t="shared" si="259"/>
        <v>#DIV/0!</v>
      </c>
      <c r="AS144" s="436"/>
      <c r="AT144" s="392">
        <v>9</v>
      </c>
      <c r="AU144" s="48"/>
      <c r="AV144" s="48"/>
      <c r="AW144" s="52"/>
      <c r="AX144" s="393" t="e">
        <f t="shared" si="260"/>
        <v>#DIV/0!</v>
      </c>
      <c r="AY144" s="77">
        <v>187</v>
      </c>
      <c r="AZ144" s="394">
        <f t="shared" si="276"/>
        <v>0</v>
      </c>
      <c r="BA144" s="395"/>
      <c r="BB144" s="396"/>
      <c r="BC144" s="397"/>
      <c r="BD144" s="398">
        <f t="shared" si="239"/>
        <v>8</v>
      </c>
      <c r="BE144" s="531">
        <f t="shared" si="240"/>
        <v>6</v>
      </c>
      <c r="BF144" s="579">
        <v>3</v>
      </c>
      <c r="BG144" s="579">
        <v>3</v>
      </c>
      <c r="BH144" s="580">
        <v>2</v>
      </c>
      <c r="BI144" s="402">
        <f t="shared" si="277"/>
        <v>11</v>
      </c>
      <c r="BJ144" s="403">
        <v>6</v>
      </c>
      <c r="BK144" s="403">
        <v>5</v>
      </c>
      <c r="BL144" s="534">
        <v>4</v>
      </c>
      <c r="BM144" s="406">
        <f t="shared" si="242"/>
        <v>16</v>
      </c>
      <c r="BN144" s="407">
        <f t="shared" si="261"/>
        <v>13</v>
      </c>
      <c r="BO144" s="12">
        <v>9</v>
      </c>
      <c r="BP144" s="12">
        <v>4</v>
      </c>
      <c r="BQ144" s="12">
        <v>3</v>
      </c>
      <c r="BR144" s="408">
        <f t="shared" si="190"/>
        <v>1.4545454545454546</v>
      </c>
      <c r="BS144" s="409">
        <f t="shared" si="243"/>
        <v>0</v>
      </c>
      <c r="BT144" s="410"/>
      <c r="BU144" s="411"/>
      <c r="BV144" s="438"/>
      <c r="BW144" s="412">
        <f t="shared" si="244"/>
        <v>0</v>
      </c>
    </row>
    <row r="145" spans="1:76" ht="16.899999999999999" customHeight="1" x14ac:dyDescent="0.3">
      <c r="A145" s="8" t="s">
        <v>195</v>
      </c>
      <c r="B145" s="9" t="s">
        <v>45</v>
      </c>
      <c r="C145" s="14" t="s">
        <v>132</v>
      </c>
      <c r="D145" s="40" t="s">
        <v>146</v>
      </c>
      <c r="E145" s="15" t="s">
        <v>103</v>
      </c>
      <c r="F145" s="59">
        <v>25</v>
      </c>
      <c r="G145" s="369">
        <f t="shared" si="265"/>
        <v>0</v>
      </c>
      <c r="H145" s="370">
        <v>25</v>
      </c>
      <c r="I145" s="371">
        <v>17</v>
      </c>
      <c r="J145" s="371">
        <v>8</v>
      </c>
      <c r="K145" s="372">
        <v>5</v>
      </c>
      <c r="L145" s="373">
        <f t="shared" si="266"/>
        <v>0</v>
      </c>
      <c r="M145" s="373">
        <f t="shared" si="267"/>
        <v>0</v>
      </c>
      <c r="N145" s="374">
        <f t="shared" si="268"/>
        <v>0</v>
      </c>
      <c r="O145" s="374">
        <f t="shared" si="268"/>
        <v>0</v>
      </c>
      <c r="P145" s="375">
        <f t="shared" si="268"/>
        <v>0</v>
      </c>
      <c r="Q145" s="376">
        <f t="shared" si="269"/>
        <v>0</v>
      </c>
      <c r="R145" s="374">
        <f t="shared" si="270"/>
        <v>0</v>
      </c>
      <c r="S145" s="377"/>
      <c r="T145" s="377"/>
      <c r="U145" s="377"/>
      <c r="V145" s="378">
        <f t="shared" si="229"/>
        <v>0</v>
      </c>
      <c r="W145" s="379">
        <v>75.3</v>
      </c>
      <c r="X145" s="380"/>
      <c r="Y145" s="376">
        <f t="shared" si="271"/>
        <v>0</v>
      </c>
      <c r="Z145" s="374">
        <f t="shared" si="272"/>
        <v>0</v>
      </c>
      <c r="AA145" s="381"/>
      <c r="AB145" s="381"/>
      <c r="AC145" s="382"/>
      <c r="AD145" s="376">
        <f t="shared" si="273"/>
        <v>0</v>
      </c>
      <c r="AE145" s="374">
        <f t="shared" si="274"/>
        <v>0</v>
      </c>
      <c r="AF145" s="381"/>
      <c r="AG145" s="381"/>
      <c r="AH145" s="383"/>
      <c r="AI145" s="384">
        <f t="shared" si="275"/>
        <v>0</v>
      </c>
      <c r="AJ145" s="385"/>
      <c r="AK145" s="581"/>
      <c r="AL145" s="582"/>
      <c r="AM145" s="434">
        <f t="shared" si="258"/>
        <v>0</v>
      </c>
      <c r="AN145" s="389"/>
      <c r="AO145" s="390"/>
      <c r="AP145" s="390"/>
      <c r="AQ145" s="390"/>
      <c r="AR145" s="346" t="e">
        <f t="shared" si="259"/>
        <v>#DIV/0!</v>
      </c>
      <c r="AS145" s="436"/>
      <c r="AT145" s="392">
        <v>13</v>
      </c>
      <c r="AU145" s="48"/>
      <c r="AV145" s="48"/>
      <c r="AW145" s="52"/>
      <c r="AX145" s="393" t="e">
        <f t="shared" si="260"/>
        <v>#DIV/0!</v>
      </c>
      <c r="AY145" s="77">
        <v>223</v>
      </c>
      <c r="AZ145" s="394">
        <f t="shared" si="276"/>
        <v>0</v>
      </c>
      <c r="BA145" s="395"/>
      <c r="BB145" s="396"/>
      <c r="BC145" s="397"/>
      <c r="BD145" s="398">
        <f t="shared" si="239"/>
        <v>4</v>
      </c>
      <c r="BE145" s="531">
        <f t="shared" si="240"/>
        <v>2</v>
      </c>
      <c r="BF145" s="579">
        <v>1</v>
      </c>
      <c r="BG145" s="579">
        <v>1</v>
      </c>
      <c r="BH145" s="580">
        <v>2</v>
      </c>
      <c r="BI145" s="402">
        <f t="shared" si="277"/>
        <v>7</v>
      </c>
      <c r="BJ145" s="403">
        <v>4</v>
      </c>
      <c r="BK145" s="403">
        <v>3</v>
      </c>
      <c r="BL145" s="534">
        <v>4</v>
      </c>
      <c r="BM145" s="406">
        <f t="shared" si="242"/>
        <v>18</v>
      </c>
      <c r="BN145" s="407">
        <f t="shared" si="261"/>
        <v>15</v>
      </c>
      <c r="BO145" s="12">
        <v>9</v>
      </c>
      <c r="BP145" s="12">
        <v>6</v>
      </c>
      <c r="BQ145" s="12">
        <v>3</v>
      </c>
      <c r="BR145" s="408">
        <f t="shared" si="190"/>
        <v>2.5714285714285716</v>
      </c>
      <c r="BS145" s="409">
        <f t="shared" si="243"/>
        <v>0</v>
      </c>
      <c r="BT145" s="410"/>
      <c r="BU145" s="411"/>
      <c r="BV145" s="438"/>
      <c r="BW145" s="412">
        <f t="shared" si="244"/>
        <v>0</v>
      </c>
    </row>
    <row r="146" spans="1:76" ht="16.899999999999999" customHeight="1" x14ac:dyDescent="0.3">
      <c r="A146" s="8" t="s">
        <v>195</v>
      </c>
      <c r="B146" s="9" t="s">
        <v>45</v>
      </c>
      <c r="C146" s="14" t="s">
        <v>104</v>
      </c>
      <c r="D146" s="40" t="s">
        <v>204</v>
      </c>
      <c r="E146" s="15" t="s">
        <v>103</v>
      </c>
      <c r="F146" s="59">
        <v>25</v>
      </c>
      <c r="G146" s="369">
        <f t="shared" si="265"/>
        <v>0</v>
      </c>
      <c r="H146" s="370">
        <v>25</v>
      </c>
      <c r="I146" s="371">
        <v>17</v>
      </c>
      <c r="J146" s="371">
        <v>8</v>
      </c>
      <c r="K146" s="372">
        <v>5</v>
      </c>
      <c r="L146" s="373">
        <f t="shared" si="266"/>
        <v>0</v>
      </c>
      <c r="M146" s="373">
        <f t="shared" si="267"/>
        <v>0</v>
      </c>
      <c r="N146" s="374">
        <f t="shared" si="268"/>
        <v>0</v>
      </c>
      <c r="O146" s="374">
        <f t="shared" si="268"/>
        <v>0</v>
      </c>
      <c r="P146" s="375">
        <f t="shared" si="268"/>
        <v>0</v>
      </c>
      <c r="Q146" s="376">
        <f t="shared" si="269"/>
        <v>0</v>
      </c>
      <c r="R146" s="374">
        <f t="shared" si="270"/>
        <v>0</v>
      </c>
      <c r="S146" s="377"/>
      <c r="T146" s="377"/>
      <c r="U146" s="377"/>
      <c r="V146" s="378">
        <f t="shared" si="229"/>
        <v>0</v>
      </c>
      <c r="W146" s="379">
        <v>94.7</v>
      </c>
      <c r="X146" s="380"/>
      <c r="Y146" s="376">
        <f t="shared" si="271"/>
        <v>0</v>
      </c>
      <c r="Z146" s="374">
        <f t="shared" si="272"/>
        <v>0</v>
      </c>
      <c r="AA146" s="381"/>
      <c r="AB146" s="381"/>
      <c r="AC146" s="382"/>
      <c r="AD146" s="376">
        <f t="shared" si="273"/>
        <v>0</v>
      </c>
      <c r="AE146" s="374">
        <f t="shared" si="274"/>
        <v>0</v>
      </c>
      <c r="AF146" s="381"/>
      <c r="AG146" s="381"/>
      <c r="AH146" s="383"/>
      <c r="AI146" s="384">
        <f t="shared" si="275"/>
        <v>0</v>
      </c>
      <c r="AJ146" s="385"/>
      <c r="AK146" s="581"/>
      <c r="AL146" s="582"/>
      <c r="AM146" s="434">
        <f t="shared" si="258"/>
        <v>0</v>
      </c>
      <c r="AN146" s="389"/>
      <c r="AO146" s="390"/>
      <c r="AP146" s="390"/>
      <c r="AQ146" s="390"/>
      <c r="AR146" s="346" t="e">
        <f t="shared" si="259"/>
        <v>#DIV/0!</v>
      </c>
      <c r="AS146" s="436"/>
      <c r="AT146" s="392">
        <v>14</v>
      </c>
      <c r="AU146" s="48"/>
      <c r="AV146" s="48"/>
      <c r="AW146" s="52"/>
      <c r="AX146" s="393" t="e">
        <f t="shared" si="260"/>
        <v>#DIV/0!</v>
      </c>
      <c r="AY146" s="77">
        <v>177</v>
      </c>
      <c r="AZ146" s="394">
        <f t="shared" si="276"/>
        <v>0</v>
      </c>
      <c r="BA146" s="395"/>
      <c r="BB146" s="396"/>
      <c r="BC146" s="397"/>
      <c r="BD146" s="398">
        <f t="shared" si="239"/>
        <v>3</v>
      </c>
      <c r="BE146" s="531">
        <f t="shared" si="240"/>
        <v>1</v>
      </c>
      <c r="BF146" s="579">
        <v>3</v>
      </c>
      <c r="BG146" s="579">
        <v>-2</v>
      </c>
      <c r="BH146" s="580">
        <v>2</v>
      </c>
      <c r="BI146" s="402">
        <f t="shared" si="277"/>
        <v>6</v>
      </c>
      <c r="BJ146" s="403">
        <v>4</v>
      </c>
      <c r="BK146" s="403">
        <v>2</v>
      </c>
      <c r="BL146" s="534">
        <v>4</v>
      </c>
      <c r="BM146" s="406">
        <f t="shared" si="242"/>
        <v>15</v>
      </c>
      <c r="BN146" s="407">
        <f t="shared" si="261"/>
        <v>13</v>
      </c>
      <c r="BO146" s="12">
        <v>11</v>
      </c>
      <c r="BP146" s="12">
        <v>2</v>
      </c>
      <c r="BQ146" s="12">
        <v>2</v>
      </c>
      <c r="BR146" s="408">
        <f t="shared" si="190"/>
        <v>2.5</v>
      </c>
      <c r="BS146" s="409">
        <f t="shared" si="243"/>
        <v>0</v>
      </c>
      <c r="BT146" s="410"/>
      <c r="BU146" s="411"/>
      <c r="BV146" s="438"/>
      <c r="BW146" s="412">
        <f t="shared" si="244"/>
        <v>0</v>
      </c>
    </row>
    <row r="147" spans="1:76" ht="16.899999999999999" customHeight="1" x14ac:dyDescent="0.3">
      <c r="A147" s="8" t="s">
        <v>195</v>
      </c>
      <c r="B147" s="9" t="s">
        <v>45</v>
      </c>
      <c r="C147" s="14" t="s">
        <v>115</v>
      </c>
      <c r="D147" s="40" t="s">
        <v>116</v>
      </c>
      <c r="E147" s="15" t="s">
        <v>103</v>
      </c>
      <c r="F147" s="59">
        <v>50</v>
      </c>
      <c r="G147" s="369">
        <f t="shared" si="265"/>
        <v>0</v>
      </c>
      <c r="H147" s="370">
        <v>50</v>
      </c>
      <c r="I147" s="371">
        <v>34</v>
      </c>
      <c r="J147" s="371">
        <v>16</v>
      </c>
      <c r="K147" s="372">
        <v>10</v>
      </c>
      <c r="L147" s="373">
        <f t="shared" si="266"/>
        <v>0</v>
      </c>
      <c r="M147" s="373">
        <f t="shared" si="267"/>
        <v>0</v>
      </c>
      <c r="N147" s="374">
        <f t="shared" si="268"/>
        <v>0</v>
      </c>
      <c r="O147" s="374">
        <f t="shared" si="268"/>
        <v>0</v>
      </c>
      <c r="P147" s="375">
        <f t="shared" si="268"/>
        <v>0</v>
      </c>
      <c r="Q147" s="376">
        <f t="shared" si="269"/>
        <v>0</v>
      </c>
      <c r="R147" s="374">
        <f t="shared" si="270"/>
        <v>0</v>
      </c>
      <c r="S147" s="377"/>
      <c r="T147" s="377"/>
      <c r="U147" s="377"/>
      <c r="V147" s="378">
        <f t="shared" si="229"/>
        <v>0</v>
      </c>
      <c r="W147" s="379">
        <v>86.1</v>
      </c>
      <c r="X147" s="380"/>
      <c r="Y147" s="376">
        <f t="shared" si="271"/>
        <v>0</v>
      </c>
      <c r="Z147" s="374">
        <f t="shared" si="272"/>
        <v>0</v>
      </c>
      <c r="AA147" s="381"/>
      <c r="AB147" s="381"/>
      <c r="AC147" s="382"/>
      <c r="AD147" s="376">
        <f t="shared" si="273"/>
        <v>0</v>
      </c>
      <c r="AE147" s="374">
        <f t="shared" si="274"/>
        <v>0</v>
      </c>
      <c r="AF147" s="381"/>
      <c r="AG147" s="381"/>
      <c r="AH147" s="383"/>
      <c r="AI147" s="384">
        <f t="shared" si="275"/>
        <v>0</v>
      </c>
      <c r="AJ147" s="385"/>
      <c r="AK147" s="581"/>
      <c r="AL147" s="582"/>
      <c r="AM147" s="434">
        <f t="shared" si="258"/>
        <v>0</v>
      </c>
      <c r="AN147" s="389"/>
      <c r="AO147" s="390"/>
      <c r="AP147" s="390"/>
      <c r="AQ147" s="390"/>
      <c r="AR147" s="346" t="e">
        <f t="shared" si="259"/>
        <v>#DIV/0!</v>
      </c>
      <c r="AS147" s="436"/>
      <c r="AT147" s="392">
        <v>40</v>
      </c>
      <c r="AU147" s="48"/>
      <c r="AV147" s="48"/>
      <c r="AW147" s="52"/>
      <c r="AX147" s="393" t="e">
        <f t="shared" si="260"/>
        <v>#DIV/0!</v>
      </c>
      <c r="AY147" s="77">
        <v>385</v>
      </c>
      <c r="AZ147" s="394">
        <f t="shared" si="276"/>
        <v>0</v>
      </c>
      <c r="BA147" s="395"/>
      <c r="BB147" s="396"/>
      <c r="BC147" s="397"/>
      <c r="BD147" s="398">
        <f t="shared" si="239"/>
        <v>9</v>
      </c>
      <c r="BE147" s="531">
        <f t="shared" si="240"/>
        <v>4</v>
      </c>
      <c r="BF147" s="579">
        <v>2</v>
      </c>
      <c r="BG147" s="579">
        <v>2</v>
      </c>
      <c r="BH147" s="580">
        <v>5</v>
      </c>
      <c r="BI147" s="402">
        <f t="shared" si="277"/>
        <v>9</v>
      </c>
      <c r="BJ147" s="403">
        <v>5</v>
      </c>
      <c r="BK147" s="403">
        <v>4</v>
      </c>
      <c r="BL147" s="534">
        <v>6</v>
      </c>
      <c r="BM147" s="406">
        <f t="shared" si="242"/>
        <v>27</v>
      </c>
      <c r="BN147" s="407">
        <f t="shared" si="261"/>
        <v>22</v>
      </c>
      <c r="BO147" s="12">
        <v>17</v>
      </c>
      <c r="BP147" s="12">
        <v>5</v>
      </c>
      <c r="BQ147" s="12">
        <v>5</v>
      </c>
      <c r="BR147" s="408">
        <f t="shared" si="190"/>
        <v>3</v>
      </c>
      <c r="BS147" s="409">
        <f t="shared" si="243"/>
        <v>0</v>
      </c>
      <c r="BT147" s="410"/>
      <c r="BU147" s="411"/>
      <c r="BV147" s="438"/>
      <c r="BW147" s="412">
        <f t="shared" si="244"/>
        <v>0</v>
      </c>
    </row>
    <row r="148" spans="1:76" ht="16.899999999999999" customHeight="1" x14ac:dyDescent="0.3">
      <c r="A148" s="4" t="s">
        <v>195</v>
      </c>
      <c r="B148" s="5" t="s">
        <v>46</v>
      </c>
      <c r="C148" s="19"/>
      <c r="D148" s="27" t="s">
        <v>21</v>
      </c>
      <c r="E148" s="20"/>
      <c r="F148" s="58">
        <f t="shared" ref="F148:K148" si="278">F149</f>
        <v>25</v>
      </c>
      <c r="G148" s="7">
        <f t="shared" si="278"/>
        <v>0</v>
      </c>
      <c r="H148" s="7">
        <f t="shared" si="278"/>
        <v>25</v>
      </c>
      <c r="I148" s="67">
        <f t="shared" si="278"/>
        <v>17</v>
      </c>
      <c r="J148" s="67">
        <f t="shared" si="278"/>
        <v>8</v>
      </c>
      <c r="K148" s="70">
        <f t="shared" si="278"/>
        <v>5</v>
      </c>
      <c r="L148" s="413">
        <f t="shared" ref="L148:U148" si="279">SUM(L149)</f>
        <v>0</v>
      </c>
      <c r="M148" s="413">
        <f t="shared" si="279"/>
        <v>0</v>
      </c>
      <c r="N148" s="413">
        <f t="shared" si="279"/>
        <v>0</v>
      </c>
      <c r="O148" s="413">
        <f t="shared" si="279"/>
        <v>0</v>
      </c>
      <c r="P148" s="414">
        <f t="shared" si="279"/>
        <v>0</v>
      </c>
      <c r="Q148" s="415">
        <f t="shared" si="279"/>
        <v>0</v>
      </c>
      <c r="R148" s="416">
        <f t="shared" si="279"/>
        <v>0</v>
      </c>
      <c r="S148" s="416">
        <f t="shared" si="279"/>
        <v>0</v>
      </c>
      <c r="T148" s="416">
        <f t="shared" si="279"/>
        <v>0</v>
      </c>
      <c r="U148" s="416">
        <f t="shared" si="279"/>
        <v>0</v>
      </c>
      <c r="V148" s="334">
        <f t="shared" si="229"/>
        <v>0</v>
      </c>
      <c r="W148" s="335">
        <f t="shared" ref="W148:AI148" si="280">SUM(W149)</f>
        <v>67.3</v>
      </c>
      <c r="X148" s="413">
        <f t="shared" si="280"/>
        <v>0</v>
      </c>
      <c r="Y148" s="415">
        <f t="shared" si="280"/>
        <v>0</v>
      </c>
      <c r="Z148" s="416">
        <f t="shared" si="280"/>
        <v>0</v>
      </c>
      <c r="AA148" s="416">
        <f t="shared" si="280"/>
        <v>0</v>
      </c>
      <c r="AB148" s="416">
        <f t="shared" si="280"/>
        <v>0</v>
      </c>
      <c r="AC148" s="417">
        <f t="shared" si="280"/>
        <v>0</v>
      </c>
      <c r="AD148" s="415">
        <f t="shared" si="280"/>
        <v>0</v>
      </c>
      <c r="AE148" s="416">
        <f t="shared" si="280"/>
        <v>0</v>
      </c>
      <c r="AF148" s="416">
        <f t="shared" si="280"/>
        <v>0</v>
      </c>
      <c r="AG148" s="416">
        <f t="shared" si="280"/>
        <v>0</v>
      </c>
      <c r="AH148" s="418">
        <f t="shared" si="280"/>
        <v>0</v>
      </c>
      <c r="AI148" s="518">
        <f t="shared" si="280"/>
        <v>0</v>
      </c>
      <c r="AJ148" s="522"/>
      <c r="AK148" s="525"/>
      <c r="AL148" s="583"/>
      <c r="AM148" s="420">
        <f t="shared" si="258"/>
        <v>0</v>
      </c>
      <c r="AN148" s="344"/>
      <c r="AO148" s="584"/>
      <c r="AP148" s="584"/>
      <c r="AQ148" s="520"/>
      <c r="AR148" s="346" t="e">
        <f t="shared" si="259"/>
        <v>#DIV/0!</v>
      </c>
      <c r="AS148" s="424">
        <v>1.333</v>
      </c>
      <c r="AT148" s="521">
        <f>SUM(AT149)</f>
        <v>10</v>
      </c>
      <c r="AU148" s="522"/>
      <c r="AV148" s="520"/>
      <c r="AW148" s="523"/>
      <c r="AX148" s="352" t="e">
        <f t="shared" si="260"/>
        <v>#DIV/0!</v>
      </c>
      <c r="AY148" s="427">
        <v>0.46700000000000003</v>
      </c>
      <c r="AZ148" s="524">
        <f>SUM(AZ149)</f>
        <v>0</v>
      </c>
      <c r="BA148" s="520"/>
      <c r="BB148" s="520"/>
      <c r="BC148" s="525"/>
      <c r="BD148" s="522">
        <f t="shared" ref="BD148:BM148" si="281">SUM(BD149)</f>
        <v>7</v>
      </c>
      <c r="BE148" s="520">
        <f t="shared" si="281"/>
        <v>5</v>
      </c>
      <c r="BF148" s="520">
        <f t="shared" si="281"/>
        <v>3</v>
      </c>
      <c r="BG148" s="520">
        <f t="shared" si="281"/>
        <v>2</v>
      </c>
      <c r="BH148" s="523">
        <f t="shared" si="281"/>
        <v>2</v>
      </c>
      <c r="BI148" s="526">
        <f t="shared" si="281"/>
        <v>10</v>
      </c>
      <c r="BJ148" s="520">
        <f t="shared" si="281"/>
        <v>6</v>
      </c>
      <c r="BK148" s="520">
        <f t="shared" si="281"/>
        <v>4</v>
      </c>
      <c r="BL148" s="527">
        <f t="shared" si="281"/>
        <v>4</v>
      </c>
      <c r="BM148" s="528">
        <f t="shared" si="281"/>
        <v>10</v>
      </c>
      <c r="BN148" s="356">
        <f t="shared" si="261"/>
        <v>10</v>
      </c>
      <c r="BO148" s="520">
        <f t="shared" ref="BO148:BW148" si="282">SUM(BO149)</f>
        <v>6</v>
      </c>
      <c r="BP148" s="520">
        <f t="shared" si="282"/>
        <v>4</v>
      </c>
      <c r="BQ148" s="520">
        <f t="shared" si="282"/>
        <v>0</v>
      </c>
      <c r="BR148" s="525">
        <f t="shared" si="282"/>
        <v>1</v>
      </c>
      <c r="BS148" s="522">
        <f t="shared" si="282"/>
        <v>0</v>
      </c>
      <c r="BT148" s="520">
        <f t="shared" si="282"/>
        <v>0</v>
      </c>
      <c r="BU148" s="520">
        <f t="shared" si="282"/>
        <v>0</v>
      </c>
      <c r="BV148" s="520">
        <f t="shared" si="282"/>
        <v>0</v>
      </c>
      <c r="BW148" s="583">
        <f t="shared" si="282"/>
        <v>0</v>
      </c>
      <c r="BX148" t="s">
        <v>46</v>
      </c>
    </row>
    <row r="149" spans="1:76" ht="16.899999999999999" customHeight="1" x14ac:dyDescent="0.3">
      <c r="A149" s="8" t="s">
        <v>195</v>
      </c>
      <c r="B149" s="9" t="s">
        <v>46</v>
      </c>
      <c r="C149" s="14" t="s">
        <v>122</v>
      </c>
      <c r="D149" s="44" t="s">
        <v>205</v>
      </c>
      <c r="E149" s="15" t="s">
        <v>103</v>
      </c>
      <c r="F149" s="59">
        <v>25</v>
      </c>
      <c r="G149" s="369">
        <f>L149/F149</f>
        <v>0</v>
      </c>
      <c r="H149" s="553">
        <v>25</v>
      </c>
      <c r="I149" s="371">
        <v>17</v>
      </c>
      <c r="J149" s="371">
        <v>8</v>
      </c>
      <c r="K149" s="554">
        <v>5</v>
      </c>
      <c r="L149" s="373">
        <f>N149+O149+P149</f>
        <v>0</v>
      </c>
      <c r="M149" s="373">
        <f>N149+O149</f>
        <v>0</v>
      </c>
      <c r="N149" s="374">
        <f>AA149+AF149</f>
        <v>0</v>
      </c>
      <c r="O149" s="374">
        <f>AB149+AG149</f>
        <v>0</v>
      </c>
      <c r="P149" s="375">
        <f>AC149+AH149</f>
        <v>0</v>
      </c>
      <c r="Q149" s="376">
        <f>R149+U149</f>
        <v>0</v>
      </c>
      <c r="R149" s="374">
        <f>S149+T149</f>
        <v>0</v>
      </c>
      <c r="S149" s="377"/>
      <c r="T149" s="377"/>
      <c r="U149" s="377"/>
      <c r="V149" s="378">
        <f t="shared" si="229"/>
        <v>0</v>
      </c>
      <c r="W149" s="379">
        <v>67.3</v>
      </c>
      <c r="X149" s="380"/>
      <c r="Y149" s="376">
        <f>Z149+AC149</f>
        <v>0</v>
      </c>
      <c r="Z149" s="374">
        <f>AA149+AB149</f>
        <v>0</v>
      </c>
      <c r="AA149" s="381"/>
      <c r="AB149" s="381"/>
      <c r="AC149" s="382"/>
      <c r="AD149" s="376">
        <f>AE149+AH149</f>
        <v>0</v>
      </c>
      <c r="AE149" s="374">
        <f>AF149+AG149</f>
        <v>0</v>
      </c>
      <c r="AF149" s="381"/>
      <c r="AG149" s="381"/>
      <c r="AH149" s="383"/>
      <c r="AI149" s="384">
        <f>AJ149+AK149</f>
        <v>0</v>
      </c>
      <c r="AJ149" s="385"/>
      <c r="AK149" s="581"/>
      <c r="AL149" s="582"/>
      <c r="AM149" s="434">
        <f t="shared" si="258"/>
        <v>0</v>
      </c>
      <c r="AN149" s="389"/>
      <c r="AO149" s="585"/>
      <c r="AP149" s="585"/>
      <c r="AQ149" s="390"/>
      <c r="AR149" s="346" t="e">
        <f t="shared" si="259"/>
        <v>#DIV/0!</v>
      </c>
      <c r="AS149" s="436"/>
      <c r="AT149" s="392">
        <v>10</v>
      </c>
      <c r="AU149" s="48"/>
      <c r="AV149" s="48"/>
      <c r="AW149" s="52"/>
      <c r="AX149" s="393" t="e">
        <f t="shared" si="260"/>
        <v>#DIV/0!</v>
      </c>
      <c r="AY149" s="77">
        <v>136</v>
      </c>
      <c r="AZ149" s="394">
        <f>BA149+BB149</f>
        <v>0</v>
      </c>
      <c r="BA149" s="395"/>
      <c r="BB149" s="396"/>
      <c r="BC149" s="397"/>
      <c r="BD149" s="398">
        <f t="shared" ref="BD149:BD186" si="283">BE149+BH149</f>
        <v>7</v>
      </c>
      <c r="BE149" s="399">
        <f t="shared" ref="BE149:BE186" si="284">BF149+BG149</f>
        <v>5</v>
      </c>
      <c r="BF149" s="577">
        <v>3</v>
      </c>
      <c r="BG149" s="577">
        <v>2</v>
      </c>
      <c r="BH149" s="578">
        <v>2</v>
      </c>
      <c r="BI149" s="402">
        <f>SUM(BJ149:BK149)</f>
        <v>10</v>
      </c>
      <c r="BJ149" s="403">
        <v>6</v>
      </c>
      <c r="BK149" s="403">
        <v>4</v>
      </c>
      <c r="BL149" s="534">
        <v>4</v>
      </c>
      <c r="BM149" s="406">
        <f t="shared" ref="BM149:BM186" si="285">BN149+BQ149</f>
        <v>10</v>
      </c>
      <c r="BN149" s="407">
        <f t="shared" si="261"/>
        <v>10</v>
      </c>
      <c r="BO149" s="12">
        <v>6</v>
      </c>
      <c r="BP149" s="12">
        <v>4</v>
      </c>
      <c r="BQ149" s="12">
        <v>0</v>
      </c>
      <c r="BR149" s="408">
        <f t="shared" ref="BR149:BR180" si="286">BM149/BI149</f>
        <v>1</v>
      </c>
      <c r="BS149" s="409">
        <f t="shared" ref="BS149:BS186" si="287">BT149+BU149+BV149</f>
        <v>0</v>
      </c>
      <c r="BT149" s="410"/>
      <c r="BU149" s="411"/>
      <c r="BV149" s="438"/>
      <c r="BW149" s="412">
        <f t="shared" ref="BW149:BW186" si="288">BS149/BI149</f>
        <v>0</v>
      </c>
    </row>
    <row r="150" spans="1:76" ht="16.899999999999999" customHeight="1" x14ac:dyDescent="0.3">
      <c r="A150" s="4" t="s">
        <v>195</v>
      </c>
      <c r="B150" s="5" t="s">
        <v>47</v>
      </c>
      <c r="C150" s="19"/>
      <c r="D150" s="27" t="s">
        <v>21</v>
      </c>
      <c r="E150" s="20"/>
      <c r="F150" s="58">
        <f t="shared" ref="F150:AI150" si="289">SUM(F151:F154)</f>
        <v>100</v>
      </c>
      <c r="G150" s="7">
        <f t="shared" si="289"/>
        <v>0</v>
      </c>
      <c r="H150" s="7">
        <f t="shared" si="289"/>
        <v>100</v>
      </c>
      <c r="I150" s="67">
        <f t="shared" si="289"/>
        <v>67</v>
      </c>
      <c r="J150" s="67">
        <f t="shared" si="289"/>
        <v>33</v>
      </c>
      <c r="K150" s="70">
        <f t="shared" si="289"/>
        <v>20</v>
      </c>
      <c r="L150" s="7">
        <f t="shared" si="289"/>
        <v>0</v>
      </c>
      <c r="M150" s="7">
        <f t="shared" si="289"/>
        <v>0</v>
      </c>
      <c r="N150" s="7">
        <f t="shared" si="289"/>
        <v>0</v>
      </c>
      <c r="O150" s="7">
        <f t="shared" si="289"/>
        <v>0</v>
      </c>
      <c r="P150" s="7">
        <f t="shared" si="289"/>
        <v>0</v>
      </c>
      <c r="Q150" s="7">
        <f t="shared" si="289"/>
        <v>0</v>
      </c>
      <c r="R150" s="7">
        <f t="shared" si="289"/>
        <v>0</v>
      </c>
      <c r="S150" s="7">
        <f t="shared" si="289"/>
        <v>0</v>
      </c>
      <c r="T150" s="7">
        <f t="shared" si="289"/>
        <v>0</v>
      </c>
      <c r="U150" s="7">
        <f t="shared" si="289"/>
        <v>0</v>
      </c>
      <c r="V150" s="7">
        <f t="shared" si="289"/>
        <v>0</v>
      </c>
      <c r="W150" s="7">
        <f t="shared" si="289"/>
        <v>350.79999999999995</v>
      </c>
      <c r="X150" s="7">
        <f t="shared" si="289"/>
        <v>0</v>
      </c>
      <c r="Y150" s="7">
        <f t="shared" si="289"/>
        <v>0</v>
      </c>
      <c r="Z150" s="7">
        <f t="shared" si="289"/>
        <v>0</v>
      </c>
      <c r="AA150" s="7">
        <f t="shared" si="289"/>
        <v>0</v>
      </c>
      <c r="AB150" s="7">
        <f t="shared" si="289"/>
        <v>0</v>
      </c>
      <c r="AC150" s="7">
        <f t="shared" si="289"/>
        <v>0</v>
      </c>
      <c r="AD150" s="7">
        <f t="shared" si="289"/>
        <v>0</v>
      </c>
      <c r="AE150" s="7">
        <f t="shared" si="289"/>
        <v>0</v>
      </c>
      <c r="AF150" s="7">
        <f t="shared" si="289"/>
        <v>0</v>
      </c>
      <c r="AG150" s="7">
        <f t="shared" si="289"/>
        <v>0</v>
      </c>
      <c r="AH150" s="7">
        <f t="shared" si="289"/>
        <v>0</v>
      </c>
      <c r="AI150" s="419">
        <f t="shared" si="289"/>
        <v>0</v>
      </c>
      <c r="AJ150" s="420"/>
      <c r="AK150" s="586"/>
      <c r="AL150" s="587"/>
      <c r="AM150" s="420">
        <f t="shared" si="258"/>
        <v>0</v>
      </c>
      <c r="AN150" s="344"/>
      <c r="AO150" s="423"/>
      <c r="AP150" s="423"/>
      <c r="AQ150" s="423"/>
      <c r="AR150" s="346" t="e">
        <f t="shared" si="259"/>
        <v>#DIV/0!</v>
      </c>
      <c r="AS150" s="424">
        <v>1.0760000000000001</v>
      </c>
      <c r="AT150" s="552">
        <f>SUM(AT151:AT154)</f>
        <v>29</v>
      </c>
      <c r="AU150" s="356"/>
      <c r="AV150" s="356"/>
      <c r="AW150" s="588"/>
      <c r="AX150" s="352" t="e">
        <f t="shared" si="260"/>
        <v>#DIV/0!</v>
      </c>
      <c r="AY150" s="449">
        <v>0.57599999999999996</v>
      </c>
      <c r="AZ150" s="589">
        <f>SUM(AZ151:AZ154)</f>
        <v>0</v>
      </c>
      <c r="BA150" s="562"/>
      <c r="BB150" s="562"/>
      <c r="BC150" s="590"/>
      <c r="BD150" s="356">
        <f t="shared" si="283"/>
        <v>45</v>
      </c>
      <c r="BE150" s="356">
        <f t="shared" si="284"/>
        <v>36</v>
      </c>
      <c r="BF150" s="357">
        <f t="shared" ref="BF150:BL150" si="290">SUM(BF151:BF154)</f>
        <v>24</v>
      </c>
      <c r="BG150" s="357">
        <f t="shared" si="290"/>
        <v>12</v>
      </c>
      <c r="BH150" s="358">
        <f t="shared" si="290"/>
        <v>9</v>
      </c>
      <c r="BI150" s="591">
        <f t="shared" si="290"/>
        <v>54</v>
      </c>
      <c r="BJ150" s="357">
        <f t="shared" si="290"/>
        <v>35</v>
      </c>
      <c r="BK150" s="356">
        <f t="shared" si="290"/>
        <v>19</v>
      </c>
      <c r="BL150" s="592">
        <f t="shared" si="290"/>
        <v>16</v>
      </c>
      <c r="BM150" s="363">
        <f t="shared" si="285"/>
        <v>37</v>
      </c>
      <c r="BN150" s="356">
        <f t="shared" si="261"/>
        <v>37</v>
      </c>
      <c r="BO150" s="357">
        <f>SUM(BO151:BO154)</f>
        <v>29</v>
      </c>
      <c r="BP150" s="357">
        <f>SUM(BP151:BP154)</f>
        <v>8</v>
      </c>
      <c r="BQ150" s="357">
        <f>SUM(BQ151:BQ154)</f>
        <v>0</v>
      </c>
      <c r="BR150" s="593">
        <f t="shared" si="286"/>
        <v>0.68518518518518523</v>
      </c>
      <c r="BS150" s="594">
        <f t="shared" si="287"/>
        <v>0</v>
      </c>
      <c r="BT150" s="595">
        <f>SUM(BT151:BT154)</f>
        <v>0</v>
      </c>
      <c r="BU150" s="595">
        <f>SUM(BU151:BU154)</f>
        <v>0</v>
      </c>
      <c r="BV150" s="595">
        <f>SUM(BV151:BV154)</f>
        <v>0</v>
      </c>
      <c r="BW150" s="596">
        <f t="shared" si="288"/>
        <v>0</v>
      </c>
      <c r="BX150" t="s">
        <v>206</v>
      </c>
    </row>
    <row r="151" spans="1:76" ht="16.899999999999999" customHeight="1" x14ac:dyDescent="0.3">
      <c r="A151" s="8" t="s">
        <v>195</v>
      </c>
      <c r="B151" s="9" t="s">
        <v>47</v>
      </c>
      <c r="C151" s="14" t="s">
        <v>104</v>
      </c>
      <c r="D151" s="40" t="s">
        <v>207</v>
      </c>
      <c r="E151" s="15" t="s">
        <v>103</v>
      </c>
      <c r="F151" s="59">
        <v>25</v>
      </c>
      <c r="G151" s="369">
        <f>L151/F151</f>
        <v>0</v>
      </c>
      <c r="H151" s="553">
        <v>25</v>
      </c>
      <c r="I151" s="371">
        <v>17</v>
      </c>
      <c r="J151" s="371">
        <v>8</v>
      </c>
      <c r="K151" s="554">
        <v>5</v>
      </c>
      <c r="L151" s="373">
        <f>N151+O151+P151</f>
        <v>0</v>
      </c>
      <c r="M151" s="373">
        <f>N151+O151</f>
        <v>0</v>
      </c>
      <c r="N151" s="374">
        <f t="shared" ref="N151:P154" si="291">AA151+AF151</f>
        <v>0</v>
      </c>
      <c r="O151" s="374">
        <f t="shared" si="291"/>
        <v>0</v>
      </c>
      <c r="P151" s="375">
        <f t="shared" si="291"/>
        <v>0</v>
      </c>
      <c r="Q151" s="376">
        <f>R151+U151</f>
        <v>0</v>
      </c>
      <c r="R151" s="374">
        <f>S151+T151</f>
        <v>0</v>
      </c>
      <c r="S151" s="377"/>
      <c r="T151" s="377"/>
      <c r="U151" s="377"/>
      <c r="V151" s="378">
        <f t="shared" ref="V151:V178" si="292">Q151/H151</f>
        <v>0</v>
      </c>
      <c r="W151" s="379">
        <v>86.6</v>
      </c>
      <c r="X151" s="380"/>
      <c r="Y151" s="376">
        <f>Z151+AC151</f>
        <v>0</v>
      </c>
      <c r="Z151" s="374">
        <f>AA151+AB151</f>
        <v>0</v>
      </c>
      <c r="AA151" s="381"/>
      <c r="AB151" s="381"/>
      <c r="AC151" s="382"/>
      <c r="AD151" s="376">
        <f>AE151+AH151</f>
        <v>0</v>
      </c>
      <c r="AE151" s="374">
        <f>AF151+AG151</f>
        <v>0</v>
      </c>
      <c r="AF151" s="381"/>
      <c r="AG151" s="381"/>
      <c r="AH151" s="383"/>
      <c r="AI151" s="384">
        <f>AJ151+AK151</f>
        <v>0</v>
      </c>
      <c r="AJ151" s="385"/>
      <c r="AK151" s="581"/>
      <c r="AL151" s="582"/>
      <c r="AM151" s="434">
        <f t="shared" si="258"/>
        <v>0</v>
      </c>
      <c r="AN151" s="389"/>
      <c r="AO151" s="390"/>
      <c r="AP151" s="390"/>
      <c r="AQ151" s="390"/>
      <c r="AR151" s="346" t="e">
        <f t="shared" si="259"/>
        <v>#DIV/0!</v>
      </c>
      <c r="AS151" s="436"/>
      <c r="AT151" s="392">
        <v>7</v>
      </c>
      <c r="AU151" s="48"/>
      <c r="AV151" s="48"/>
      <c r="AW151" s="52"/>
      <c r="AX151" s="393" t="e">
        <f t="shared" si="260"/>
        <v>#DIV/0!</v>
      </c>
      <c r="AY151" s="77">
        <v>10</v>
      </c>
      <c r="AZ151" s="394">
        <f>BA151+BB151</f>
        <v>0</v>
      </c>
      <c r="BA151" s="395"/>
      <c r="BB151" s="396"/>
      <c r="BC151" s="397"/>
      <c r="BD151" s="398">
        <f t="shared" si="283"/>
        <v>10</v>
      </c>
      <c r="BE151" s="399">
        <f t="shared" si="284"/>
        <v>8</v>
      </c>
      <c r="BF151" s="577">
        <v>8</v>
      </c>
      <c r="BG151" s="577">
        <v>0</v>
      </c>
      <c r="BH151" s="578">
        <v>2</v>
      </c>
      <c r="BI151" s="402">
        <f>SUM(BJ151:BK151)</f>
        <v>13</v>
      </c>
      <c r="BJ151" s="403">
        <v>11</v>
      </c>
      <c r="BK151" s="403">
        <v>2</v>
      </c>
      <c r="BL151" s="534">
        <v>4</v>
      </c>
      <c r="BM151" s="406">
        <f t="shared" si="285"/>
        <v>17</v>
      </c>
      <c r="BN151" s="407">
        <f t="shared" si="261"/>
        <v>17</v>
      </c>
      <c r="BO151" s="12">
        <v>15</v>
      </c>
      <c r="BP151" s="12">
        <v>2</v>
      </c>
      <c r="BQ151" s="12">
        <v>0</v>
      </c>
      <c r="BR151" s="408">
        <f t="shared" si="286"/>
        <v>1.3076923076923077</v>
      </c>
      <c r="BS151" s="409">
        <f t="shared" si="287"/>
        <v>0</v>
      </c>
      <c r="BT151" s="410"/>
      <c r="BU151" s="411"/>
      <c r="BV151" s="438"/>
      <c r="BW151" s="412">
        <f t="shared" si="288"/>
        <v>0</v>
      </c>
    </row>
    <row r="152" spans="1:76" ht="16.899999999999999" customHeight="1" x14ac:dyDescent="0.3">
      <c r="A152" s="8" t="s">
        <v>195</v>
      </c>
      <c r="B152" s="9" t="s">
        <v>47</v>
      </c>
      <c r="C152" s="14" t="s">
        <v>53</v>
      </c>
      <c r="D152" s="40" t="s">
        <v>208</v>
      </c>
      <c r="E152" s="15" t="s">
        <v>103</v>
      </c>
      <c r="F152" s="59">
        <v>25</v>
      </c>
      <c r="G152" s="369">
        <f>L152/F152</f>
        <v>0</v>
      </c>
      <c r="H152" s="553">
        <v>25</v>
      </c>
      <c r="I152" s="371">
        <v>17</v>
      </c>
      <c r="J152" s="371">
        <v>8</v>
      </c>
      <c r="K152" s="554">
        <v>5</v>
      </c>
      <c r="L152" s="373">
        <f>N152+O152+P152</f>
        <v>0</v>
      </c>
      <c r="M152" s="373">
        <f>N152+O152</f>
        <v>0</v>
      </c>
      <c r="N152" s="374">
        <f t="shared" si="291"/>
        <v>0</v>
      </c>
      <c r="O152" s="374">
        <f t="shared" si="291"/>
        <v>0</v>
      </c>
      <c r="P152" s="375">
        <f t="shared" si="291"/>
        <v>0</v>
      </c>
      <c r="Q152" s="376">
        <f>R152+U152</f>
        <v>0</v>
      </c>
      <c r="R152" s="374">
        <f>S152+T152</f>
        <v>0</v>
      </c>
      <c r="S152" s="377"/>
      <c r="T152" s="377"/>
      <c r="U152" s="377"/>
      <c r="V152" s="378">
        <f t="shared" si="292"/>
        <v>0</v>
      </c>
      <c r="W152" s="379">
        <v>82.4</v>
      </c>
      <c r="X152" s="380"/>
      <c r="Y152" s="376">
        <f>Z152+AC152</f>
        <v>0</v>
      </c>
      <c r="Z152" s="374">
        <f>AA152+AB152</f>
        <v>0</v>
      </c>
      <c r="AA152" s="381"/>
      <c r="AB152" s="381"/>
      <c r="AC152" s="382"/>
      <c r="AD152" s="376">
        <f>AE152+AH152</f>
        <v>0</v>
      </c>
      <c r="AE152" s="374">
        <f>AF152+AG152</f>
        <v>0</v>
      </c>
      <c r="AF152" s="381"/>
      <c r="AG152" s="381"/>
      <c r="AH152" s="383"/>
      <c r="AI152" s="384">
        <f>AJ152+AK152</f>
        <v>0</v>
      </c>
      <c r="AJ152" s="385"/>
      <c r="AK152" s="386"/>
      <c r="AL152" s="387"/>
      <c r="AM152" s="434">
        <f t="shared" si="258"/>
        <v>0</v>
      </c>
      <c r="AN152" s="389"/>
      <c r="AO152" s="390"/>
      <c r="AP152" s="390"/>
      <c r="AQ152" s="390"/>
      <c r="AR152" s="346" t="e">
        <f t="shared" si="259"/>
        <v>#DIV/0!</v>
      </c>
      <c r="AS152" s="436"/>
      <c r="AT152" s="392">
        <v>4</v>
      </c>
      <c r="AU152" s="48"/>
      <c r="AV152" s="48"/>
      <c r="AW152" s="52"/>
      <c r="AX152" s="393" t="e">
        <f t="shared" si="260"/>
        <v>#DIV/0!</v>
      </c>
      <c r="AY152" s="77">
        <v>354</v>
      </c>
      <c r="AZ152" s="394">
        <f>BA152+BB152</f>
        <v>0</v>
      </c>
      <c r="BA152" s="395"/>
      <c r="BB152" s="396"/>
      <c r="BC152" s="397"/>
      <c r="BD152" s="398">
        <f t="shared" si="283"/>
        <v>13</v>
      </c>
      <c r="BE152" s="399">
        <f t="shared" si="284"/>
        <v>11</v>
      </c>
      <c r="BF152" s="577">
        <v>7</v>
      </c>
      <c r="BG152" s="577">
        <v>4</v>
      </c>
      <c r="BH152" s="578">
        <v>2</v>
      </c>
      <c r="BI152" s="402">
        <f>SUM(BJ152:BK152)</f>
        <v>16</v>
      </c>
      <c r="BJ152" s="403">
        <v>10</v>
      </c>
      <c r="BK152" s="403">
        <v>6</v>
      </c>
      <c r="BL152" s="534">
        <v>4</v>
      </c>
      <c r="BM152" s="406">
        <f t="shared" si="285"/>
        <v>4</v>
      </c>
      <c r="BN152" s="407">
        <f t="shared" si="261"/>
        <v>4</v>
      </c>
      <c r="BO152" s="12">
        <v>4</v>
      </c>
      <c r="BP152" s="12">
        <v>0</v>
      </c>
      <c r="BQ152" s="12">
        <v>0</v>
      </c>
      <c r="BR152" s="408">
        <f t="shared" si="286"/>
        <v>0.25</v>
      </c>
      <c r="BS152" s="409">
        <f t="shared" si="287"/>
        <v>0</v>
      </c>
      <c r="BT152" s="410"/>
      <c r="BU152" s="411"/>
      <c r="BV152" s="438"/>
      <c r="BW152" s="412">
        <f t="shared" si="288"/>
        <v>0</v>
      </c>
    </row>
    <row r="153" spans="1:76" ht="16.899999999999999" customHeight="1" x14ac:dyDescent="0.3">
      <c r="A153" s="8" t="s">
        <v>195</v>
      </c>
      <c r="B153" s="9" t="s">
        <v>47</v>
      </c>
      <c r="C153" s="14" t="s">
        <v>127</v>
      </c>
      <c r="D153" s="40" t="s">
        <v>209</v>
      </c>
      <c r="E153" s="15" t="s">
        <v>103</v>
      </c>
      <c r="F153" s="59">
        <v>25</v>
      </c>
      <c r="G153" s="369">
        <f>L153/F153</f>
        <v>0</v>
      </c>
      <c r="H153" s="553">
        <v>25</v>
      </c>
      <c r="I153" s="371">
        <v>17</v>
      </c>
      <c r="J153" s="371">
        <v>8</v>
      </c>
      <c r="K153" s="554">
        <v>5</v>
      </c>
      <c r="L153" s="373">
        <f>N153+O153+P153</f>
        <v>0</v>
      </c>
      <c r="M153" s="373">
        <f>N153+O153</f>
        <v>0</v>
      </c>
      <c r="N153" s="374">
        <f t="shared" si="291"/>
        <v>0</v>
      </c>
      <c r="O153" s="374">
        <f t="shared" si="291"/>
        <v>0</v>
      </c>
      <c r="P153" s="375">
        <f t="shared" si="291"/>
        <v>0</v>
      </c>
      <c r="Q153" s="376">
        <f>R153+U153</f>
        <v>0</v>
      </c>
      <c r="R153" s="374">
        <f>S153+T153</f>
        <v>0</v>
      </c>
      <c r="S153" s="377"/>
      <c r="T153" s="377"/>
      <c r="U153" s="377"/>
      <c r="V153" s="378">
        <f t="shared" si="292"/>
        <v>0</v>
      </c>
      <c r="W153" s="379">
        <v>94.2</v>
      </c>
      <c r="X153" s="380"/>
      <c r="Y153" s="376">
        <f>Z153+AC153</f>
        <v>0</v>
      </c>
      <c r="Z153" s="374">
        <f>AA153+AB153</f>
        <v>0</v>
      </c>
      <c r="AA153" s="381"/>
      <c r="AB153" s="381"/>
      <c r="AC153" s="382"/>
      <c r="AD153" s="376">
        <f>AE153+AH153</f>
        <v>0</v>
      </c>
      <c r="AE153" s="374">
        <f>AF153+AG153</f>
        <v>0</v>
      </c>
      <c r="AF153" s="381"/>
      <c r="AG153" s="381"/>
      <c r="AH153" s="383"/>
      <c r="AI153" s="384">
        <f>AJ153+AK153</f>
        <v>0</v>
      </c>
      <c r="AJ153" s="385"/>
      <c r="AK153" s="386"/>
      <c r="AL153" s="387"/>
      <c r="AM153" s="434">
        <f t="shared" si="258"/>
        <v>0</v>
      </c>
      <c r="AN153" s="389"/>
      <c r="AO153" s="390"/>
      <c r="AP153" s="390"/>
      <c r="AQ153" s="390"/>
      <c r="AR153" s="346" t="e">
        <f t="shared" si="259"/>
        <v>#DIV/0!</v>
      </c>
      <c r="AS153" s="436"/>
      <c r="AT153" s="392">
        <v>6</v>
      </c>
      <c r="AU153" s="48"/>
      <c r="AV153" s="48"/>
      <c r="AW153" s="52"/>
      <c r="AX153" s="393" t="e">
        <f t="shared" si="260"/>
        <v>#DIV/0!</v>
      </c>
      <c r="AY153" s="77">
        <v>313</v>
      </c>
      <c r="AZ153" s="394">
        <f>BA153+BB153</f>
        <v>0</v>
      </c>
      <c r="BA153" s="395"/>
      <c r="BB153" s="396"/>
      <c r="BC153" s="397"/>
      <c r="BD153" s="398">
        <f t="shared" si="283"/>
        <v>11</v>
      </c>
      <c r="BE153" s="399">
        <f t="shared" si="284"/>
        <v>9</v>
      </c>
      <c r="BF153" s="577">
        <v>6</v>
      </c>
      <c r="BG153" s="577">
        <v>3</v>
      </c>
      <c r="BH153" s="578">
        <v>2</v>
      </c>
      <c r="BI153" s="402">
        <f>SUM(BJ153:BK153)</f>
        <v>14</v>
      </c>
      <c r="BJ153" s="403">
        <v>9</v>
      </c>
      <c r="BK153" s="403">
        <v>5</v>
      </c>
      <c r="BL153" s="534">
        <v>4</v>
      </c>
      <c r="BM153" s="406">
        <f t="shared" si="285"/>
        <v>10</v>
      </c>
      <c r="BN153" s="407">
        <f t="shared" si="261"/>
        <v>10</v>
      </c>
      <c r="BO153" s="12">
        <v>5</v>
      </c>
      <c r="BP153" s="12">
        <v>5</v>
      </c>
      <c r="BQ153" s="12">
        <v>0</v>
      </c>
      <c r="BR153" s="408">
        <f t="shared" si="286"/>
        <v>0.7142857142857143</v>
      </c>
      <c r="BS153" s="409">
        <f t="shared" si="287"/>
        <v>0</v>
      </c>
      <c r="BT153" s="410"/>
      <c r="BU153" s="411"/>
      <c r="BV153" s="438"/>
      <c r="BW153" s="412">
        <f t="shared" si="288"/>
        <v>0</v>
      </c>
    </row>
    <row r="154" spans="1:76" ht="16.899999999999999" customHeight="1" x14ac:dyDescent="0.3">
      <c r="A154" s="8" t="s">
        <v>195</v>
      </c>
      <c r="B154" s="9" t="s">
        <v>47</v>
      </c>
      <c r="C154" s="14" t="s">
        <v>127</v>
      </c>
      <c r="D154" s="40" t="s">
        <v>128</v>
      </c>
      <c r="E154" s="15" t="s">
        <v>103</v>
      </c>
      <c r="F154" s="59">
        <v>25</v>
      </c>
      <c r="G154" s="369">
        <f>L154/F154</f>
        <v>0</v>
      </c>
      <c r="H154" s="553">
        <v>25</v>
      </c>
      <c r="I154" s="371">
        <v>16</v>
      </c>
      <c r="J154" s="371">
        <v>9</v>
      </c>
      <c r="K154" s="554">
        <v>5</v>
      </c>
      <c r="L154" s="373">
        <f>N154+O154+P154</f>
        <v>0</v>
      </c>
      <c r="M154" s="373">
        <f>N154+O154</f>
        <v>0</v>
      </c>
      <c r="N154" s="374">
        <f t="shared" si="291"/>
        <v>0</v>
      </c>
      <c r="O154" s="374">
        <f t="shared" si="291"/>
        <v>0</v>
      </c>
      <c r="P154" s="375">
        <f t="shared" si="291"/>
        <v>0</v>
      </c>
      <c r="Q154" s="376">
        <f>R154+U154</f>
        <v>0</v>
      </c>
      <c r="R154" s="374">
        <f>S154+T154</f>
        <v>0</v>
      </c>
      <c r="S154" s="377"/>
      <c r="T154" s="377"/>
      <c r="U154" s="377"/>
      <c r="V154" s="378">
        <f t="shared" si="292"/>
        <v>0</v>
      </c>
      <c r="W154" s="379">
        <v>87.6</v>
      </c>
      <c r="X154" s="380"/>
      <c r="Y154" s="376">
        <f>Z154+AC154</f>
        <v>0</v>
      </c>
      <c r="Z154" s="374">
        <f>AA154+AB154</f>
        <v>0</v>
      </c>
      <c r="AA154" s="381"/>
      <c r="AB154" s="381"/>
      <c r="AC154" s="382"/>
      <c r="AD154" s="376">
        <f>AE154+AH154</f>
        <v>0</v>
      </c>
      <c r="AE154" s="374">
        <f>AF154+AG154</f>
        <v>0</v>
      </c>
      <c r="AF154" s="381"/>
      <c r="AG154" s="381"/>
      <c r="AH154" s="383"/>
      <c r="AI154" s="384">
        <f>AJ154+AK154</f>
        <v>0</v>
      </c>
      <c r="AJ154" s="385"/>
      <c r="AK154" s="386"/>
      <c r="AL154" s="387"/>
      <c r="AM154" s="434">
        <f t="shared" si="258"/>
        <v>0</v>
      </c>
      <c r="AN154" s="389"/>
      <c r="AO154" s="390"/>
      <c r="AP154" s="390"/>
      <c r="AQ154" s="390"/>
      <c r="AR154" s="346" t="e">
        <f t="shared" si="259"/>
        <v>#DIV/0!</v>
      </c>
      <c r="AS154" s="436"/>
      <c r="AT154" s="392">
        <v>12</v>
      </c>
      <c r="AU154" s="48"/>
      <c r="AV154" s="48"/>
      <c r="AW154" s="52"/>
      <c r="AX154" s="393" t="e">
        <f t="shared" si="260"/>
        <v>#DIV/0!</v>
      </c>
      <c r="AY154" s="79">
        <v>344</v>
      </c>
      <c r="AZ154" s="394">
        <f>BA154+BB154</f>
        <v>0</v>
      </c>
      <c r="BA154" s="395"/>
      <c r="BB154" s="396"/>
      <c r="BC154" s="397"/>
      <c r="BD154" s="398">
        <f t="shared" si="283"/>
        <v>11</v>
      </c>
      <c r="BE154" s="399">
        <f t="shared" si="284"/>
        <v>8</v>
      </c>
      <c r="BF154" s="577">
        <v>3</v>
      </c>
      <c r="BG154" s="577">
        <v>5</v>
      </c>
      <c r="BH154" s="578">
        <v>3</v>
      </c>
      <c r="BI154" s="402">
        <f>SUM(BJ154:BK154)</f>
        <v>11</v>
      </c>
      <c r="BJ154" s="403">
        <v>5</v>
      </c>
      <c r="BK154" s="403">
        <v>6</v>
      </c>
      <c r="BL154" s="534">
        <v>4</v>
      </c>
      <c r="BM154" s="406">
        <f t="shared" si="285"/>
        <v>6</v>
      </c>
      <c r="BN154" s="407">
        <f t="shared" si="261"/>
        <v>6</v>
      </c>
      <c r="BO154" s="12">
        <v>5</v>
      </c>
      <c r="BP154" s="12">
        <v>1</v>
      </c>
      <c r="BQ154" s="12">
        <v>0</v>
      </c>
      <c r="BR154" s="408">
        <f t="shared" si="286"/>
        <v>0.54545454545454541</v>
      </c>
      <c r="BS154" s="409">
        <f t="shared" si="287"/>
        <v>0</v>
      </c>
      <c r="BT154" s="410"/>
      <c r="BU154" s="411"/>
      <c r="BV154" s="438"/>
      <c r="BW154" s="412">
        <f t="shared" si="288"/>
        <v>0</v>
      </c>
    </row>
    <row r="155" spans="1:76" ht="20.45" customHeight="1" x14ac:dyDescent="0.3">
      <c r="A155" s="742" t="s">
        <v>210</v>
      </c>
      <c r="B155" s="743"/>
      <c r="C155" s="743"/>
      <c r="D155" s="743"/>
      <c r="E155" s="744"/>
      <c r="F155" s="597">
        <f>F156+F170+F179</f>
        <v>1125</v>
      </c>
      <c r="G155" s="288">
        <f>L155/F155</f>
        <v>0</v>
      </c>
      <c r="H155" s="459">
        <f t="shared" ref="H155:U155" si="293">H156+H170+H179</f>
        <v>1125</v>
      </c>
      <c r="I155" s="598">
        <f t="shared" si="293"/>
        <v>739</v>
      </c>
      <c r="J155" s="598">
        <f t="shared" si="293"/>
        <v>386</v>
      </c>
      <c r="K155" s="461">
        <f t="shared" si="293"/>
        <v>225</v>
      </c>
      <c r="L155" s="462">
        <f t="shared" si="293"/>
        <v>0</v>
      </c>
      <c r="M155" s="462">
        <f t="shared" si="293"/>
        <v>0</v>
      </c>
      <c r="N155" s="462">
        <f t="shared" si="293"/>
        <v>0</v>
      </c>
      <c r="O155" s="462">
        <f t="shared" si="293"/>
        <v>0</v>
      </c>
      <c r="P155" s="463">
        <f t="shared" si="293"/>
        <v>0</v>
      </c>
      <c r="Q155" s="464">
        <f t="shared" si="293"/>
        <v>0</v>
      </c>
      <c r="R155" s="465">
        <f t="shared" si="293"/>
        <v>0</v>
      </c>
      <c r="S155" s="465">
        <f t="shared" si="293"/>
        <v>0</v>
      </c>
      <c r="T155" s="465">
        <f t="shared" si="293"/>
        <v>0</v>
      </c>
      <c r="U155" s="465">
        <f t="shared" si="293"/>
        <v>0</v>
      </c>
      <c r="V155" s="466">
        <f t="shared" si="292"/>
        <v>0</v>
      </c>
      <c r="W155" s="464">
        <f t="shared" ref="W155:AI155" si="294">W156+W170+W179</f>
        <v>2200.9</v>
      </c>
      <c r="X155" s="506">
        <f t="shared" si="294"/>
        <v>0</v>
      </c>
      <c r="Y155" s="468">
        <f t="shared" si="294"/>
        <v>0</v>
      </c>
      <c r="Z155" s="469">
        <f t="shared" si="294"/>
        <v>0</v>
      </c>
      <c r="AA155" s="469">
        <f t="shared" si="294"/>
        <v>0</v>
      </c>
      <c r="AB155" s="469">
        <f t="shared" si="294"/>
        <v>0</v>
      </c>
      <c r="AC155" s="467">
        <f t="shared" si="294"/>
        <v>0</v>
      </c>
      <c r="AD155" s="468">
        <f t="shared" si="294"/>
        <v>0</v>
      </c>
      <c r="AE155" s="469">
        <f t="shared" si="294"/>
        <v>0</v>
      </c>
      <c r="AF155" s="469">
        <f t="shared" si="294"/>
        <v>0</v>
      </c>
      <c r="AG155" s="469">
        <f t="shared" si="294"/>
        <v>0</v>
      </c>
      <c r="AH155" s="470">
        <f t="shared" si="294"/>
        <v>0</v>
      </c>
      <c r="AI155" s="508">
        <f t="shared" si="294"/>
        <v>0</v>
      </c>
      <c r="AJ155" s="509"/>
      <c r="AK155" s="510"/>
      <c r="AL155" s="511"/>
      <c r="AM155" s="474">
        <f t="shared" si="258"/>
        <v>0</v>
      </c>
      <c r="AN155" s="475"/>
      <c r="AO155" s="512"/>
      <c r="AP155" s="512"/>
      <c r="AQ155" s="512"/>
      <c r="AR155" s="308" t="e">
        <f t="shared" si="259"/>
        <v>#DIV/0!</v>
      </c>
      <c r="AS155" s="309">
        <v>1.9710000000000001</v>
      </c>
      <c r="AT155" s="599">
        <f>AT156+AT170+AT179</f>
        <v>836</v>
      </c>
      <c r="AU155" s="479"/>
      <c r="AV155" s="479"/>
      <c r="AW155" s="480"/>
      <c r="AX155" s="481" t="e">
        <f t="shared" si="260"/>
        <v>#DIV/0!</v>
      </c>
      <c r="AY155" s="482">
        <v>1.0009999999999999</v>
      </c>
      <c r="AZ155" s="483">
        <f>AZ156+AZ170+AZ179</f>
        <v>0</v>
      </c>
      <c r="BA155" s="484"/>
      <c r="BB155" s="485"/>
      <c r="BC155" s="486"/>
      <c r="BD155" s="514">
        <f t="shared" si="283"/>
        <v>107</v>
      </c>
      <c r="BE155" s="514">
        <f t="shared" si="284"/>
        <v>76</v>
      </c>
      <c r="BF155" s="515">
        <f t="shared" ref="BF155:BL155" si="295">BF156+BF170+BF179</f>
        <v>46</v>
      </c>
      <c r="BG155" s="515">
        <f t="shared" si="295"/>
        <v>30</v>
      </c>
      <c r="BH155" s="516">
        <f t="shared" si="295"/>
        <v>31</v>
      </c>
      <c r="BI155" s="490">
        <f t="shared" si="295"/>
        <v>292</v>
      </c>
      <c r="BJ155" s="491">
        <f t="shared" si="295"/>
        <v>169</v>
      </c>
      <c r="BK155" s="479">
        <f t="shared" si="295"/>
        <v>123</v>
      </c>
      <c r="BL155" s="492">
        <f t="shared" si="295"/>
        <v>95</v>
      </c>
      <c r="BM155" s="517">
        <f t="shared" si="285"/>
        <v>1151</v>
      </c>
      <c r="BN155" s="487">
        <f t="shared" si="261"/>
        <v>976</v>
      </c>
      <c r="BO155" s="515">
        <f>BO156+BO170+BO179</f>
        <v>591</v>
      </c>
      <c r="BP155" s="515">
        <f>BP156+BP170+BP179</f>
        <v>385</v>
      </c>
      <c r="BQ155" s="515">
        <f>BQ156+BQ170+BQ179</f>
        <v>175</v>
      </c>
      <c r="BR155" s="494">
        <f t="shared" si="286"/>
        <v>3.9417808219178081</v>
      </c>
      <c r="BS155" s="327">
        <f t="shared" si="287"/>
        <v>0</v>
      </c>
      <c r="BT155" s="328">
        <f>BT156+BT170+BT179</f>
        <v>0</v>
      </c>
      <c r="BU155" s="328">
        <f>BU156+BU170+BU179</f>
        <v>0</v>
      </c>
      <c r="BV155" s="328">
        <f>BV156+BV170+BV179</f>
        <v>0</v>
      </c>
      <c r="BW155" s="329">
        <f t="shared" si="288"/>
        <v>0</v>
      </c>
    </row>
    <row r="156" spans="1:76" ht="16.899999999999999" customHeight="1" x14ac:dyDescent="0.3">
      <c r="A156" s="4" t="s">
        <v>211</v>
      </c>
      <c r="B156" s="5" t="s">
        <v>49</v>
      </c>
      <c r="C156" s="5"/>
      <c r="D156" s="13" t="s">
        <v>21</v>
      </c>
      <c r="E156" s="6"/>
      <c r="F156" s="58">
        <f t="shared" ref="F156:U156" si="296">SUM(F157:F169)</f>
        <v>520</v>
      </c>
      <c r="G156" s="7">
        <f t="shared" si="296"/>
        <v>0</v>
      </c>
      <c r="H156" s="7">
        <f t="shared" si="296"/>
        <v>520</v>
      </c>
      <c r="I156" s="67">
        <f t="shared" si="296"/>
        <v>323</v>
      </c>
      <c r="J156" s="67">
        <f t="shared" si="296"/>
        <v>197</v>
      </c>
      <c r="K156" s="70">
        <f t="shared" si="296"/>
        <v>104</v>
      </c>
      <c r="L156" s="495">
        <f t="shared" si="296"/>
        <v>0</v>
      </c>
      <c r="M156" s="495">
        <f t="shared" si="296"/>
        <v>0</v>
      </c>
      <c r="N156" s="495">
        <f t="shared" si="296"/>
        <v>0</v>
      </c>
      <c r="O156" s="495">
        <f t="shared" si="296"/>
        <v>0</v>
      </c>
      <c r="P156" s="496">
        <f t="shared" si="296"/>
        <v>0</v>
      </c>
      <c r="Q156" s="335">
        <f t="shared" si="296"/>
        <v>0</v>
      </c>
      <c r="R156" s="497">
        <f t="shared" si="296"/>
        <v>0</v>
      </c>
      <c r="S156" s="497">
        <f t="shared" si="296"/>
        <v>0</v>
      </c>
      <c r="T156" s="497">
        <f t="shared" si="296"/>
        <v>0</v>
      </c>
      <c r="U156" s="497">
        <f t="shared" si="296"/>
        <v>0</v>
      </c>
      <c r="V156" s="334">
        <f t="shared" si="292"/>
        <v>0</v>
      </c>
      <c r="W156" s="335">
        <f t="shared" ref="W156:AI156" si="297">SUM(W157:W169)</f>
        <v>943.80000000000007</v>
      </c>
      <c r="X156" s="413">
        <f t="shared" si="297"/>
        <v>0</v>
      </c>
      <c r="Y156" s="415">
        <f t="shared" si="297"/>
        <v>0</v>
      </c>
      <c r="Z156" s="416">
        <f t="shared" si="297"/>
        <v>0</v>
      </c>
      <c r="AA156" s="416">
        <f t="shared" si="297"/>
        <v>0</v>
      </c>
      <c r="AB156" s="416">
        <f t="shared" si="297"/>
        <v>0</v>
      </c>
      <c r="AC156" s="417">
        <f t="shared" si="297"/>
        <v>0</v>
      </c>
      <c r="AD156" s="415">
        <f t="shared" si="297"/>
        <v>0</v>
      </c>
      <c r="AE156" s="416">
        <f t="shared" si="297"/>
        <v>0</v>
      </c>
      <c r="AF156" s="416">
        <f t="shared" si="297"/>
        <v>0</v>
      </c>
      <c r="AG156" s="416">
        <f t="shared" si="297"/>
        <v>0</v>
      </c>
      <c r="AH156" s="418">
        <f t="shared" si="297"/>
        <v>0</v>
      </c>
      <c r="AI156" s="339">
        <f t="shared" si="297"/>
        <v>0</v>
      </c>
      <c r="AJ156" s="340"/>
      <c r="AK156" s="341"/>
      <c r="AL156" s="342"/>
      <c r="AM156" s="420">
        <f t="shared" si="258"/>
        <v>0</v>
      </c>
      <c r="AN156" s="344"/>
      <c r="AO156" s="446"/>
      <c r="AP156" s="446"/>
      <c r="AQ156" s="446"/>
      <c r="AR156" s="346" t="e">
        <f t="shared" si="259"/>
        <v>#DIV/0!</v>
      </c>
      <c r="AS156" s="424">
        <v>2.68</v>
      </c>
      <c r="AT156" s="561">
        <f>SUM(AT157:AT169)</f>
        <v>406</v>
      </c>
      <c r="AU156" s="361"/>
      <c r="AV156" s="361"/>
      <c r="AW156" s="444"/>
      <c r="AX156" s="352" t="e">
        <f t="shared" si="260"/>
        <v>#DIV/0!</v>
      </c>
      <c r="AY156" s="427">
        <v>1.1060000000000001</v>
      </c>
      <c r="AZ156" s="354">
        <f>SUM(AZ157:AZ169)</f>
        <v>0</v>
      </c>
      <c r="BA156" s="340"/>
      <c r="BB156" s="340"/>
      <c r="BC156" s="355"/>
      <c r="BD156" s="356">
        <f t="shared" si="283"/>
        <v>11</v>
      </c>
      <c r="BE156" s="356">
        <f t="shared" si="284"/>
        <v>0</v>
      </c>
      <c r="BF156" s="562">
        <f t="shared" ref="BF156:BL156" si="298">SUM(BF157:BF169)</f>
        <v>0</v>
      </c>
      <c r="BG156" s="562">
        <f t="shared" si="298"/>
        <v>0</v>
      </c>
      <c r="BH156" s="563">
        <f t="shared" si="298"/>
        <v>11</v>
      </c>
      <c r="BI156" s="359">
        <f t="shared" si="298"/>
        <v>117</v>
      </c>
      <c r="BJ156" s="360">
        <f t="shared" si="298"/>
        <v>62</v>
      </c>
      <c r="BK156" s="361">
        <f t="shared" si="298"/>
        <v>55</v>
      </c>
      <c r="BL156" s="362">
        <f t="shared" si="298"/>
        <v>43</v>
      </c>
      <c r="BM156" s="363">
        <f t="shared" si="285"/>
        <v>759</v>
      </c>
      <c r="BN156" s="356">
        <f t="shared" si="261"/>
        <v>649</v>
      </c>
      <c r="BO156" s="440">
        <f>SUM(BO157:BO169)</f>
        <v>373</v>
      </c>
      <c r="BP156" s="440">
        <f>SUM(BP157:BP169)</f>
        <v>276</v>
      </c>
      <c r="BQ156" s="440">
        <f>SUM(BQ157:BQ169)</f>
        <v>110</v>
      </c>
      <c r="BR156" s="432">
        <f t="shared" si="286"/>
        <v>6.4871794871794872</v>
      </c>
      <c r="BS156" s="366">
        <f t="shared" si="287"/>
        <v>0</v>
      </c>
      <c r="BT156" s="367">
        <f>SUM(BT157:BT169)</f>
        <v>0</v>
      </c>
      <c r="BU156" s="367">
        <f>SUM(BU157:BU169)</f>
        <v>0</v>
      </c>
      <c r="BV156" s="367">
        <f>SUM(BV157:BV169)</f>
        <v>0</v>
      </c>
      <c r="BW156" s="368">
        <f t="shared" si="288"/>
        <v>0</v>
      </c>
      <c r="BX156" t="s">
        <v>49</v>
      </c>
    </row>
    <row r="157" spans="1:76" ht="16.899999999999999" customHeight="1" x14ac:dyDescent="0.3">
      <c r="A157" s="8" t="s">
        <v>211</v>
      </c>
      <c r="B157" s="9" t="s">
        <v>49</v>
      </c>
      <c r="C157" s="14" t="s">
        <v>198</v>
      </c>
      <c r="D157" s="40" t="s">
        <v>212</v>
      </c>
      <c r="E157" s="15" t="s">
        <v>103</v>
      </c>
      <c r="F157" s="59">
        <v>25</v>
      </c>
      <c r="G157" s="369">
        <f t="shared" ref="G157:G169" si="299">L157/F157</f>
        <v>0</v>
      </c>
      <c r="H157" s="553">
        <v>25</v>
      </c>
      <c r="I157" s="371">
        <v>17</v>
      </c>
      <c r="J157" s="371">
        <v>8</v>
      </c>
      <c r="K157" s="554">
        <v>5</v>
      </c>
      <c r="L157" s="373">
        <f t="shared" ref="L157:L169" si="300">N157+O157+P157</f>
        <v>0</v>
      </c>
      <c r="M157" s="373">
        <f t="shared" ref="M157:M169" si="301">N157+O157</f>
        <v>0</v>
      </c>
      <c r="N157" s="374">
        <f t="shared" ref="N157:N169" si="302">AA157+AF157</f>
        <v>0</v>
      </c>
      <c r="O157" s="374">
        <f t="shared" ref="O157:O169" si="303">AB157+AG157</f>
        <v>0</v>
      </c>
      <c r="P157" s="375">
        <f t="shared" ref="P157:P169" si="304">AC157+AH157</f>
        <v>0</v>
      </c>
      <c r="Q157" s="376">
        <f t="shared" ref="Q157:Q169" si="305">R157+U157</f>
        <v>0</v>
      </c>
      <c r="R157" s="374">
        <f t="shared" ref="R157:R169" si="306">S157+T157</f>
        <v>0</v>
      </c>
      <c r="S157" s="377"/>
      <c r="T157" s="377"/>
      <c r="U157" s="377"/>
      <c r="V157" s="378">
        <f t="shared" si="292"/>
        <v>0</v>
      </c>
      <c r="W157" s="379">
        <v>92.7</v>
      </c>
      <c r="X157" s="380"/>
      <c r="Y157" s="376">
        <f t="shared" ref="Y157:Y169" si="307">Z157+AC157</f>
        <v>0</v>
      </c>
      <c r="Z157" s="374">
        <f t="shared" ref="Z157:Z169" si="308">AA157+AB157</f>
        <v>0</v>
      </c>
      <c r="AA157" s="381"/>
      <c r="AB157" s="381"/>
      <c r="AC157" s="382"/>
      <c r="AD157" s="376">
        <f t="shared" ref="AD157:AD169" si="309">AE157+AH157</f>
        <v>0</v>
      </c>
      <c r="AE157" s="374">
        <f t="shared" ref="AE157:AE169" si="310">AF157+AG157</f>
        <v>0</v>
      </c>
      <c r="AF157" s="381"/>
      <c r="AG157" s="381"/>
      <c r="AH157" s="383"/>
      <c r="AI157" s="384">
        <f t="shared" ref="AI157:AI169" si="311">AJ157+AK157</f>
        <v>0</v>
      </c>
      <c r="AJ157" s="385"/>
      <c r="AK157" s="386"/>
      <c r="AL157" s="387"/>
      <c r="AM157" s="434">
        <f t="shared" si="258"/>
        <v>0</v>
      </c>
      <c r="AN157" s="389"/>
      <c r="AO157" s="390"/>
      <c r="AP157" s="390"/>
      <c r="AQ157" s="390"/>
      <c r="AR157" s="346" t="e">
        <f t="shared" si="259"/>
        <v>#DIV/0!</v>
      </c>
      <c r="AS157" s="436"/>
      <c r="AT157" s="566">
        <v>18</v>
      </c>
      <c r="AU157" s="48"/>
      <c r="AV157" s="48"/>
      <c r="AW157" s="52"/>
      <c r="AX157" s="393" t="e">
        <f t="shared" si="260"/>
        <v>#DIV/0!</v>
      </c>
      <c r="AY157" s="77">
        <v>178</v>
      </c>
      <c r="AZ157" s="394">
        <f t="shared" ref="AZ157:AZ169" si="312">BA157+BB157</f>
        <v>0</v>
      </c>
      <c r="BA157" s="395"/>
      <c r="BB157" s="396"/>
      <c r="BC157" s="397"/>
      <c r="BD157" s="600">
        <f t="shared" si="283"/>
        <v>2</v>
      </c>
      <c r="BE157" s="399">
        <f t="shared" si="284"/>
        <v>0</v>
      </c>
      <c r="BF157" s="400">
        <v>0</v>
      </c>
      <c r="BG157" s="400">
        <v>0</v>
      </c>
      <c r="BH157" s="401">
        <v>2</v>
      </c>
      <c r="BI157" s="402">
        <f t="shared" ref="BI157:BI169" si="313">SUM(BJ157:BK157)</f>
        <v>5</v>
      </c>
      <c r="BJ157" s="403">
        <v>3</v>
      </c>
      <c r="BK157" s="404">
        <v>2</v>
      </c>
      <c r="BL157" s="405">
        <v>3</v>
      </c>
      <c r="BM157" s="601">
        <f t="shared" si="285"/>
        <v>16</v>
      </c>
      <c r="BN157" s="407">
        <f t="shared" si="261"/>
        <v>15</v>
      </c>
      <c r="BO157" s="12">
        <v>11</v>
      </c>
      <c r="BP157" s="12">
        <v>4</v>
      </c>
      <c r="BQ157" s="12">
        <v>1</v>
      </c>
      <c r="BR157" s="408">
        <f t="shared" si="286"/>
        <v>3.2</v>
      </c>
      <c r="BS157" s="409">
        <f t="shared" si="287"/>
        <v>0</v>
      </c>
      <c r="BT157" s="410"/>
      <c r="BU157" s="411"/>
      <c r="BV157" s="438"/>
      <c r="BW157" s="412">
        <f t="shared" si="288"/>
        <v>0</v>
      </c>
    </row>
    <row r="158" spans="1:76" ht="16.899999999999999" customHeight="1" x14ac:dyDescent="0.3">
      <c r="A158" s="8" t="s">
        <v>211</v>
      </c>
      <c r="B158" s="9" t="s">
        <v>49</v>
      </c>
      <c r="C158" s="14" t="s">
        <v>213</v>
      </c>
      <c r="D158" s="40" t="s">
        <v>214</v>
      </c>
      <c r="E158" s="15" t="s">
        <v>103</v>
      </c>
      <c r="F158" s="59">
        <v>50</v>
      </c>
      <c r="G158" s="369">
        <f t="shared" si="299"/>
        <v>0</v>
      </c>
      <c r="H158" s="553">
        <v>50</v>
      </c>
      <c r="I158" s="371">
        <v>33</v>
      </c>
      <c r="J158" s="371">
        <v>17</v>
      </c>
      <c r="K158" s="554">
        <v>10</v>
      </c>
      <c r="L158" s="373">
        <f t="shared" si="300"/>
        <v>0</v>
      </c>
      <c r="M158" s="373">
        <f t="shared" si="301"/>
        <v>0</v>
      </c>
      <c r="N158" s="374">
        <f t="shared" si="302"/>
        <v>0</v>
      </c>
      <c r="O158" s="374">
        <f t="shared" si="303"/>
        <v>0</v>
      </c>
      <c r="P158" s="375">
        <f t="shared" si="304"/>
        <v>0</v>
      </c>
      <c r="Q158" s="376">
        <f t="shared" si="305"/>
        <v>0</v>
      </c>
      <c r="R158" s="374">
        <f t="shared" si="306"/>
        <v>0</v>
      </c>
      <c r="S158" s="377"/>
      <c r="T158" s="377"/>
      <c r="U158" s="377"/>
      <c r="V158" s="378">
        <f t="shared" si="292"/>
        <v>0</v>
      </c>
      <c r="W158" s="379">
        <v>57.3</v>
      </c>
      <c r="X158" s="380"/>
      <c r="Y158" s="376">
        <f t="shared" si="307"/>
        <v>0</v>
      </c>
      <c r="Z158" s="374">
        <f t="shared" si="308"/>
        <v>0</v>
      </c>
      <c r="AA158" s="381"/>
      <c r="AB158" s="381"/>
      <c r="AC158" s="382"/>
      <c r="AD158" s="376">
        <f t="shared" si="309"/>
        <v>0</v>
      </c>
      <c r="AE158" s="374">
        <f t="shared" si="310"/>
        <v>0</v>
      </c>
      <c r="AF158" s="381"/>
      <c r="AG158" s="381"/>
      <c r="AH158" s="383"/>
      <c r="AI158" s="384">
        <f t="shared" si="311"/>
        <v>0</v>
      </c>
      <c r="AJ158" s="385"/>
      <c r="AK158" s="386"/>
      <c r="AL158" s="387"/>
      <c r="AM158" s="434">
        <f t="shared" si="258"/>
        <v>0</v>
      </c>
      <c r="AN158" s="389"/>
      <c r="AO158" s="390"/>
      <c r="AP158" s="390"/>
      <c r="AQ158" s="390"/>
      <c r="AR158" s="346" t="e">
        <f t="shared" si="259"/>
        <v>#DIV/0!</v>
      </c>
      <c r="AS158" s="436"/>
      <c r="AT158" s="566">
        <v>39</v>
      </c>
      <c r="AU158" s="48"/>
      <c r="AV158" s="48"/>
      <c r="AW158" s="52"/>
      <c r="AX158" s="393" t="e">
        <f t="shared" si="260"/>
        <v>#DIV/0!</v>
      </c>
      <c r="AY158" s="77">
        <v>311</v>
      </c>
      <c r="AZ158" s="394">
        <f t="shared" si="312"/>
        <v>0</v>
      </c>
      <c r="BA158" s="395"/>
      <c r="BB158" s="396"/>
      <c r="BC158" s="397"/>
      <c r="BD158" s="600">
        <f t="shared" si="283"/>
        <v>2</v>
      </c>
      <c r="BE158" s="399">
        <f t="shared" si="284"/>
        <v>0</v>
      </c>
      <c r="BF158" s="400">
        <v>0</v>
      </c>
      <c r="BG158" s="400">
        <v>0</v>
      </c>
      <c r="BH158" s="401">
        <v>2</v>
      </c>
      <c r="BI158" s="402">
        <f t="shared" si="313"/>
        <v>11</v>
      </c>
      <c r="BJ158" s="403">
        <v>7</v>
      </c>
      <c r="BK158" s="404">
        <v>4</v>
      </c>
      <c r="BL158" s="405">
        <v>6</v>
      </c>
      <c r="BM158" s="601">
        <f t="shared" si="285"/>
        <v>46</v>
      </c>
      <c r="BN158" s="407">
        <f t="shared" si="261"/>
        <v>39</v>
      </c>
      <c r="BO158" s="12">
        <v>28</v>
      </c>
      <c r="BP158" s="12">
        <v>11</v>
      </c>
      <c r="BQ158" s="12">
        <v>7</v>
      </c>
      <c r="BR158" s="408">
        <f t="shared" si="286"/>
        <v>4.1818181818181817</v>
      </c>
      <c r="BS158" s="409">
        <f t="shared" si="287"/>
        <v>0</v>
      </c>
      <c r="BT158" s="410"/>
      <c r="BU158" s="411"/>
      <c r="BV158" s="438"/>
      <c r="BW158" s="412">
        <f t="shared" si="288"/>
        <v>0</v>
      </c>
    </row>
    <row r="159" spans="1:76" ht="16.899999999999999" customHeight="1" x14ac:dyDescent="0.3">
      <c r="A159" s="8" t="s">
        <v>211</v>
      </c>
      <c r="B159" s="9" t="s">
        <v>49</v>
      </c>
      <c r="C159" s="14" t="s">
        <v>101</v>
      </c>
      <c r="D159" s="40" t="s">
        <v>159</v>
      </c>
      <c r="E159" s="15" t="s">
        <v>103</v>
      </c>
      <c r="F159" s="59">
        <v>60</v>
      </c>
      <c r="G159" s="369">
        <f t="shared" si="299"/>
        <v>0</v>
      </c>
      <c r="H159" s="553">
        <v>60</v>
      </c>
      <c r="I159" s="371">
        <v>34</v>
      </c>
      <c r="J159" s="371">
        <v>26</v>
      </c>
      <c r="K159" s="554">
        <v>12</v>
      </c>
      <c r="L159" s="373">
        <f t="shared" si="300"/>
        <v>0</v>
      </c>
      <c r="M159" s="373">
        <f t="shared" si="301"/>
        <v>0</v>
      </c>
      <c r="N159" s="374">
        <f t="shared" si="302"/>
        <v>0</v>
      </c>
      <c r="O159" s="374">
        <f t="shared" si="303"/>
        <v>0</v>
      </c>
      <c r="P159" s="375">
        <f t="shared" si="304"/>
        <v>0</v>
      </c>
      <c r="Q159" s="376">
        <f t="shared" si="305"/>
        <v>0</v>
      </c>
      <c r="R159" s="374">
        <f t="shared" si="306"/>
        <v>0</v>
      </c>
      <c r="S159" s="377"/>
      <c r="T159" s="377"/>
      <c r="U159" s="377"/>
      <c r="V159" s="378">
        <f t="shared" si="292"/>
        <v>0</v>
      </c>
      <c r="W159" s="379">
        <v>86.6</v>
      </c>
      <c r="X159" s="380"/>
      <c r="Y159" s="376">
        <f t="shared" si="307"/>
        <v>0</v>
      </c>
      <c r="Z159" s="374">
        <f t="shared" si="308"/>
        <v>0</v>
      </c>
      <c r="AA159" s="381"/>
      <c r="AB159" s="381"/>
      <c r="AC159" s="382"/>
      <c r="AD159" s="376">
        <f t="shared" si="309"/>
        <v>0</v>
      </c>
      <c r="AE159" s="374">
        <f t="shared" si="310"/>
        <v>0</v>
      </c>
      <c r="AF159" s="381"/>
      <c r="AG159" s="381"/>
      <c r="AH159" s="383"/>
      <c r="AI159" s="384">
        <f t="shared" si="311"/>
        <v>0</v>
      </c>
      <c r="AJ159" s="385"/>
      <c r="AK159" s="386"/>
      <c r="AL159" s="387"/>
      <c r="AM159" s="434">
        <f t="shared" si="258"/>
        <v>0</v>
      </c>
      <c r="AN159" s="389"/>
      <c r="AO159" s="390"/>
      <c r="AP159" s="390"/>
      <c r="AQ159" s="390"/>
      <c r="AR159" s="346" t="e">
        <f t="shared" si="259"/>
        <v>#DIV/0!</v>
      </c>
      <c r="AS159" s="436"/>
      <c r="AT159" s="566">
        <v>48</v>
      </c>
      <c r="AU159" s="48"/>
      <c r="AV159" s="48"/>
      <c r="AW159" s="52"/>
      <c r="AX159" s="393" t="e">
        <f t="shared" si="260"/>
        <v>#DIV/0!</v>
      </c>
      <c r="AY159" s="77">
        <v>29</v>
      </c>
      <c r="AZ159" s="394">
        <f t="shared" si="312"/>
        <v>0</v>
      </c>
      <c r="BA159" s="395"/>
      <c r="BB159" s="396"/>
      <c r="BC159" s="397"/>
      <c r="BD159" s="600">
        <f t="shared" si="283"/>
        <v>0</v>
      </c>
      <c r="BE159" s="399">
        <f t="shared" si="284"/>
        <v>0</v>
      </c>
      <c r="BF159" s="400">
        <v>0</v>
      </c>
      <c r="BG159" s="400">
        <v>0</v>
      </c>
      <c r="BH159" s="401">
        <v>0</v>
      </c>
      <c r="BI159" s="402">
        <f t="shared" si="313"/>
        <v>14</v>
      </c>
      <c r="BJ159" s="403">
        <v>7</v>
      </c>
      <c r="BK159" s="404">
        <v>7</v>
      </c>
      <c r="BL159" s="405">
        <v>3</v>
      </c>
      <c r="BM159" s="601">
        <f t="shared" si="285"/>
        <v>135</v>
      </c>
      <c r="BN159" s="407">
        <f t="shared" si="261"/>
        <v>111</v>
      </c>
      <c r="BO159" s="12">
        <v>57</v>
      </c>
      <c r="BP159" s="12">
        <v>54</v>
      </c>
      <c r="BQ159" s="12">
        <v>24</v>
      </c>
      <c r="BR159" s="408">
        <f t="shared" si="286"/>
        <v>9.6428571428571423</v>
      </c>
      <c r="BS159" s="409">
        <f t="shared" si="287"/>
        <v>0</v>
      </c>
      <c r="BT159" s="410"/>
      <c r="BU159" s="411"/>
      <c r="BV159" s="438"/>
      <c r="BW159" s="412">
        <f t="shared" si="288"/>
        <v>0</v>
      </c>
    </row>
    <row r="160" spans="1:76" ht="16.899999999999999" customHeight="1" x14ac:dyDescent="0.3">
      <c r="A160" s="8" t="s">
        <v>211</v>
      </c>
      <c r="B160" s="9" t="s">
        <v>49</v>
      </c>
      <c r="C160" s="14" t="s">
        <v>101</v>
      </c>
      <c r="D160" s="40" t="s">
        <v>159</v>
      </c>
      <c r="E160" s="15" t="s">
        <v>137</v>
      </c>
      <c r="F160" s="59">
        <v>25</v>
      </c>
      <c r="G160" s="369">
        <f t="shared" si="299"/>
        <v>0</v>
      </c>
      <c r="H160" s="553">
        <v>25</v>
      </c>
      <c r="I160" s="371">
        <v>17</v>
      </c>
      <c r="J160" s="371">
        <v>8</v>
      </c>
      <c r="K160" s="554">
        <v>5</v>
      </c>
      <c r="L160" s="373">
        <f t="shared" si="300"/>
        <v>0</v>
      </c>
      <c r="M160" s="373">
        <f t="shared" si="301"/>
        <v>0</v>
      </c>
      <c r="N160" s="374">
        <f t="shared" si="302"/>
        <v>0</v>
      </c>
      <c r="O160" s="374">
        <f t="shared" si="303"/>
        <v>0</v>
      </c>
      <c r="P160" s="375">
        <f t="shared" si="304"/>
        <v>0</v>
      </c>
      <c r="Q160" s="376">
        <f t="shared" si="305"/>
        <v>0</v>
      </c>
      <c r="R160" s="374">
        <f t="shared" si="306"/>
        <v>0</v>
      </c>
      <c r="S160" s="377"/>
      <c r="T160" s="377"/>
      <c r="U160" s="377"/>
      <c r="V160" s="378">
        <f t="shared" si="292"/>
        <v>0</v>
      </c>
      <c r="W160" s="379">
        <v>81.7</v>
      </c>
      <c r="X160" s="380"/>
      <c r="Y160" s="376">
        <f t="shared" si="307"/>
        <v>0</v>
      </c>
      <c r="Z160" s="374">
        <f t="shared" si="308"/>
        <v>0</v>
      </c>
      <c r="AA160" s="381"/>
      <c r="AB160" s="381"/>
      <c r="AC160" s="382"/>
      <c r="AD160" s="376">
        <f t="shared" si="309"/>
        <v>0</v>
      </c>
      <c r="AE160" s="374">
        <f t="shared" si="310"/>
        <v>0</v>
      </c>
      <c r="AF160" s="381"/>
      <c r="AG160" s="381"/>
      <c r="AH160" s="383"/>
      <c r="AI160" s="384">
        <f t="shared" si="311"/>
        <v>0</v>
      </c>
      <c r="AJ160" s="385"/>
      <c r="AK160" s="386"/>
      <c r="AL160" s="387"/>
      <c r="AM160" s="434">
        <f t="shared" si="258"/>
        <v>0</v>
      </c>
      <c r="AN160" s="389"/>
      <c r="AO160" s="390"/>
      <c r="AP160" s="390"/>
      <c r="AQ160" s="390"/>
      <c r="AR160" s="346" t="e">
        <f t="shared" si="259"/>
        <v>#DIV/0!</v>
      </c>
      <c r="AS160" s="436"/>
      <c r="AT160" s="566">
        <v>17</v>
      </c>
      <c r="AU160" s="48"/>
      <c r="AV160" s="48"/>
      <c r="AW160" s="52"/>
      <c r="AX160" s="393" t="e">
        <f t="shared" si="260"/>
        <v>#DIV/0!</v>
      </c>
      <c r="AY160" s="77">
        <v>111</v>
      </c>
      <c r="AZ160" s="394">
        <f t="shared" si="312"/>
        <v>0</v>
      </c>
      <c r="BA160" s="395"/>
      <c r="BB160" s="396"/>
      <c r="BC160" s="397"/>
      <c r="BD160" s="600">
        <f t="shared" si="283"/>
        <v>0</v>
      </c>
      <c r="BE160" s="399">
        <f t="shared" si="284"/>
        <v>0</v>
      </c>
      <c r="BF160" s="400">
        <v>0</v>
      </c>
      <c r="BG160" s="400">
        <v>0</v>
      </c>
      <c r="BH160" s="401">
        <v>0</v>
      </c>
      <c r="BI160" s="402">
        <f t="shared" si="313"/>
        <v>8</v>
      </c>
      <c r="BJ160" s="403">
        <v>4</v>
      </c>
      <c r="BK160" s="404">
        <v>4</v>
      </c>
      <c r="BL160" s="405">
        <v>0</v>
      </c>
      <c r="BM160" s="601">
        <f t="shared" si="285"/>
        <v>73</v>
      </c>
      <c r="BN160" s="407">
        <f t="shared" si="261"/>
        <v>73</v>
      </c>
      <c r="BO160" s="12">
        <v>38</v>
      </c>
      <c r="BP160" s="12">
        <v>35</v>
      </c>
      <c r="BQ160" s="12">
        <v>0</v>
      </c>
      <c r="BR160" s="408">
        <f t="shared" si="286"/>
        <v>9.125</v>
      </c>
      <c r="BS160" s="409">
        <f t="shared" si="287"/>
        <v>0</v>
      </c>
      <c r="BT160" s="410"/>
      <c r="BU160" s="439"/>
      <c r="BV160" s="458"/>
      <c r="BW160" s="412">
        <f t="shared" si="288"/>
        <v>0</v>
      </c>
    </row>
    <row r="161" spans="1:76" ht="16.899999999999999" customHeight="1" x14ac:dyDescent="0.3">
      <c r="A161" s="8" t="s">
        <v>211</v>
      </c>
      <c r="B161" s="9" t="s">
        <v>49</v>
      </c>
      <c r="C161" s="14" t="s">
        <v>104</v>
      </c>
      <c r="D161" s="40" t="s">
        <v>105</v>
      </c>
      <c r="E161" s="15" t="s">
        <v>103</v>
      </c>
      <c r="F161" s="59">
        <v>50</v>
      </c>
      <c r="G161" s="369">
        <f t="shared" si="299"/>
        <v>0</v>
      </c>
      <c r="H161" s="553">
        <v>50</v>
      </c>
      <c r="I161" s="371">
        <v>30</v>
      </c>
      <c r="J161" s="371">
        <v>20</v>
      </c>
      <c r="K161" s="554">
        <v>10</v>
      </c>
      <c r="L161" s="373">
        <f t="shared" si="300"/>
        <v>0</v>
      </c>
      <c r="M161" s="373">
        <f t="shared" si="301"/>
        <v>0</v>
      </c>
      <c r="N161" s="374">
        <f t="shared" si="302"/>
        <v>0</v>
      </c>
      <c r="O161" s="374">
        <f t="shared" si="303"/>
        <v>0</v>
      </c>
      <c r="P161" s="375">
        <f t="shared" si="304"/>
        <v>0</v>
      </c>
      <c r="Q161" s="376">
        <f t="shared" si="305"/>
        <v>0</v>
      </c>
      <c r="R161" s="374">
        <f t="shared" si="306"/>
        <v>0</v>
      </c>
      <c r="S161" s="377"/>
      <c r="T161" s="377"/>
      <c r="U161" s="377"/>
      <c r="V161" s="378">
        <f t="shared" si="292"/>
        <v>0</v>
      </c>
      <c r="W161" s="379">
        <v>68</v>
      </c>
      <c r="X161" s="380"/>
      <c r="Y161" s="376">
        <f t="shared" si="307"/>
        <v>0</v>
      </c>
      <c r="Z161" s="374">
        <f t="shared" si="308"/>
        <v>0</v>
      </c>
      <c r="AA161" s="381"/>
      <c r="AB161" s="381"/>
      <c r="AC161" s="382"/>
      <c r="AD161" s="376">
        <f t="shared" si="309"/>
        <v>0</v>
      </c>
      <c r="AE161" s="374">
        <f t="shared" si="310"/>
        <v>0</v>
      </c>
      <c r="AF161" s="381"/>
      <c r="AG161" s="381"/>
      <c r="AH161" s="383"/>
      <c r="AI161" s="384">
        <f t="shared" si="311"/>
        <v>0</v>
      </c>
      <c r="AJ161" s="385"/>
      <c r="AK161" s="386"/>
      <c r="AL161" s="387"/>
      <c r="AM161" s="434">
        <f t="shared" si="258"/>
        <v>0</v>
      </c>
      <c r="AN161" s="389"/>
      <c r="AO161" s="390"/>
      <c r="AP161" s="390"/>
      <c r="AQ161" s="390"/>
      <c r="AR161" s="346" t="e">
        <f t="shared" si="259"/>
        <v>#DIV/0!</v>
      </c>
      <c r="AS161" s="436"/>
      <c r="AT161" s="566">
        <v>40</v>
      </c>
      <c r="AU161" s="48"/>
      <c r="AV161" s="48"/>
      <c r="AW161" s="52"/>
      <c r="AX161" s="393" t="e">
        <f t="shared" si="260"/>
        <v>#DIV/0!</v>
      </c>
      <c r="AY161" s="77">
        <v>374</v>
      </c>
      <c r="AZ161" s="394">
        <f t="shared" si="312"/>
        <v>0</v>
      </c>
      <c r="BA161" s="395"/>
      <c r="BB161" s="396"/>
      <c r="BC161" s="397"/>
      <c r="BD161" s="600">
        <f t="shared" si="283"/>
        <v>0</v>
      </c>
      <c r="BE161" s="399">
        <f t="shared" si="284"/>
        <v>0</v>
      </c>
      <c r="BF161" s="400">
        <v>0</v>
      </c>
      <c r="BG161" s="400">
        <v>0</v>
      </c>
      <c r="BH161" s="401">
        <v>0</v>
      </c>
      <c r="BI161" s="402">
        <f t="shared" si="313"/>
        <v>12</v>
      </c>
      <c r="BJ161" s="403">
        <v>6</v>
      </c>
      <c r="BK161" s="404">
        <v>6</v>
      </c>
      <c r="BL161" s="405">
        <v>3</v>
      </c>
      <c r="BM161" s="601">
        <f t="shared" si="285"/>
        <v>66</v>
      </c>
      <c r="BN161" s="407">
        <f t="shared" si="261"/>
        <v>58</v>
      </c>
      <c r="BO161" s="12">
        <v>38</v>
      </c>
      <c r="BP161" s="12">
        <v>20</v>
      </c>
      <c r="BQ161" s="12">
        <v>8</v>
      </c>
      <c r="BR161" s="408">
        <f t="shared" si="286"/>
        <v>5.5</v>
      </c>
      <c r="BS161" s="409">
        <f t="shared" si="287"/>
        <v>0</v>
      </c>
      <c r="BT161" s="410"/>
      <c r="BU161" s="439"/>
      <c r="BV161" s="458"/>
      <c r="BW161" s="412">
        <f t="shared" si="288"/>
        <v>0</v>
      </c>
    </row>
    <row r="162" spans="1:76" ht="16.899999999999999" customHeight="1" x14ac:dyDescent="0.3">
      <c r="A162" s="8" t="s">
        <v>211</v>
      </c>
      <c r="B162" s="9" t="s">
        <v>49</v>
      </c>
      <c r="C162" s="14" t="s">
        <v>104</v>
      </c>
      <c r="D162" s="40" t="s">
        <v>105</v>
      </c>
      <c r="E162" s="15" t="s">
        <v>137</v>
      </c>
      <c r="F162" s="59">
        <v>25</v>
      </c>
      <c r="G162" s="369">
        <f t="shared" si="299"/>
        <v>0</v>
      </c>
      <c r="H162" s="553">
        <v>25</v>
      </c>
      <c r="I162" s="371">
        <v>13</v>
      </c>
      <c r="J162" s="371">
        <v>12</v>
      </c>
      <c r="K162" s="554">
        <v>5</v>
      </c>
      <c r="L162" s="373">
        <f t="shared" si="300"/>
        <v>0</v>
      </c>
      <c r="M162" s="373">
        <f t="shared" si="301"/>
        <v>0</v>
      </c>
      <c r="N162" s="374">
        <f t="shared" si="302"/>
        <v>0</v>
      </c>
      <c r="O162" s="374">
        <f t="shared" si="303"/>
        <v>0</v>
      </c>
      <c r="P162" s="375">
        <f t="shared" si="304"/>
        <v>0</v>
      </c>
      <c r="Q162" s="376">
        <f t="shared" si="305"/>
        <v>0</v>
      </c>
      <c r="R162" s="374">
        <f t="shared" si="306"/>
        <v>0</v>
      </c>
      <c r="S162" s="377"/>
      <c r="T162" s="377"/>
      <c r="U162" s="377"/>
      <c r="V162" s="378">
        <f t="shared" si="292"/>
        <v>0</v>
      </c>
      <c r="W162" s="379">
        <v>74.5</v>
      </c>
      <c r="X162" s="380"/>
      <c r="Y162" s="376">
        <f t="shared" si="307"/>
        <v>0</v>
      </c>
      <c r="Z162" s="374">
        <f t="shared" si="308"/>
        <v>0</v>
      </c>
      <c r="AA162" s="381"/>
      <c r="AB162" s="381"/>
      <c r="AC162" s="382"/>
      <c r="AD162" s="376">
        <f t="shared" si="309"/>
        <v>0</v>
      </c>
      <c r="AE162" s="374">
        <f t="shared" si="310"/>
        <v>0</v>
      </c>
      <c r="AF162" s="381"/>
      <c r="AG162" s="381"/>
      <c r="AH162" s="383"/>
      <c r="AI162" s="384">
        <f t="shared" si="311"/>
        <v>0</v>
      </c>
      <c r="AJ162" s="385"/>
      <c r="AK162" s="386"/>
      <c r="AL162" s="387"/>
      <c r="AM162" s="434">
        <f t="shared" si="258"/>
        <v>0</v>
      </c>
      <c r="AN162" s="389"/>
      <c r="AO162" s="390"/>
      <c r="AP162" s="390"/>
      <c r="AQ162" s="390"/>
      <c r="AR162" s="346" t="e">
        <f t="shared" si="259"/>
        <v>#DIV/0!</v>
      </c>
      <c r="AS162" s="436"/>
      <c r="AT162" s="566">
        <v>14</v>
      </c>
      <c r="AU162" s="48"/>
      <c r="AV162" s="48"/>
      <c r="AW162" s="52"/>
      <c r="AX162" s="393" t="e">
        <f t="shared" si="260"/>
        <v>#DIV/0!</v>
      </c>
      <c r="AY162" s="77">
        <v>294</v>
      </c>
      <c r="AZ162" s="394">
        <f t="shared" si="312"/>
        <v>0</v>
      </c>
      <c r="BA162" s="395"/>
      <c r="BB162" s="396"/>
      <c r="BC162" s="397"/>
      <c r="BD162" s="600">
        <f t="shared" si="283"/>
        <v>0</v>
      </c>
      <c r="BE162" s="399">
        <f t="shared" si="284"/>
        <v>0</v>
      </c>
      <c r="BF162" s="400">
        <v>0</v>
      </c>
      <c r="BG162" s="400">
        <v>0</v>
      </c>
      <c r="BH162" s="401">
        <v>0</v>
      </c>
      <c r="BI162" s="402">
        <f t="shared" si="313"/>
        <v>11</v>
      </c>
      <c r="BJ162" s="403">
        <v>5</v>
      </c>
      <c r="BK162" s="404">
        <v>6</v>
      </c>
      <c r="BL162" s="405">
        <v>1</v>
      </c>
      <c r="BM162" s="601">
        <f t="shared" si="285"/>
        <v>62</v>
      </c>
      <c r="BN162" s="407">
        <f t="shared" si="261"/>
        <v>49</v>
      </c>
      <c r="BO162" s="12">
        <v>22</v>
      </c>
      <c r="BP162" s="12">
        <v>27</v>
      </c>
      <c r="BQ162" s="12">
        <v>13</v>
      </c>
      <c r="BR162" s="408">
        <f t="shared" si="286"/>
        <v>5.6363636363636367</v>
      </c>
      <c r="BS162" s="409">
        <f t="shared" si="287"/>
        <v>0</v>
      </c>
      <c r="BT162" s="410"/>
      <c r="BU162" s="411"/>
      <c r="BV162" s="438"/>
      <c r="BW162" s="412">
        <f t="shared" si="288"/>
        <v>0</v>
      </c>
    </row>
    <row r="163" spans="1:76" ht="16.899999999999999" customHeight="1" x14ac:dyDescent="0.3">
      <c r="A163" s="8" t="s">
        <v>211</v>
      </c>
      <c r="B163" s="9" t="s">
        <v>49</v>
      </c>
      <c r="C163" s="14" t="s">
        <v>104</v>
      </c>
      <c r="D163" s="40" t="s">
        <v>215</v>
      </c>
      <c r="E163" s="15" t="s">
        <v>103</v>
      </c>
      <c r="F163" s="59">
        <v>25</v>
      </c>
      <c r="G163" s="369">
        <f t="shared" si="299"/>
        <v>0</v>
      </c>
      <c r="H163" s="553">
        <v>25</v>
      </c>
      <c r="I163" s="371">
        <v>15</v>
      </c>
      <c r="J163" s="371">
        <v>10</v>
      </c>
      <c r="K163" s="554">
        <v>5</v>
      </c>
      <c r="L163" s="373">
        <f t="shared" si="300"/>
        <v>0</v>
      </c>
      <c r="M163" s="373">
        <f t="shared" si="301"/>
        <v>0</v>
      </c>
      <c r="N163" s="374">
        <f t="shared" si="302"/>
        <v>0</v>
      </c>
      <c r="O163" s="374">
        <f t="shared" si="303"/>
        <v>0</v>
      </c>
      <c r="P163" s="375">
        <f t="shared" si="304"/>
        <v>0</v>
      </c>
      <c r="Q163" s="376">
        <f t="shared" si="305"/>
        <v>0</v>
      </c>
      <c r="R163" s="374">
        <f t="shared" si="306"/>
        <v>0</v>
      </c>
      <c r="S163" s="377"/>
      <c r="T163" s="377"/>
      <c r="U163" s="377"/>
      <c r="V163" s="378">
        <f t="shared" si="292"/>
        <v>0</v>
      </c>
      <c r="W163" s="379">
        <v>66.599999999999994</v>
      </c>
      <c r="X163" s="380"/>
      <c r="Y163" s="376">
        <f t="shared" si="307"/>
        <v>0</v>
      </c>
      <c r="Z163" s="374">
        <f t="shared" si="308"/>
        <v>0</v>
      </c>
      <c r="AA163" s="381"/>
      <c r="AB163" s="381"/>
      <c r="AC163" s="382"/>
      <c r="AD163" s="376">
        <f t="shared" si="309"/>
        <v>0</v>
      </c>
      <c r="AE163" s="374">
        <f t="shared" si="310"/>
        <v>0</v>
      </c>
      <c r="AF163" s="381"/>
      <c r="AG163" s="381"/>
      <c r="AH163" s="383"/>
      <c r="AI163" s="384">
        <f t="shared" si="311"/>
        <v>0</v>
      </c>
      <c r="AJ163" s="385"/>
      <c r="AK163" s="386"/>
      <c r="AL163" s="387"/>
      <c r="AM163" s="434">
        <f t="shared" si="258"/>
        <v>0</v>
      </c>
      <c r="AN163" s="389"/>
      <c r="AO163" s="390"/>
      <c r="AP163" s="390"/>
      <c r="AQ163" s="390"/>
      <c r="AR163" s="346" t="e">
        <f t="shared" si="259"/>
        <v>#DIV/0!</v>
      </c>
      <c r="AS163" s="436"/>
      <c r="AT163" s="566">
        <v>20</v>
      </c>
      <c r="AU163" s="48"/>
      <c r="AV163" s="48"/>
      <c r="AW163" s="52"/>
      <c r="AX163" s="393" t="e">
        <f t="shared" si="260"/>
        <v>#DIV/0!</v>
      </c>
      <c r="AY163" s="77">
        <v>373</v>
      </c>
      <c r="AZ163" s="394">
        <f t="shared" si="312"/>
        <v>0</v>
      </c>
      <c r="BA163" s="395"/>
      <c r="BB163" s="396"/>
      <c r="BC163" s="397"/>
      <c r="BD163" s="600">
        <f t="shared" si="283"/>
        <v>2</v>
      </c>
      <c r="BE163" s="399">
        <f t="shared" si="284"/>
        <v>0</v>
      </c>
      <c r="BF163" s="400">
        <v>0</v>
      </c>
      <c r="BG163" s="400">
        <v>0</v>
      </c>
      <c r="BH163" s="401">
        <v>2</v>
      </c>
      <c r="BI163" s="402">
        <f t="shared" si="313"/>
        <v>4</v>
      </c>
      <c r="BJ163" s="403">
        <v>2</v>
      </c>
      <c r="BK163" s="404">
        <v>2</v>
      </c>
      <c r="BL163" s="405">
        <v>3</v>
      </c>
      <c r="BM163" s="601">
        <f t="shared" si="285"/>
        <v>13</v>
      </c>
      <c r="BN163" s="407">
        <f t="shared" si="261"/>
        <v>11</v>
      </c>
      <c r="BO163" s="12">
        <v>6</v>
      </c>
      <c r="BP163" s="12">
        <v>5</v>
      </c>
      <c r="BQ163" s="12">
        <v>2</v>
      </c>
      <c r="BR163" s="408">
        <f t="shared" si="286"/>
        <v>3.25</v>
      </c>
      <c r="BS163" s="409">
        <f t="shared" si="287"/>
        <v>0</v>
      </c>
      <c r="BT163" s="410"/>
      <c r="BU163" s="411"/>
      <c r="BV163" s="438"/>
      <c r="BW163" s="412">
        <f t="shared" si="288"/>
        <v>0</v>
      </c>
    </row>
    <row r="164" spans="1:76" ht="16.899999999999999" customHeight="1" x14ac:dyDescent="0.3">
      <c r="A164" s="8" t="s">
        <v>211</v>
      </c>
      <c r="B164" s="9" t="s">
        <v>49</v>
      </c>
      <c r="C164" s="14" t="s">
        <v>117</v>
      </c>
      <c r="D164" s="40" t="s">
        <v>148</v>
      </c>
      <c r="E164" s="15" t="s">
        <v>103</v>
      </c>
      <c r="F164" s="59">
        <v>60</v>
      </c>
      <c r="G164" s="369">
        <f t="shared" si="299"/>
        <v>0</v>
      </c>
      <c r="H164" s="553">
        <v>60</v>
      </c>
      <c r="I164" s="371">
        <v>36</v>
      </c>
      <c r="J164" s="371">
        <v>24</v>
      </c>
      <c r="K164" s="554">
        <v>12</v>
      </c>
      <c r="L164" s="373">
        <f t="shared" si="300"/>
        <v>0</v>
      </c>
      <c r="M164" s="373">
        <f t="shared" si="301"/>
        <v>0</v>
      </c>
      <c r="N164" s="374">
        <f t="shared" si="302"/>
        <v>0</v>
      </c>
      <c r="O164" s="374">
        <f t="shared" si="303"/>
        <v>0</v>
      </c>
      <c r="P164" s="375">
        <f t="shared" si="304"/>
        <v>0</v>
      </c>
      <c r="Q164" s="376">
        <f t="shared" si="305"/>
        <v>0</v>
      </c>
      <c r="R164" s="374">
        <f t="shared" si="306"/>
        <v>0</v>
      </c>
      <c r="S164" s="377"/>
      <c r="T164" s="377"/>
      <c r="U164" s="377"/>
      <c r="V164" s="378">
        <f t="shared" si="292"/>
        <v>0</v>
      </c>
      <c r="W164" s="379">
        <v>71.7</v>
      </c>
      <c r="X164" s="380"/>
      <c r="Y164" s="376">
        <f t="shared" si="307"/>
        <v>0</v>
      </c>
      <c r="Z164" s="374">
        <f t="shared" si="308"/>
        <v>0</v>
      </c>
      <c r="AA164" s="381"/>
      <c r="AB164" s="381"/>
      <c r="AC164" s="382"/>
      <c r="AD164" s="376">
        <f t="shared" si="309"/>
        <v>0</v>
      </c>
      <c r="AE164" s="374">
        <f t="shared" si="310"/>
        <v>0</v>
      </c>
      <c r="AF164" s="381"/>
      <c r="AG164" s="381"/>
      <c r="AH164" s="383"/>
      <c r="AI164" s="384">
        <f t="shared" si="311"/>
        <v>0</v>
      </c>
      <c r="AJ164" s="385"/>
      <c r="AK164" s="386"/>
      <c r="AL164" s="387"/>
      <c r="AM164" s="434">
        <f t="shared" si="258"/>
        <v>0</v>
      </c>
      <c r="AN164" s="389"/>
      <c r="AO164" s="390"/>
      <c r="AP164" s="390"/>
      <c r="AQ164" s="390"/>
      <c r="AR164" s="346" t="e">
        <f t="shared" si="259"/>
        <v>#DIV/0!</v>
      </c>
      <c r="AS164" s="436"/>
      <c r="AT164" s="566">
        <v>48</v>
      </c>
      <c r="AU164" s="48"/>
      <c r="AV164" s="48"/>
      <c r="AW164" s="52"/>
      <c r="AX164" s="393" t="e">
        <f t="shared" si="260"/>
        <v>#DIV/0!</v>
      </c>
      <c r="AY164" s="77">
        <v>228</v>
      </c>
      <c r="AZ164" s="394">
        <f t="shared" si="312"/>
        <v>0</v>
      </c>
      <c r="BA164" s="395"/>
      <c r="BB164" s="396"/>
      <c r="BC164" s="397"/>
      <c r="BD164" s="600">
        <f t="shared" si="283"/>
        <v>0</v>
      </c>
      <c r="BE164" s="399">
        <f t="shared" si="284"/>
        <v>0</v>
      </c>
      <c r="BF164" s="400">
        <v>0</v>
      </c>
      <c r="BG164" s="400">
        <v>0</v>
      </c>
      <c r="BH164" s="401">
        <v>0</v>
      </c>
      <c r="BI164" s="402">
        <f t="shared" si="313"/>
        <v>14</v>
      </c>
      <c r="BJ164" s="403">
        <v>7</v>
      </c>
      <c r="BK164" s="404">
        <v>7</v>
      </c>
      <c r="BL164" s="405">
        <v>4</v>
      </c>
      <c r="BM164" s="601">
        <f t="shared" si="285"/>
        <v>106</v>
      </c>
      <c r="BN164" s="407">
        <f t="shared" si="261"/>
        <v>88</v>
      </c>
      <c r="BO164" s="12">
        <v>50</v>
      </c>
      <c r="BP164" s="12">
        <v>38</v>
      </c>
      <c r="BQ164" s="12">
        <v>18</v>
      </c>
      <c r="BR164" s="408">
        <f t="shared" si="286"/>
        <v>7.5714285714285712</v>
      </c>
      <c r="BS164" s="409">
        <f t="shared" si="287"/>
        <v>0</v>
      </c>
      <c r="BT164" s="410"/>
      <c r="BU164" s="411"/>
      <c r="BV164" s="438"/>
      <c r="BW164" s="412">
        <f t="shared" si="288"/>
        <v>0</v>
      </c>
    </row>
    <row r="165" spans="1:76" ht="16.899999999999999" customHeight="1" x14ac:dyDescent="0.3">
      <c r="A165" s="8" t="s">
        <v>211</v>
      </c>
      <c r="B165" s="9" t="s">
        <v>49</v>
      </c>
      <c r="C165" s="14" t="s">
        <v>122</v>
      </c>
      <c r="D165" s="40" t="s">
        <v>216</v>
      </c>
      <c r="E165" s="15" t="s">
        <v>103</v>
      </c>
      <c r="F165" s="59">
        <v>25</v>
      </c>
      <c r="G165" s="369">
        <f t="shared" si="299"/>
        <v>0</v>
      </c>
      <c r="H165" s="553">
        <v>25</v>
      </c>
      <c r="I165" s="371">
        <v>16</v>
      </c>
      <c r="J165" s="371">
        <v>9</v>
      </c>
      <c r="K165" s="554">
        <v>5</v>
      </c>
      <c r="L165" s="373">
        <f t="shared" si="300"/>
        <v>0</v>
      </c>
      <c r="M165" s="373">
        <f t="shared" si="301"/>
        <v>0</v>
      </c>
      <c r="N165" s="374">
        <f t="shared" si="302"/>
        <v>0</v>
      </c>
      <c r="O165" s="374">
        <f t="shared" si="303"/>
        <v>0</v>
      </c>
      <c r="P165" s="375">
        <f t="shared" si="304"/>
        <v>0</v>
      </c>
      <c r="Q165" s="376">
        <f t="shared" si="305"/>
        <v>0</v>
      </c>
      <c r="R165" s="374">
        <f t="shared" si="306"/>
        <v>0</v>
      </c>
      <c r="S165" s="377"/>
      <c r="T165" s="377"/>
      <c r="U165" s="377"/>
      <c r="V165" s="378">
        <f t="shared" si="292"/>
        <v>0</v>
      </c>
      <c r="W165" s="379">
        <v>55.9</v>
      </c>
      <c r="X165" s="380"/>
      <c r="Y165" s="376">
        <f t="shared" si="307"/>
        <v>0</v>
      </c>
      <c r="Z165" s="374">
        <f t="shared" si="308"/>
        <v>0</v>
      </c>
      <c r="AA165" s="381"/>
      <c r="AB165" s="381"/>
      <c r="AC165" s="382"/>
      <c r="AD165" s="376">
        <f t="shared" si="309"/>
        <v>0</v>
      </c>
      <c r="AE165" s="374">
        <f t="shared" si="310"/>
        <v>0</v>
      </c>
      <c r="AF165" s="381"/>
      <c r="AG165" s="381"/>
      <c r="AH165" s="383"/>
      <c r="AI165" s="384">
        <f t="shared" si="311"/>
        <v>0</v>
      </c>
      <c r="AJ165" s="385"/>
      <c r="AK165" s="386"/>
      <c r="AL165" s="387"/>
      <c r="AM165" s="434">
        <f t="shared" si="258"/>
        <v>0</v>
      </c>
      <c r="AN165" s="389"/>
      <c r="AO165" s="390"/>
      <c r="AP165" s="390"/>
      <c r="AQ165" s="390"/>
      <c r="AR165" s="346" t="e">
        <f t="shared" si="259"/>
        <v>#DIV/0!</v>
      </c>
      <c r="AS165" s="436"/>
      <c r="AT165" s="566">
        <v>19</v>
      </c>
      <c r="AU165" s="48"/>
      <c r="AV165" s="48"/>
      <c r="AW165" s="52"/>
      <c r="AX165" s="393" t="e">
        <f t="shared" si="260"/>
        <v>#DIV/0!</v>
      </c>
      <c r="AY165" s="77">
        <v>456</v>
      </c>
      <c r="AZ165" s="394">
        <f t="shared" si="312"/>
        <v>0</v>
      </c>
      <c r="BA165" s="395"/>
      <c r="BB165" s="396"/>
      <c r="BC165" s="397"/>
      <c r="BD165" s="600">
        <f t="shared" si="283"/>
        <v>2</v>
      </c>
      <c r="BE165" s="399">
        <f t="shared" si="284"/>
        <v>0</v>
      </c>
      <c r="BF165" s="400">
        <v>0</v>
      </c>
      <c r="BG165" s="400">
        <v>0</v>
      </c>
      <c r="BH165" s="401">
        <v>2</v>
      </c>
      <c r="BI165" s="402">
        <f t="shared" si="313"/>
        <v>4</v>
      </c>
      <c r="BJ165" s="403">
        <v>2</v>
      </c>
      <c r="BK165" s="404">
        <v>2</v>
      </c>
      <c r="BL165" s="405">
        <v>4</v>
      </c>
      <c r="BM165" s="601">
        <f t="shared" si="285"/>
        <v>25</v>
      </c>
      <c r="BN165" s="407">
        <f t="shared" si="261"/>
        <v>21</v>
      </c>
      <c r="BO165" s="12">
        <v>12</v>
      </c>
      <c r="BP165" s="12">
        <v>9</v>
      </c>
      <c r="BQ165" s="12">
        <v>4</v>
      </c>
      <c r="BR165" s="408">
        <f t="shared" si="286"/>
        <v>6.25</v>
      </c>
      <c r="BS165" s="409">
        <f t="shared" si="287"/>
        <v>0</v>
      </c>
      <c r="BT165" s="410"/>
      <c r="BU165" s="411"/>
      <c r="BV165" s="438"/>
      <c r="BW165" s="412">
        <f t="shared" si="288"/>
        <v>0</v>
      </c>
    </row>
    <row r="166" spans="1:76" ht="16.899999999999999" customHeight="1" x14ac:dyDescent="0.3">
      <c r="A166" s="8" t="s">
        <v>211</v>
      </c>
      <c r="B166" s="9" t="s">
        <v>49</v>
      </c>
      <c r="C166" s="14" t="s">
        <v>108</v>
      </c>
      <c r="D166" s="40" t="s">
        <v>185</v>
      </c>
      <c r="E166" s="15" t="s">
        <v>103</v>
      </c>
      <c r="F166" s="59">
        <v>50</v>
      </c>
      <c r="G166" s="369">
        <f t="shared" si="299"/>
        <v>0</v>
      </c>
      <c r="H166" s="553">
        <v>50</v>
      </c>
      <c r="I166" s="371">
        <v>35</v>
      </c>
      <c r="J166" s="371">
        <v>15</v>
      </c>
      <c r="K166" s="554">
        <v>10</v>
      </c>
      <c r="L166" s="373">
        <f t="shared" si="300"/>
        <v>0</v>
      </c>
      <c r="M166" s="373">
        <f t="shared" si="301"/>
        <v>0</v>
      </c>
      <c r="N166" s="374">
        <f t="shared" si="302"/>
        <v>0</v>
      </c>
      <c r="O166" s="374">
        <f t="shared" si="303"/>
        <v>0</v>
      </c>
      <c r="P166" s="375">
        <f t="shared" si="304"/>
        <v>0</v>
      </c>
      <c r="Q166" s="376">
        <f t="shared" si="305"/>
        <v>0</v>
      </c>
      <c r="R166" s="374">
        <f t="shared" si="306"/>
        <v>0</v>
      </c>
      <c r="S166" s="377"/>
      <c r="T166" s="377"/>
      <c r="U166" s="377"/>
      <c r="V166" s="378">
        <f t="shared" si="292"/>
        <v>0</v>
      </c>
      <c r="W166" s="379">
        <v>80</v>
      </c>
      <c r="X166" s="380"/>
      <c r="Y166" s="376">
        <f t="shared" si="307"/>
        <v>0</v>
      </c>
      <c r="Z166" s="374">
        <f t="shared" si="308"/>
        <v>0</v>
      </c>
      <c r="AA166" s="381"/>
      <c r="AB166" s="381"/>
      <c r="AC166" s="382"/>
      <c r="AD166" s="376">
        <f t="shared" si="309"/>
        <v>0</v>
      </c>
      <c r="AE166" s="374">
        <f t="shared" si="310"/>
        <v>0</v>
      </c>
      <c r="AF166" s="381"/>
      <c r="AG166" s="381"/>
      <c r="AH166" s="383"/>
      <c r="AI166" s="384">
        <f t="shared" si="311"/>
        <v>0</v>
      </c>
      <c r="AJ166" s="385"/>
      <c r="AK166" s="386"/>
      <c r="AL166" s="387"/>
      <c r="AM166" s="434">
        <f t="shared" si="258"/>
        <v>0</v>
      </c>
      <c r="AN166" s="389"/>
      <c r="AO166" s="390"/>
      <c r="AP166" s="390"/>
      <c r="AQ166" s="390"/>
      <c r="AR166" s="346" t="e">
        <f t="shared" si="259"/>
        <v>#DIV/0!</v>
      </c>
      <c r="AS166" s="436"/>
      <c r="AT166" s="566">
        <v>44</v>
      </c>
      <c r="AU166" s="48"/>
      <c r="AV166" s="48"/>
      <c r="AW166" s="52"/>
      <c r="AX166" s="393" t="e">
        <f t="shared" si="260"/>
        <v>#DIV/0!</v>
      </c>
      <c r="AY166" s="77">
        <v>428</v>
      </c>
      <c r="AZ166" s="394">
        <f t="shared" si="312"/>
        <v>0</v>
      </c>
      <c r="BA166" s="395"/>
      <c r="BB166" s="396"/>
      <c r="BC166" s="397"/>
      <c r="BD166" s="600">
        <f t="shared" si="283"/>
        <v>0</v>
      </c>
      <c r="BE166" s="399">
        <f t="shared" si="284"/>
        <v>0</v>
      </c>
      <c r="BF166" s="400">
        <v>0</v>
      </c>
      <c r="BG166" s="400">
        <v>0</v>
      </c>
      <c r="BH166" s="401">
        <v>0</v>
      </c>
      <c r="BI166" s="402">
        <f t="shared" si="313"/>
        <v>8</v>
      </c>
      <c r="BJ166" s="403">
        <v>5</v>
      </c>
      <c r="BK166" s="404">
        <v>3</v>
      </c>
      <c r="BL166" s="405">
        <v>4</v>
      </c>
      <c r="BM166" s="601">
        <f t="shared" si="285"/>
        <v>39</v>
      </c>
      <c r="BN166" s="407">
        <f t="shared" si="261"/>
        <v>30</v>
      </c>
      <c r="BO166" s="12">
        <v>24</v>
      </c>
      <c r="BP166" s="12">
        <v>6</v>
      </c>
      <c r="BQ166" s="12">
        <v>9</v>
      </c>
      <c r="BR166" s="408">
        <f t="shared" si="286"/>
        <v>4.875</v>
      </c>
      <c r="BS166" s="409">
        <f t="shared" si="287"/>
        <v>0</v>
      </c>
      <c r="BT166" s="410"/>
      <c r="BU166" s="411"/>
      <c r="BV166" s="438"/>
      <c r="BW166" s="412">
        <f t="shared" si="288"/>
        <v>0</v>
      </c>
    </row>
    <row r="167" spans="1:76" ht="16.899999999999999" customHeight="1" x14ac:dyDescent="0.3">
      <c r="A167" s="8" t="s">
        <v>211</v>
      </c>
      <c r="B167" s="9" t="s">
        <v>49</v>
      </c>
      <c r="C167" s="14" t="s">
        <v>183</v>
      </c>
      <c r="D167" s="40" t="s">
        <v>217</v>
      </c>
      <c r="E167" s="15" t="s">
        <v>103</v>
      </c>
      <c r="F167" s="59">
        <v>50</v>
      </c>
      <c r="G167" s="369">
        <f t="shared" si="299"/>
        <v>0</v>
      </c>
      <c r="H167" s="553">
        <v>50</v>
      </c>
      <c r="I167" s="371">
        <v>31</v>
      </c>
      <c r="J167" s="371">
        <v>19</v>
      </c>
      <c r="K167" s="554">
        <v>10</v>
      </c>
      <c r="L167" s="373">
        <f t="shared" si="300"/>
        <v>0</v>
      </c>
      <c r="M167" s="373">
        <f t="shared" si="301"/>
        <v>0</v>
      </c>
      <c r="N167" s="374">
        <f t="shared" si="302"/>
        <v>0</v>
      </c>
      <c r="O167" s="374">
        <f t="shared" si="303"/>
        <v>0</v>
      </c>
      <c r="P167" s="375">
        <f t="shared" si="304"/>
        <v>0</v>
      </c>
      <c r="Q167" s="376">
        <f t="shared" si="305"/>
        <v>0</v>
      </c>
      <c r="R167" s="374">
        <f t="shared" si="306"/>
        <v>0</v>
      </c>
      <c r="S167" s="377"/>
      <c r="T167" s="377"/>
      <c r="U167" s="377"/>
      <c r="V167" s="378">
        <f t="shared" si="292"/>
        <v>0</v>
      </c>
      <c r="W167" s="379">
        <v>77.2</v>
      </c>
      <c r="X167" s="380"/>
      <c r="Y167" s="376">
        <f t="shared" si="307"/>
        <v>0</v>
      </c>
      <c r="Z167" s="374">
        <f t="shared" si="308"/>
        <v>0</v>
      </c>
      <c r="AA167" s="381"/>
      <c r="AB167" s="381"/>
      <c r="AC167" s="382"/>
      <c r="AD167" s="376">
        <f t="shared" si="309"/>
        <v>0</v>
      </c>
      <c r="AE167" s="374">
        <f t="shared" si="310"/>
        <v>0</v>
      </c>
      <c r="AF167" s="381"/>
      <c r="AG167" s="381"/>
      <c r="AH167" s="383"/>
      <c r="AI167" s="384">
        <f t="shared" si="311"/>
        <v>0</v>
      </c>
      <c r="AJ167" s="385"/>
      <c r="AK167" s="386"/>
      <c r="AL167" s="387"/>
      <c r="AM167" s="434">
        <f t="shared" si="258"/>
        <v>0</v>
      </c>
      <c r="AN167" s="389"/>
      <c r="AO167" s="390"/>
      <c r="AP167" s="390"/>
      <c r="AQ167" s="390"/>
      <c r="AR167" s="346" t="e">
        <f t="shared" si="259"/>
        <v>#DIV/0!</v>
      </c>
      <c r="AS167" s="436"/>
      <c r="AT167" s="566">
        <v>40</v>
      </c>
      <c r="AU167" s="48"/>
      <c r="AV167" s="48"/>
      <c r="AW167" s="52"/>
      <c r="AX167" s="393" t="e">
        <f t="shared" si="260"/>
        <v>#DIV/0!</v>
      </c>
      <c r="AY167" s="77">
        <v>29</v>
      </c>
      <c r="AZ167" s="394">
        <f t="shared" si="312"/>
        <v>0</v>
      </c>
      <c r="BA167" s="395"/>
      <c r="BB167" s="396"/>
      <c r="BC167" s="397"/>
      <c r="BD167" s="600">
        <f t="shared" si="283"/>
        <v>2</v>
      </c>
      <c r="BE167" s="399">
        <f t="shared" si="284"/>
        <v>0</v>
      </c>
      <c r="BF167" s="400">
        <v>0</v>
      </c>
      <c r="BG167" s="400">
        <v>0</v>
      </c>
      <c r="BH167" s="401">
        <v>2</v>
      </c>
      <c r="BI167" s="402">
        <f t="shared" si="313"/>
        <v>10</v>
      </c>
      <c r="BJ167" s="403">
        <v>5</v>
      </c>
      <c r="BK167" s="404">
        <v>5</v>
      </c>
      <c r="BL167" s="405">
        <v>6</v>
      </c>
      <c r="BM167" s="601">
        <f t="shared" si="285"/>
        <v>38</v>
      </c>
      <c r="BN167" s="407">
        <f t="shared" si="261"/>
        <v>32</v>
      </c>
      <c r="BO167" s="12">
        <v>14</v>
      </c>
      <c r="BP167" s="12">
        <v>18</v>
      </c>
      <c r="BQ167" s="12">
        <v>6</v>
      </c>
      <c r="BR167" s="408">
        <f t="shared" si="286"/>
        <v>3.8</v>
      </c>
      <c r="BS167" s="409">
        <f t="shared" si="287"/>
        <v>0</v>
      </c>
      <c r="BT167" s="410"/>
      <c r="BU167" s="411"/>
      <c r="BV167" s="438"/>
      <c r="BW167" s="412">
        <f t="shared" si="288"/>
        <v>0</v>
      </c>
    </row>
    <row r="168" spans="1:76" ht="16.899999999999999" customHeight="1" x14ac:dyDescent="0.3">
      <c r="A168" s="8" t="s">
        <v>211</v>
      </c>
      <c r="B168" s="9" t="s">
        <v>49</v>
      </c>
      <c r="C168" s="14" t="s">
        <v>186</v>
      </c>
      <c r="D168" s="40" t="s">
        <v>218</v>
      </c>
      <c r="E168" s="15" t="s">
        <v>103</v>
      </c>
      <c r="F168" s="59">
        <v>25</v>
      </c>
      <c r="G168" s="369">
        <f t="shared" si="299"/>
        <v>0</v>
      </c>
      <c r="H168" s="553">
        <v>25</v>
      </c>
      <c r="I168" s="371">
        <v>17</v>
      </c>
      <c r="J168" s="371">
        <v>8</v>
      </c>
      <c r="K168" s="554">
        <v>5</v>
      </c>
      <c r="L168" s="373">
        <f t="shared" si="300"/>
        <v>0</v>
      </c>
      <c r="M168" s="373">
        <f t="shared" si="301"/>
        <v>0</v>
      </c>
      <c r="N168" s="374">
        <f t="shared" si="302"/>
        <v>0</v>
      </c>
      <c r="O168" s="374">
        <f t="shared" si="303"/>
        <v>0</v>
      </c>
      <c r="P168" s="375">
        <f t="shared" si="304"/>
        <v>0</v>
      </c>
      <c r="Q168" s="376">
        <f t="shared" si="305"/>
        <v>0</v>
      </c>
      <c r="R168" s="374">
        <f t="shared" si="306"/>
        <v>0</v>
      </c>
      <c r="S168" s="377"/>
      <c r="T168" s="377"/>
      <c r="U168" s="377"/>
      <c r="V168" s="378">
        <f t="shared" si="292"/>
        <v>0</v>
      </c>
      <c r="W168" s="379">
        <v>60.9</v>
      </c>
      <c r="X168" s="380"/>
      <c r="Y168" s="376">
        <f t="shared" si="307"/>
        <v>0</v>
      </c>
      <c r="Z168" s="374">
        <f t="shared" si="308"/>
        <v>0</v>
      </c>
      <c r="AA168" s="381"/>
      <c r="AB168" s="381"/>
      <c r="AC168" s="382"/>
      <c r="AD168" s="376">
        <f t="shared" si="309"/>
        <v>0</v>
      </c>
      <c r="AE168" s="374">
        <f t="shared" si="310"/>
        <v>0</v>
      </c>
      <c r="AF168" s="381"/>
      <c r="AG168" s="381"/>
      <c r="AH168" s="383"/>
      <c r="AI168" s="384">
        <f t="shared" si="311"/>
        <v>0</v>
      </c>
      <c r="AJ168" s="385"/>
      <c r="AK168" s="386"/>
      <c r="AL168" s="387"/>
      <c r="AM168" s="434">
        <f t="shared" si="258"/>
        <v>0</v>
      </c>
      <c r="AN168" s="389"/>
      <c r="AO168" s="390"/>
      <c r="AP168" s="390"/>
      <c r="AQ168" s="390"/>
      <c r="AR168" s="346" t="e">
        <f t="shared" si="259"/>
        <v>#DIV/0!</v>
      </c>
      <c r="AS168" s="436"/>
      <c r="AT168" s="566">
        <v>20</v>
      </c>
      <c r="AU168" s="48"/>
      <c r="AV168" s="48"/>
      <c r="AW168" s="52"/>
      <c r="AX168" s="393" t="e">
        <f t="shared" si="260"/>
        <v>#DIV/0!</v>
      </c>
      <c r="AY168" s="77">
        <v>452</v>
      </c>
      <c r="AZ168" s="394">
        <f t="shared" si="312"/>
        <v>0</v>
      </c>
      <c r="BA168" s="395"/>
      <c r="BB168" s="396"/>
      <c r="BC168" s="397"/>
      <c r="BD168" s="600">
        <f t="shared" si="283"/>
        <v>1</v>
      </c>
      <c r="BE168" s="399">
        <f t="shared" si="284"/>
        <v>0</v>
      </c>
      <c r="BF168" s="400">
        <v>0</v>
      </c>
      <c r="BG168" s="400">
        <v>0</v>
      </c>
      <c r="BH168" s="401">
        <v>1</v>
      </c>
      <c r="BI168" s="402">
        <f t="shared" si="313"/>
        <v>4</v>
      </c>
      <c r="BJ168" s="403">
        <v>2</v>
      </c>
      <c r="BK168" s="404">
        <v>2</v>
      </c>
      <c r="BL168" s="405">
        <v>3</v>
      </c>
      <c r="BM168" s="601">
        <f t="shared" si="285"/>
        <v>18</v>
      </c>
      <c r="BN168" s="407">
        <f t="shared" si="261"/>
        <v>16</v>
      </c>
      <c r="BO168" s="12">
        <v>12</v>
      </c>
      <c r="BP168" s="12">
        <v>4</v>
      </c>
      <c r="BQ168" s="12">
        <v>2</v>
      </c>
      <c r="BR168" s="408">
        <f t="shared" si="286"/>
        <v>4.5</v>
      </c>
      <c r="BS168" s="409">
        <f t="shared" si="287"/>
        <v>0</v>
      </c>
      <c r="BT168" s="410"/>
      <c r="BU168" s="411"/>
      <c r="BV168" s="438"/>
      <c r="BW168" s="412">
        <f t="shared" si="288"/>
        <v>0</v>
      </c>
    </row>
    <row r="169" spans="1:76" ht="16.899999999999999" customHeight="1" x14ac:dyDescent="0.3">
      <c r="A169" s="8" t="s">
        <v>211</v>
      </c>
      <c r="B169" s="9" t="s">
        <v>49</v>
      </c>
      <c r="C169" s="14" t="s">
        <v>115</v>
      </c>
      <c r="D169" s="40" t="s">
        <v>116</v>
      </c>
      <c r="E169" s="15" t="s">
        <v>103</v>
      </c>
      <c r="F169" s="59">
        <v>50</v>
      </c>
      <c r="G169" s="369">
        <f t="shared" si="299"/>
        <v>0</v>
      </c>
      <c r="H169" s="553">
        <v>50</v>
      </c>
      <c r="I169" s="371">
        <v>29</v>
      </c>
      <c r="J169" s="371">
        <v>21</v>
      </c>
      <c r="K169" s="554">
        <v>10</v>
      </c>
      <c r="L169" s="373">
        <f t="shared" si="300"/>
        <v>0</v>
      </c>
      <c r="M169" s="373">
        <f t="shared" si="301"/>
        <v>0</v>
      </c>
      <c r="N169" s="374">
        <f t="shared" si="302"/>
        <v>0</v>
      </c>
      <c r="O169" s="374">
        <f t="shared" si="303"/>
        <v>0</v>
      </c>
      <c r="P169" s="375">
        <f t="shared" si="304"/>
        <v>0</v>
      </c>
      <c r="Q169" s="376">
        <f t="shared" si="305"/>
        <v>0</v>
      </c>
      <c r="R169" s="374">
        <f t="shared" si="306"/>
        <v>0</v>
      </c>
      <c r="S169" s="377"/>
      <c r="T169" s="377"/>
      <c r="U169" s="377"/>
      <c r="V169" s="378">
        <f t="shared" si="292"/>
        <v>0</v>
      </c>
      <c r="W169" s="379">
        <v>70.7</v>
      </c>
      <c r="X169" s="380"/>
      <c r="Y169" s="376">
        <f t="shared" si="307"/>
        <v>0</v>
      </c>
      <c r="Z169" s="374">
        <f t="shared" si="308"/>
        <v>0</v>
      </c>
      <c r="AA169" s="381"/>
      <c r="AB169" s="381"/>
      <c r="AC169" s="382"/>
      <c r="AD169" s="376">
        <f t="shared" si="309"/>
        <v>0</v>
      </c>
      <c r="AE169" s="374">
        <f t="shared" si="310"/>
        <v>0</v>
      </c>
      <c r="AF169" s="381"/>
      <c r="AG169" s="381"/>
      <c r="AH169" s="383"/>
      <c r="AI169" s="384">
        <f t="shared" si="311"/>
        <v>0</v>
      </c>
      <c r="AJ169" s="385"/>
      <c r="AK169" s="386"/>
      <c r="AL169" s="387"/>
      <c r="AM169" s="434">
        <f t="shared" si="258"/>
        <v>0</v>
      </c>
      <c r="AN169" s="389"/>
      <c r="AO169" s="390"/>
      <c r="AP169" s="390"/>
      <c r="AQ169" s="390"/>
      <c r="AR169" s="346" t="e">
        <f t="shared" si="259"/>
        <v>#DIV/0!</v>
      </c>
      <c r="AS169" s="436"/>
      <c r="AT169" s="566">
        <v>39</v>
      </c>
      <c r="AU169" s="48"/>
      <c r="AV169" s="48"/>
      <c r="AW169" s="52"/>
      <c r="AX169" s="393" t="e">
        <f t="shared" si="260"/>
        <v>#DIV/0!</v>
      </c>
      <c r="AY169" s="77">
        <v>253</v>
      </c>
      <c r="AZ169" s="394">
        <f t="shared" si="312"/>
        <v>0</v>
      </c>
      <c r="BA169" s="395"/>
      <c r="BB169" s="396"/>
      <c r="BC169" s="397"/>
      <c r="BD169" s="600">
        <f t="shared" si="283"/>
        <v>0</v>
      </c>
      <c r="BE169" s="399">
        <f t="shared" si="284"/>
        <v>0</v>
      </c>
      <c r="BF169" s="400">
        <v>0</v>
      </c>
      <c r="BG169" s="400">
        <v>0</v>
      </c>
      <c r="BH169" s="401">
        <v>0</v>
      </c>
      <c r="BI169" s="402">
        <f t="shared" si="313"/>
        <v>12</v>
      </c>
      <c r="BJ169" s="403">
        <v>7</v>
      </c>
      <c r="BK169" s="404">
        <v>5</v>
      </c>
      <c r="BL169" s="405">
        <v>3</v>
      </c>
      <c r="BM169" s="601">
        <f t="shared" si="285"/>
        <v>122</v>
      </c>
      <c r="BN169" s="407">
        <f t="shared" si="261"/>
        <v>106</v>
      </c>
      <c r="BO169" s="12">
        <v>61</v>
      </c>
      <c r="BP169" s="12">
        <v>45</v>
      </c>
      <c r="BQ169" s="12">
        <v>16</v>
      </c>
      <c r="BR169" s="408">
        <f t="shared" si="286"/>
        <v>10.166666666666666</v>
      </c>
      <c r="BS169" s="409">
        <f t="shared" si="287"/>
        <v>0</v>
      </c>
      <c r="BT169" s="410"/>
      <c r="BU169" s="411"/>
      <c r="BV169" s="438"/>
      <c r="BW169" s="412">
        <f t="shared" si="288"/>
        <v>0</v>
      </c>
    </row>
    <row r="170" spans="1:76" ht="16.899999999999999" customHeight="1" x14ac:dyDescent="0.3">
      <c r="A170" s="4" t="s">
        <v>211</v>
      </c>
      <c r="B170" s="5" t="s">
        <v>50</v>
      </c>
      <c r="C170" s="5"/>
      <c r="D170" s="17" t="s">
        <v>21</v>
      </c>
      <c r="E170" s="6"/>
      <c r="F170" s="58">
        <f t="shared" ref="F170:U170" si="314">SUM(F171:F178)</f>
        <v>310</v>
      </c>
      <c r="G170" s="7">
        <f t="shared" si="314"/>
        <v>0</v>
      </c>
      <c r="H170" s="7">
        <f t="shared" si="314"/>
        <v>310</v>
      </c>
      <c r="I170" s="67">
        <f t="shared" si="314"/>
        <v>215</v>
      </c>
      <c r="J170" s="67">
        <f t="shared" si="314"/>
        <v>95</v>
      </c>
      <c r="K170" s="70">
        <f t="shared" si="314"/>
        <v>62</v>
      </c>
      <c r="L170" s="413">
        <f t="shared" si="314"/>
        <v>0</v>
      </c>
      <c r="M170" s="413">
        <f t="shared" si="314"/>
        <v>0</v>
      </c>
      <c r="N170" s="413">
        <f t="shared" si="314"/>
        <v>0</v>
      </c>
      <c r="O170" s="413">
        <f t="shared" si="314"/>
        <v>0</v>
      </c>
      <c r="P170" s="414">
        <f t="shared" si="314"/>
        <v>0</v>
      </c>
      <c r="Q170" s="415">
        <f t="shared" si="314"/>
        <v>0</v>
      </c>
      <c r="R170" s="416">
        <f t="shared" si="314"/>
        <v>0</v>
      </c>
      <c r="S170" s="416">
        <f t="shared" si="314"/>
        <v>0</v>
      </c>
      <c r="T170" s="416">
        <f t="shared" si="314"/>
        <v>0</v>
      </c>
      <c r="U170" s="416">
        <f t="shared" si="314"/>
        <v>0</v>
      </c>
      <c r="V170" s="334">
        <f t="shared" si="292"/>
        <v>0</v>
      </c>
      <c r="W170" s="335">
        <f t="shared" ref="W170:AI170" si="315">SUM(W171:W178)</f>
        <v>680.6</v>
      </c>
      <c r="X170" s="413">
        <f t="shared" si="315"/>
        <v>0</v>
      </c>
      <c r="Y170" s="415">
        <f t="shared" si="315"/>
        <v>0</v>
      </c>
      <c r="Z170" s="416">
        <f t="shared" si="315"/>
        <v>0</v>
      </c>
      <c r="AA170" s="416">
        <f t="shared" si="315"/>
        <v>0</v>
      </c>
      <c r="AB170" s="416">
        <f t="shared" si="315"/>
        <v>0</v>
      </c>
      <c r="AC170" s="417">
        <f t="shared" si="315"/>
        <v>0</v>
      </c>
      <c r="AD170" s="415">
        <f t="shared" si="315"/>
        <v>0</v>
      </c>
      <c r="AE170" s="416">
        <f t="shared" si="315"/>
        <v>0</v>
      </c>
      <c r="AF170" s="416">
        <f t="shared" si="315"/>
        <v>0</v>
      </c>
      <c r="AG170" s="416">
        <f t="shared" si="315"/>
        <v>0</v>
      </c>
      <c r="AH170" s="418">
        <f t="shared" si="315"/>
        <v>0</v>
      </c>
      <c r="AI170" s="339">
        <f t="shared" si="315"/>
        <v>0</v>
      </c>
      <c r="AJ170" s="340"/>
      <c r="AK170" s="341"/>
      <c r="AL170" s="342"/>
      <c r="AM170" s="420">
        <f t="shared" si="258"/>
        <v>0</v>
      </c>
      <c r="AN170" s="344"/>
      <c r="AO170" s="446"/>
      <c r="AP170" s="446"/>
      <c r="AQ170" s="440"/>
      <c r="AR170" s="346" t="e">
        <f t="shared" si="259"/>
        <v>#DIV/0!</v>
      </c>
      <c r="AS170" s="424">
        <v>1.0780000000000001</v>
      </c>
      <c r="AT170" s="441">
        <f>SUM(AT171:AT178)</f>
        <v>182</v>
      </c>
      <c r="AU170" s="361"/>
      <c r="AV170" s="361"/>
      <c r="AW170" s="444"/>
      <c r="AX170" s="352" t="e">
        <f t="shared" si="260"/>
        <v>#DIV/0!</v>
      </c>
      <c r="AY170" s="427">
        <v>0.754</v>
      </c>
      <c r="AZ170" s="354">
        <f>SUM(AZ171:AZ178)</f>
        <v>0</v>
      </c>
      <c r="BA170" s="340"/>
      <c r="BB170" s="340"/>
      <c r="BC170" s="355"/>
      <c r="BD170" s="356">
        <f t="shared" si="283"/>
        <v>84</v>
      </c>
      <c r="BE170" s="445">
        <f t="shared" si="284"/>
        <v>66</v>
      </c>
      <c r="BF170" s="446">
        <f t="shared" ref="BF170:BL170" si="316">SUM(BF171:BF178)</f>
        <v>41</v>
      </c>
      <c r="BG170" s="446">
        <f t="shared" si="316"/>
        <v>25</v>
      </c>
      <c r="BH170" s="447">
        <f t="shared" si="316"/>
        <v>18</v>
      </c>
      <c r="BI170" s="359">
        <f t="shared" si="316"/>
        <v>116</v>
      </c>
      <c r="BJ170" s="360">
        <f t="shared" si="316"/>
        <v>73</v>
      </c>
      <c r="BK170" s="361">
        <f t="shared" si="316"/>
        <v>43</v>
      </c>
      <c r="BL170" s="362">
        <f t="shared" si="316"/>
        <v>35</v>
      </c>
      <c r="BM170" s="363">
        <f t="shared" si="285"/>
        <v>164</v>
      </c>
      <c r="BN170" s="356">
        <f t="shared" si="261"/>
        <v>139</v>
      </c>
      <c r="BO170" s="446">
        <f>SUM(BO171:BO178)</f>
        <v>100</v>
      </c>
      <c r="BP170" s="446">
        <f>SUM(BP171:BP178)</f>
        <v>39</v>
      </c>
      <c r="BQ170" s="446">
        <f>SUM(BQ171:BQ178)</f>
        <v>25</v>
      </c>
      <c r="BR170" s="432">
        <f t="shared" si="286"/>
        <v>1.4137931034482758</v>
      </c>
      <c r="BS170" s="366">
        <f t="shared" si="287"/>
        <v>0</v>
      </c>
      <c r="BT170" s="367">
        <f>SUM(BT171:BT178)</f>
        <v>0</v>
      </c>
      <c r="BU170" s="367">
        <f>SUM(BU171:BU178)</f>
        <v>0</v>
      </c>
      <c r="BV170" s="367">
        <f>SUM(BV171:BV178)</f>
        <v>0</v>
      </c>
      <c r="BW170" s="368">
        <f t="shared" si="288"/>
        <v>0</v>
      </c>
      <c r="BX170" t="s">
        <v>50</v>
      </c>
    </row>
    <row r="171" spans="1:76" ht="16.899999999999999" customHeight="1" x14ac:dyDescent="0.3">
      <c r="A171" s="8" t="s">
        <v>211</v>
      </c>
      <c r="B171" s="9" t="s">
        <v>50</v>
      </c>
      <c r="C171" s="14" t="s">
        <v>101</v>
      </c>
      <c r="D171" s="40" t="s">
        <v>197</v>
      </c>
      <c r="E171" s="15" t="s">
        <v>103</v>
      </c>
      <c r="F171" s="59">
        <v>50</v>
      </c>
      <c r="G171" s="369">
        <f t="shared" ref="G171:G178" si="317">L171/F171</f>
        <v>0</v>
      </c>
      <c r="H171" s="553">
        <v>50</v>
      </c>
      <c r="I171" s="371">
        <v>35</v>
      </c>
      <c r="J171" s="371">
        <v>15</v>
      </c>
      <c r="K171" s="554">
        <v>10</v>
      </c>
      <c r="L171" s="373">
        <f t="shared" ref="L171:L178" si="318">N171+O171+P171</f>
        <v>0</v>
      </c>
      <c r="M171" s="373">
        <f t="shared" ref="M171:M178" si="319">N171+O171</f>
        <v>0</v>
      </c>
      <c r="N171" s="374">
        <f t="shared" ref="N171:P178" si="320">AA171+AF171</f>
        <v>0</v>
      </c>
      <c r="O171" s="374">
        <f t="shared" si="320"/>
        <v>0</v>
      </c>
      <c r="P171" s="375">
        <f t="shared" si="320"/>
        <v>0</v>
      </c>
      <c r="Q171" s="376">
        <f t="shared" ref="Q171:Q178" si="321">R171+U171</f>
        <v>0</v>
      </c>
      <c r="R171" s="374">
        <f t="shared" ref="R171:R178" si="322">S171+T171</f>
        <v>0</v>
      </c>
      <c r="S171" s="377"/>
      <c r="T171" s="377"/>
      <c r="U171" s="377"/>
      <c r="V171" s="378">
        <f t="shared" si="292"/>
        <v>0</v>
      </c>
      <c r="W171" s="379">
        <v>80.599999999999994</v>
      </c>
      <c r="X171" s="380"/>
      <c r="Y171" s="376">
        <f t="shared" ref="Y171:Y178" si="323">Z171+AC171</f>
        <v>0</v>
      </c>
      <c r="Z171" s="374">
        <f t="shared" ref="Z171:Z178" si="324">AA171+AB171</f>
        <v>0</v>
      </c>
      <c r="AA171" s="381"/>
      <c r="AB171" s="381"/>
      <c r="AC171" s="382"/>
      <c r="AD171" s="376">
        <f t="shared" ref="AD171:AD178" si="325">AE171+AH171</f>
        <v>0</v>
      </c>
      <c r="AE171" s="374">
        <f t="shared" ref="AE171:AE178" si="326">AF171+AG171</f>
        <v>0</v>
      </c>
      <c r="AF171" s="381"/>
      <c r="AG171" s="381"/>
      <c r="AH171" s="383"/>
      <c r="AI171" s="384">
        <f t="shared" ref="AI171:AI178" si="327">AJ171+AK171</f>
        <v>0</v>
      </c>
      <c r="AJ171" s="385"/>
      <c r="AK171" s="386"/>
      <c r="AL171" s="387"/>
      <c r="AM171" s="434">
        <f t="shared" si="258"/>
        <v>0</v>
      </c>
      <c r="AN171" s="389"/>
      <c r="AO171" s="390"/>
      <c r="AP171" s="390"/>
      <c r="AQ171" s="390"/>
      <c r="AR171" s="346" t="e">
        <f t="shared" si="259"/>
        <v>#DIV/0!</v>
      </c>
      <c r="AS171" s="436"/>
      <c r="AT171" s="392">
        <v>44</v>
      </c>
      <c r="AU171" s="48"/>
      <c r="AV171" s="48"/>
      <c r="AW171" s="52"/>
      <c r="AX171" s="393" t="e">
        <f t="shared" si="260"/>
        <v>#DIV/0!</v>
      </c>
      <c r="AY171" s="77">
        <v>72</v>
      </c>
      <c r="AZ171" s="394">
        <f t="shared" ref="AZ171:AZ178" si="328">BA171+BB171</f>
        <v>0</v>
      </c>
      <c r="BA171" s="395"/>
      <c r="BB171" s="396"/>
      <c r="BC171" s="397"/>
      <c r="BD171" s="398">
        <f t="shared" si="283"/>
        <v>5</v>
      </c>
      <c r="BE171" s="399">
        <f t="shared" si="284"/>
        <v>0</v>
      </c>
      <c r="BF171" s="400">
        <v>0</v>
      </c>
      <c r="BG171" s="400">
        <v>0</v>
      </c>
      <c r="BH171" s="401">
        <v>5</v>
      </c>
      <c r="BI171" s="402">
        <f t="shared" ref="BI171:BI178" si="329">SUM(BJ171:BK171)</f>
        <v>4</v>
      </c>
      <c r="BJ171" s="403">
        <v>2</v>
      </c>
      <c r="BK171" s="404">
        <v>2</v>
      </c>
      <c r="BL171" s="405">
        <v>7</v>
      </c>
      <c r="BM171" s="406">
        <f t="shared" si="285"/>
        <v>35</v>
      </c>
      <c r="BN171" s="407">
        <f t="shared" si="261"/>
        <v>28</v>
      </c>
      <c r="BO171" s="12">
        <v>20</v>
      </c>
      <c r="BP171" s="12">
        <v>8</v>
      </c>
      <c r="BQ171" s="12">
        <v>7</v>
      </c>
      <c r="BR171" s="408">
        <f t="shared" si="286"/>
        <v>8.75</v>
      </c>
      <c r="BS171" s="409">
        <f t="shared" si="287"/>
        <v>0</v>
      </c>
      <c r="BT171" s="410"/>
      <c r="BU171" s="411"/>
      <c r="BV171" s="438"/>
      <c r="BW171" s="412">
        <f t="shared" si="288"/>
        <v>0</v>
      </c>
    </row>
    <row r="172" spans="1:76" ht="16.899999999999999" customHeight="1" x14ac:dyDescent="0.3">
      <c r="A172" s="8" t="s">
        <v>211</v>
      </c>
      <c r="B172" s="9" t="s">
        <v>50</v>
      </c>
      <c r="C172" s="14" t="s">
        <v>132</v>
      </c>
      <c r="D172" s="40" t="s">
        <v>219</v>
      </c>
      <c r="E172" s="15" t="s">
        <v>103</v>
      </c>
      <c r="F172" s="59">
        <v>25</v>
      </c>
      <c r="G172" s="369">
        <f t="shared" si="317"/>
        <v>0</v>
      </c>
      <c r="H172" s="553">
        <v>25</v>
      </c>
      <c r="I172" s="371">
        <v>17</v>
      </c>
      <c r="J172" s="371">
        <v>8</v>
      </c>
      <c r="K172" s="554">
        <v>5</v>
      </c>
      <c r="L172" s="373">
        <f t="shared" si="318"/>
        <v>0</v>
      </c>
      <c r="M172" s="373">
        <f t="shared" si="319"/>
        <v>0</v>
      </c>
      <c r="N172" s="374">
        <f t="shared" si="320"/>
        <v>0</v>
      </c>
      <c r="O172" s="374">
        <f t="shared" si="320"/>
        <v>0</v>
      </c>
      <c r="P172" s="375">
        <f t="shared" si="320"/>
        <v>0</v>
      </c>
      <c r="Q172" s="376">
        <f t="shared" si="321"/>
        <v>0</v>
      </c>
      <c r="R172" s="374">
        <f t="shared" si="322"/>
        <v>0</v>
      </c>
      <c r="S172" s="377"/>
      <c r="T172" s="377"/>
      <c r="U172" s="377"/>
      <c r="V172" s="378">
        <f t="shared" si="292"/>
        <v>0</v>
      </c>
      <c r="W172" s="379">
        <v>88</v>
      </c>
      <c r="X172" s="380"/>
      <c r="Y172" s="376">
        <f t="shared" si="323"/>
        <v>0</v>
      </c>
      <c r="Z172" s="374">
        <f t="shared" si="324"/>
        <v>0</v>
      </c>
      <c r="AA172" s="381"/>
      <c r="AB172" s="381"/>
      <c r="AC172" s="382"/>
      <c r="AD172" s="376">
        <f t="shared" si="325"/>
        <v>0</v>
      </c>
      <c r="AE172" s="374">
        <f t="shared" si="326"/>
        <v>0</v>
      </c>
      <c r="AF172" s="381"/>
      <c r="AG172" s="381"/>
      <c r="AH172" s="383"/>
      <c r="AI172" s="384">
        <f t="shared" si="327"/>
        <v>0</v>
      </c>
      <c r="AJ172" s="385"/>
      <c r="AK172" s="386"/>
      <c r="AL172" s="387"/>
      <c r="AM172" s="434">
        <f t="shared" si="258"/>
        <v>0</v>
      </c>
      <c r="AN172" s="389"/>
      <c r="AO172" s="390"/>
      <c r="AP172" s="390"/>
      <c r="AQ172" s="390"/>
      <c r="AR172" s="346" t="e">
        <f t="shared" si="259"/>
        <v>#DIV/0!</v>
      </c>
      <c r="AS172" s="436"/>
      <c r="AT172" s="392">
        <v>9</v>
      </c>
      <c r="AU172" s="48"/>
      <c r="AV172" s="48"/>
      <c r="AW172" s="52"/>
      <c r="AX172" s="393" t="e">
        <f t="shared" si="260"/>
        <v>#DIV/0!</v>
      </c>
      <c r="AY172" s="77">
        <v>334</v>
      </c>
      <c r="AZ172" s="394">
        <f t="shared" si="328"/>
        <v>0</v>
      </c>
      <c r="BA172" s="395"/>
      <c r="BB172" s="396"/>
      <c r="BC172" s="397"/>
      <c r="BD172" s="398">
        <f t="shared" si="283"/>
        <v>7</v>
      </c>
      <c r="BE172" s="399">
        <f t="shared" si="284"/>
        <v>5</v>
      </c>
      <c r="BF172" s="400">
        <v>3</v>
      </c>
      <c r="BG172" s="400">
        <v>2</v>
      </c>
      <c r="BH172" s="401">
        <v>2</v>
      </c>
      <c r="BI172" s="402">
        <f t="shared" si="329"/>
        <v>13</v>
      </c>
      <c r="BJ172" s="403">
        <v>8</v>
      </c>
      <c r="BK172" s="404">
        <v>5</v>
      </c>
      <c r="BL172" s="405">
        <v>4</v>
      </c>
      <c r="BM172" s="406">
        <f t="shared" si="285"/>
        <v>7</v>
      </c>
      <c r="BN172" s="407">
        <f t="shared" si="261"/>
        <v>4</v>
      </c>
      <c r="BO172" s="12">
        <v>3</v>
      </c>
      <c r="BP172" s="12">
        <v>1</v>
      </c>
      <c r="BQ172" s="12">
        <v>3</v>
      </c>
      <c r="BR172" s="408">
        <f t="shared" si="286"/>
        <v>0.53846153846153844</v>
      </c>
      <c r="BS172" s="409">
        <f t="shared" si="287"/>
        <v>0</v>
      </c>
      <c r="BT172" s="410"/>
      <c r="BU172" s="411"/>
      <c r="BV172" s="438"/>
      <c r="BW172" s="412">
        <f t="shared" si="288"/>
        <v>0</v>
      </c>
    </row>
    <row r="173" spans="1:76" ht="16.899999999999999" customHeight="1" x14ac:dyDescent="0.3">
      <c r="A173" s="8" t="s">
        <v>211</v>
      </c>
      <c r="B173" s="9" t="s">
        <v>50</v>
      </c>
      <c r="C173" s="14" t="s">
        <v>132</v>
      </c>
      <c r="D173" s="40" t="s">
        <v>135</v>
      </c>
      <c r="E173" s="15" t="s">
        <v>103</v>
      </c>
      <c r="F173" s="59">
        <v>50</v>
      </c>
      <c r="G173" s="369">
        <f t="shared" si="317"/>
        <v>0</v>
      </c>
      <c r="H173" s="553">
        <v>50</v>
      </c>
      <c r="I173" s="371">
        <v>35</v>
      </c>
      <c r="J173" s="371">
        <v>15</v>
      </c>
      <c r="K173" s="554">
        <v>10</v>
      </c>
      <c r="L173" s="373">
        <f t="shared" si="318"/>
        <v>0</v>
      </c>
      <c r="M173" s="373">
        <f t="shared" si="319"/>
        <v>0</v>
      </c>
      <c r="N173" s="374">
        <f t="shared" si="320"/>
        <v>0</v>
      </c>
      <c r="O173" s="374">
        <f t="shared" si="320"/>
        <v>0</v>
      </c>
      <c r="P173" s="375">
        <f t="shared" si="320"/>
        <v>0</v>
      </c>
      <c r="Q173" s="376">
        <f t="shared" si="321"/>
        <v>0</v>
      </c>
      <c r="R173" s="374">
        <f t="shared" si="322"/>
        <v>0</v>
      </c>
      <c r="S173" s="377"/>
      <c r="T173" s="377"/>
      <c r="U173" s="377"/>
      <c r="V173" s="378">
        <f t="shared" si="292"/>
        <v>0</v>
      </c>
      <c r="W173" s="379">
        <v>82.8</v>
      </c>
      <c r="X173" s="380"/>
      <c r="Y173" s="376">
        <f t="shared" si="323"/>
        <v>0</v>
      </c>
      <c r="Z173" s="374">
        <f t="shared" si="324"/>
        <v>0</v>
      </c>
      <c r="AA173" s="381"/>
      <c r="AB173" s="381"/>
      <c r="AC173" s="382"/>
      <c r="AD173" s="376">
        <f t="shared" si="325"/>
        <v>0</v>
      </c>
      <c r="AE173" s="374">
        <f t="shared" si="326"/>
        <v>0</v>
      </c>
      <c r="AF173" s="381"/>
      <c r="AG173" s="381"/>
      <c r="AH173" s="383"/>
      <c r="AI173" s="384">
        <f t="shared" si="327"/>
        <v>0</v>
      </c>
      <c r="AJ173" s="385"/>
      <c r="AK173" s="386"/>
      <c r="AL173" s="387"/>
      <c r="AM173" s="434">
        <f t="shared" si="258"/>
        <v>0</v>
      </c>
      <c r="AN173" s="389"/>
      <c r="AO173" s="390"/>
      <c r="AP173" s="390"/>
      <c r="AQ173" s="390"/>
      <c r="AR173" s="346" t="e">
        <f t="shared" si="259"/>
        <v>#DIV/0!</v>
      </c>
      <c r="AS173" s="436"/>
      <c r="AT173" s="392">
        <v>8</v>
      </c>
      <c r="AU173" s="48"/>
      <c r="AV173" s="48"/>
      <c r="AW173" s="52"/>
      <c r="AX173" s="393" t="e">
        <f t="shared" si="260"/>
        <v>#DIV/0!</v>
      </c>
      <c r="AY173" s="77">
        <v>100</v>
      </c>
      <c r="AZ173" s="394">
        <f t="shared" si="328"/>
        <v>0</v>
      </c>
      <c r="BA173" s="395"/>
      <c r="BB173" s="396"/>
      <c r="BC173" s="397"/>
      <c r="BD173" s="398">
        <f t="shared" si="283"/>
        <v>35</v>
      </c>
      <c r="BE173" s="399">
        <f t="shared" si="284"/>
        <v>32</v>
      </c>
      <c r="BF173" s="400">
        <v>23</v>
      </c>
      <c r="BG173" s="400">
        <v>9</v>
      </c>
      <c r="BH173" s="401">
        <v>3</v>
      </c>
      <c r="BI173" s="402">
        <f t="shared" si="329"/>
        <v>42</v>
      </c>
      <c r="BJ173" s="403">
        <v>30</v>
      </c>
      <c r="BK173" s="404">
        <v>12</v>
      </c>
      <c r="BL173" s="405">
        <v>5</v>
      </c>
      <c r="BM173" s="406">
        <f t="shared" si="285"/>
        <v>14</v>
      </c>
      <c r="BN173" s="407">
        <f t="shared" si="261"/>
        <v>13</v>
      </c>
      <c r="BO173" s="12">
        <v>10</v>
      </c>
      <c r="BP173" s="12">
        <v>3</v>
      </c>
      <c r="BQ173" s="12">
        <v>1</v>
      </c>
      <c r="BR173" s="408">
        <f t="shared" si="286"/>
        <v>0.33333333333333331</v>
      </c>
      <c r="BS173" s="409">
        <f t="shared" si="287"/>
        <v>0</v>
      </c>
      <c r="BT173" s="410"/>
      <c r="BU173" s="411"/>
      <c r="BV173" s="438"/>
      <c r="BW173" s="412">
        <f t="shared" si="288"/>
        <v>0</v>
      </c>
    </row>
    <row r="174" spans="1:76" ht="16.899999999999999" customHeight="1" x14ac:dyDescent="0.3">
      <c r="A174" s="8" t="s">
        <v>211</v>
      </c>
      <c r="B174" s="9" t="s">
        <v>50</v>
      </c>
      <c r="C174" s="14" t="s">
        <v>110</v>
      </c>
      <c r="D174" s="40" t="s">
        <v>220</v>
      </c>
      <c r="E174" s="15" t="s">
        <v>103</v>
      </c>
      <c r="F174" s="59">
        <v>25</v>
      </c>
      <c r="G174" s="369">
        <f t="shared" si="317"/>
        <v>0</v>
      </c>
      <c r="H174" s="553">
        <v>25</v>
      </c>
      <c r="I174" s="371">
        <v>17</v>
      </c>
      <c r="J174" s="371">
        <v>8</v>
      </c>
      <c r="K174" s="554">
        <v>5</v>
      </c>
      <c r="L174" s="373">
        <f t="shared" si="318"/>
        <v>0</v>
      </c>
      <c r="M174" s="373">
        <f t="shared" si="319"/>
        <v>0</v>
      </c>
      <c r="N174" s="374">
        <f t="shared" si="320"/>
        <v>0</v>
      </c>
      <c r="O174" s="374">
        <f t="shared" si="320"/>
        <v>0</v>
      </c>
      <c r="P174" s="375">
        <f t="shared" si="320"/>
        <v>0</v>
      </c>
      <c r="Q174" s="376">
        <f t="shared" si="321"/>
        <v>0</v>
      </c>
      <c r="R174" s="374">
        <f t="shared" si="322"/>
        <v>0</v>
      </c>
      <c r="S174" s="377"/>
      <c r="T174" s="377"/>
      <c r="U174" s="377"/>
      <c r="V174" s="378">
        <f t="shared" si="292"/>
        <v>0</v>
      </c>
      <c r="W174" s="379">
        <v>88</v>
      </c>
      <c r="X174" s="380"/>
      <c r="Y174" s="376">
        <f t="shared" si="323"/>
        <v>0</v>
      </c>
      <c r="Z174" s="374">
        <f t="shared" si="324"/>
        <v>0</v>
      </c>
      <c r="AA174" s="381"/>
      <c r="AB174" s="381"/>
      <c r="AC174" s="382"/>
      <c r="AD174" s="376">
        <f t="shared" si="325"/>
        <v>0</v>
      </c>
      <c r="AE174" s="374">
        <f t="shared" si="326"/>
        <v>0</v>
      </c>
      <c r="AF174" s="381"/>
      <c r="AG174" s="381"/>
      <c r="AH174" s="383"/>
      <c r="AI174" s="384">
        <f t="shared" si="327"/>
        <v>0</v>
      </c>
      <c r="AJ174" s="385"/>
      <c r="AK174" s="386"/>
      <c r="AL174" s="387"/>
      <c r="AM174" s="434">
        <f t="shared" si="258"/>
        <v>0</v>
      </c>
      <c r="AN174" s="389"/>
      <c r="AO174" s="390"/>
      <c r="AP174" s="390"/>
      <c r="AQ174" s="390"/>
      <c r="AR174" s="346" t="e">
        <f t="shared" si="259"/>
        <v>#DIV/0!</v>
      </c>
      <c r="AS174" s="436"/>
      <c r="AT174" s="392">
        <v>11</v>
      </c>
      <c r="AU174" s="48"/>
      <c r="AV174" s="48"/>
      <c r="AW174" s="52"/>
      <c r="AX174" s="393" t="e">
        <f t="shared" si="260"/>
        <v>#DIV/0!</v>
      </c>
      <c r="AY174" s="77">
        <v>263</v>
      </c>
      <c r="AZ174" s="394">
        <f t="shared" si="328"/>
        <v>0</v>
      </c>
      <c r="BA174" s="395"/>
      <c r="BB174" s="396"/>
      <c r="BC174" s="397"/>
      <c r="BD174" s="398">
        <f t="shared" si="283"/>
        <v>14</v>
      </c>
      <c r="BE174" s="399">
        <f t="shared" si="284"/>
        <v>13</v>
      </c>
      <c r="BF174" s="400">
        <v>8</v>
      </c>
      <c r="BG174" s="400">
        <v>5</v>
      </c>
      <c r="BH174" s="401">
        <v>1</v>
      </c>
      <c r="BI174" s="402">
        <f t="shared" si="329"/>
        <v>15</v>
      </c>
      <c r="BJ174" s="403">
        <v>9</v>
      </c>
      <c r="BK174" s="404">
        <v>6</v>
      </c>
      <c r="BL174" s="405">
        <v>2</v>
      </c>
      <c r="BM174" s="406">
        <f t="shared" si="285"/>
        <v>10</v>
      </c>
      <c r="BN174" s="407">
        <f t="shared" si="261"/>
        <v>7</v>
      </c>
      <c r="BO174" s="12">
        <v>6</v>
      </c>
      <c r="BP174" s="12">
        <v>1</v>
      </c>
      <c r="BQ174" s="12">
        <v>3</v>
      </c>
      <c r="BR174" s="408">
        <f t="shared" si="286"/>
        <v>0.66666666666666663</v>
      </c>
      <c r="BS174" s="409">
        <f t="shared" si="287"/>
        <v>0</v>
      </c>
      <c r="BT174" s="410"/>
      <c r="BU174" s="411"/>
      <c r="BV174" s="438"/>
      <c r="BW174" s="412">
        <f t="shared" si="288"/>
        <v>0</v>
      </c>
    </row>
    <row r="175" spans="1:76" ht="16.899999999999999" customHeight="1" x14ac:dyDescent="0.3">
      <c r="A175" s="8" t="s">
        <v>211</v>
      </c>
      <c r="B175" s="9" t="s">
        <v>50</v>
      </c>
      <c r="C175" s="14" t="s">
        <v>104</v>
      </c>
      <c r="D175" s="40" t="s">
        <v>221</v>
      </c>
      <c r="E175" s="15" t="s">
        <v>103</v>
      </c>
      <c r="F175" s="59">
        <v>50</v>
      </c>
      <c r="G175" s="369">
        <f t="shared" si="317"/>
        <v>0</v>
      </c>
      <c r="H175" s="553">
        <v>50</v>
      </c>
      <c r="I175" s="371">
        <v>35</v>
      </c>
      <c r="J175" s="371">
        <v>15</v>
      </c>
      <c r="K175" s="554">
        <v>10</v>
      </c>
      <c r="L175" s="373">
        <f t="shared" si="318"/>
        <v>0</v>
      </c>
      <c r="M175" s="373">
        <f t="shared" si="319"/>
        <v>0</v>
      </c>
      <c r="N175" s="374">
        <f t="shared" si="320"/>
        <v>0</v>
      </c>
      <c r="O175" s="374">
        <f t="shared" si="320"/>
        <v>0</v>
      </c>
      <c r="P175" s="375">
        <f t="shared" si="320"/>
        <v>0</v>
      </c>
      <c r="Q175" s="376">
        <f t="shared" si="321"/>
        <v>0</v>
      </c>
      <c r="R175" s="374">
        <f t="shared" si="322"/>
        <v>0</v>
      </c>
      <c r="S175" s="377"/>
      <c r="T175" s="377"/>
      <c r="U175" s="377"/>
      <c r="V175" s="378">
        <f t="shared" si="292"/>
        <v>0</v>
      </c>
      <c r="W175" s="379">
        <v>90.1</v>
      </c>
      <c r="X175" s="380"/>
      <c r="Y175" s="376">
        <f t="shared" si="323"/>
        <v>0</v>
      </c>
      <c r="Z175" s="374">
        <f t="shared" si="324"/>
        <v>0</v>
      </c>
      <c r="AA175" s="381"/>
      <c r="AB175" s="381"/>
      <c r="AC175" s="382"/>
      <c r="AD175" s="376">
        <f t="shared" si="325"/>
        <v>0</v>
      </c>
      <c r="AE175" s="374">
        <f t="shared" si="326"/>
        <v>0</v>
      </c>
      <c r="AF175" s="381"/>
      <c r="AG175" s="381"/>
      <c r="AH175" s="383"/>
      <c r="AI175" s="384">
        <f t="shared" si="327"/>
        <v>0</v>
      </c>
      <c r="AJ175" s="385"/>
      <c r="AK175" s="386"/>
      <c r="AL175" s="387"/>
      <c r="AM175" s="434">
        <f t="shared" si="258"/>
        <v>0</v>
      </c>
      <c r="AN175" s="389"/>
      <c r="AO175" s="390"/>
      <c r="AP175" s="390"/>
      <c r="AQ175" s="390"/>
      <c r="AR175" s="346" t="e">
        <f t="shared" si="259"/>
        <v>#DIV/0!</v>
      </c>
      <c r="AS175" s="436"/>
      <c r="AT175" s="392">
        <v>23</v>
      </c>
      <c r="AU175" s="48"/>
      <c r="AV175" s="48"/>
      <c r="AW175" s="52"/>
      <c r="AX175" s="393" t="e">
        <f t="shared" si="260"/>
        <v>#DIV/0!</v>
      </c>
      <c r="AY175" s="77">
        <v>12</v>
      </c>
      <c r="AZ175" s="394">
        <f t="shared" si="328"/>
        <v>0</v>
      </c>
      <c r="BA175" s="395"/>
      <c r="BB175" s="396"/>
      <c r="BC175" s="397"/>
      <c r="BD175" s="398">
        <f t="shared" si="283"/>
        <v>7</v>
      </c>
      <c r="BE175" s="399">
        <f t="shared" si="284"/>
        <v>4</v>
      </c>
      <c r="BF175" s="400">
        <v>2</v>
      </c>
      <c r="BG175" s="400">
        <v>2</v>
      </c>
      <c r="BH175" s="401">
        <v>3</v>
      </c>
      <c r="BI175" s="402">
        <f t="shared" si="329"/>
        <v>19</v>
      </c>
      <c r="BJ175" s="403">
        <v>12</v>
      </c>
      <c r="BK175" s="404">
        <v>7</v>
      </c>
      <c r="BL175" s="405">
        <v>6</v>
      </c>
      <c r="BM175" s="406">
        <f t="shared" si="285"/>
        <v>23</v>
      </c>
      <c r="BN175" s="407">
        <f t="shared" si="261"/>
        <v>21</v>
      </c>
      <c r="BO175" s="12">
        <v>14</v>
      </c>
      <c r="BP175" s="12">
        <v>7</v>
      </c>
      <c r="BQ175" s="12">
        <v>2</v>
      </c>
      <c r="BR175" s="408">
        <f t="shared" si="286"/>
        <v>1.2105263157894737</v>
      </c>
      <c r="BS175" s="409">
        <f t="shared" si="287"/>
        <v>0</v>
      </c>
      <c r="BT175" s="410"/>
      <c r="BU175" s="411"/>
      <c r="BV175" s="438"/>
      <c r="BW175" s="412">
        <f t="shared" si="288"/>
        <v>0</v>
      </c>
    </row>
    <row r="176" spans="1:76" ht="16.899999999999999" customHeight="1" x14ac:dyDescent="0.3">
      <c r="A176" s="8" t="s">
        <v>211</v>
      </c>
      <c r="B176" s="9" t="s">
        <v>50</v>
      </c>
      <c r="C176" s="14" t="s">
        <v>115</v>
      </c>
      <c r="D176" s="40" t="s">
        <v>116</v>
      </c>
      <c r="E176" s="15" t="s">
        <v>103</v>
      </c>
      <c r="F176" s="59">
        <v>60</v>
      </c>
      <c r="G176" s="369">
        <f t="shared" si="317"/>
        <v>0</v>
      </c>
      <c r="H176" s="553">
        <v>60</v>
      </c>
      <c r="I176" s="371">
        <v>42</v>
      </c>
      <c r="J176" s="371">
        <v>18</v>
      </c>
      <c r="K176" s="554">
        <v>12</v>
      </c>
      <c r="L176" s="373">
        <f t="shared" si="318"/>
        <v>0</v>
      </c>
      <c r="M176" s="373">
        <f t="shared" si="319"/>
        <v>0</v>
      </c>
      <c r="N176" s="374">
        <f t="shared" si="320"/>
        <v>0</v>
      </c>
      <c r="O176" s="374">
        <f t="shared" si="320"/>
        <v>0</v>
      </c>
      <c r="P176" s="375">
        <f t="shared" si="320"/>
        <v>0</v>
      </c>
      <c r="Q176" s="376">
        <f t="shared" si="321"/>
        <v>0</v>
      </c>
      <c r="R176" s="374">
        <f t="shared" si="322"/>
        <v>0</v>
      </c>
      <c r="S176" s="377"/>
      <c r="T176" s="377"/>
      <c r="U176" s="377"/>
      <c r="V176" s="378">
        <f t="shared" si="292"/>
        <v>0</v>
      </c>
      <c r="W176" s="379">
        <v>91.7</v>
      </c>
      <c r="X176" s="380"/>
      <c r="Y176" s="376">
        <f t="shared" si="323"/>
        <v>0</v>
      </c>
      <c r="Z176" s="374">
        <f t="shared" si="324"/>
        <v>0</v>
      </c>
      <c r="AA176" s="381"/>
      <c r="AB176" s="381"/>
      <c r="AC176" s="382"/>
      <c r="AD176" s="376">
        <f t="shared" si="325"/>
        <v>0</v>
      </c>
      <c r="AE176" s="374">
        <f t="shared" si="326"/>
        <v>0</v>
      </c>
      <c r="AF176" s="381"/>
      <c r="AG176" s="381"/>
      <c r="AH176" s="383"/>
      <c r="AI176" s="384">
        <f t="shared" si="327"/>
        <v>0</v>
      </c>
      <c r="AJ176" s="385"/>
      <c r="AK176" s="386"/>
      <c r="AL176" s="387"/>
      <c r="AM176" s="434">
        <f t="shared" si="258"/>
        <v>0</v>
      </c>
      <c r="AN176" s="389"/>
      <c r="AO176" s="390"/>
      <c r="AP176" s="390"/>
      <c r="AQ176" s="390"/>
      <c r="AR176" s="346" t="e">
        <f t="shared" si="259"/>
        <v>#DIV/0!</v>
      </c>
      <c r="AS176" s="436"/>
      <c r="AT176" s="392">
        <v>56</v>
      </c>
      <c r="AU176" s="48"/>
      <c r="AV176" s="48"/>
      <c r="AW176" s="52"/>
      <c r="AX176" s="393" t="e">
        <f t="shared" si="260"/>
        <v>#DIV/0!</v>
      </c>
      <c r="AY176" s="77">
        <v>392</v>
      </c>
      <c r="AZ176" s="394">
        <f t="shared" si="328"/>
        <v>0</v>
      </c>
      <c r="BA176" s="395"/>
      <c r="BB176" s="396"/>
      <c r="BC176" s="397"/>
      <c r="BD176" s="398">
        <f t="shared" si="283"/>
        <v>1</v>
      </c>
      <c r="BE176" s="399">
        <f t="shared" si="284"/>
        <v>0</v>
      </c>
      <c r="BF176" s="400">
        <v>0</v>
      </c>
      <c r="BG176" s="400">
        <v>0</v>
      </c>
      <c r="BH176" s="401">
        <v>1</v>
      </c>
      <c r="BI176" s="402">
        <f t="shared" si="329"/>
        <v>6</v>
      </c>
      <c r="BJ176" s="403">
        <v>4</v>
      </c>
      <c r="BK176" s="404">
        <v>2</v>
      </c>
      <c r="BL176" s="405">
        <v>5</v>
      </c>
      <c r="BM176" s="406">
        <f t="shared" si="285"/>
        <v>51</v>
      </c>
      <c r="BN176" s="407">
        <f t="shared" si="261"/>
        <v>45</v>
      </c>
      <c r="BO176" s="12">
        <v>32</v>
      </c>
      <c r="BP176" s="12">
        <v>13</v>
      </c>
      <c r="BQ176" s="12">
        <v>6</v>
      </c>
      <c r="BR176" s="408">
        <f t="shared" si="286"/>
        <v>8.5</v>
      </c>
      <c r="BS176" s="409">
        <f t="shared" si="287"/>
        <v>0</v>
      </c>
      <c r="BT176" s="410"/>
      <c r="BU176" s="411"/>
      <c r="BV176" s="438"/>
      <c r="BW176" s="412">
        <f t="shared" si="288"/>
        <v>0</v>
      </c>
    </row>
    <row r="177" spans="1:76" ht="16.899999999999999" customHeight="1" x14ac:dyDescent="0.3">
      <c r="A177" s="8" t="s">
        <v>211</v>
      </c>
      <c r="B177" s="9" t="s">
        <v>50</v>
      </c>
      <c r="C177" s="14" t="s">
        <v>115</v>
      </c>
      <c r="D177" s="40" t="s">
        <v>116</v>
      </c>
      <c r="E177" s="15" t="s">
        <v>137</v>
      </c>
      <c r="F177" s="59">
        <v>25</v>
      </c>
      <c r="G177" s="369">
        <f t="shared" si="317"/>
        <v>0</v>
      </c>
      <c r="H177" s="553">
        <v>25</v>
      </c>
      <c r="I177" s="371">
        <v>17</v>
      </c>
      <c r="J177" s="371">
        <v>8</v>
      </c>
      <c r="K177" s="554">
        <v>5</v>
      </c>
      <c r="L177" s="373">
        <f t="shared" si="318"/>
        <v>0</v>
      </c>
      <c r="M177" s="373">
        <f t="shared" si="319"/>
        <v>0</v>
      </c>
      <c r="N177" s="374">
        <f t="shared" si="320"/>
        <v>0</v>
      </c>
      <c r="O177" s="374">
        <f t="shared" si="320"/>
        <v>0</v>
      </c>
      <c r="P177" s="375">
        <f t="shared" si="320"/>
        <v>0</v>
      </c>
      <c r="Q177" s="376">
        <f t="shared" si="321"/>
        <v>0</v>
      </c>
      <c r="R177" s="374">
        <f t="shared" si="322"/>
        <v>0</v>
      </c>
      <c r="S177" s="377"/>
      <c r="T177" s="377"/>
      <c r="U177" s="377"/>
      <c r="V177" s="378">
        <f t="shared" si="292"/>
        <v>0</v>
      </c>
      <c r="W177" s="379">
        <v>65.400000000000006</v>
      </c>
      <c r="X177" s="380"/>
      <c r="Y177" s="376">
        <f t="shared" si="323"/>
        <v>0</v>
      </c>
      <c r="Z177" s="374">
        <f t="shared" si="324"/>
        <v>0</v>
      </c>
      <c r="AA177" s="381"/>
      <c r="AB177" s="381"/>
      <c r="AC177" s="382"/>
      <c r="AD177" s="376">
        <f t="shared" si="325"/>
        <v>0</v>
      </c>
      <c r="AE177" s="374">
        <f t="shared" si="326"/>
        <v>0</v>
      </c>
      <c r="AF177" s="381"/>
      <c r="AG177" s="381"/>
      <c r="AH177" s="383"/>
      <c r="AI177" s="384">
        <f t="shared" si="327"/>
        <v>0</v>
      </c>
      <c r="AJ177" s="385"/>
      <c r="AK177" s="386"/>
      <c r="AL177" s="387"/>
      <c r="AM177" s="434">
        <f t="shared" si="258"/>
        <v>0</v>
      </c>
      <c r="AN177" s="389"/>
      <c r="AO177" s="390"/>
      <c r="AP177" s="390"/>
      <c r="AQ177" s="390"/>
      <c r="AR177" s="346" t="e">
        <f t="shared" si="259"/>
        <v>#DIV/0!</v>
      </c>
      <c r="AS177" s="436"/>
      <c r="AT177" s="392">
        <v>11</v>
      </c>
      <c r="AU177" s="48"/>
      <c r="AV177" s="48"/>
      <c r="AW177" s="52"/>
      <c r="AX177" s="393" t="e">
        <f t="shared" si="260"/>
        <v>#DIV/0!</v>
      </c>
      <c r="AY177" s="77">
        <v>66</v>
      </c>
      <c r="AZ177" s="394">
        <f t="shared" si="328"/>
        <v>0</v>
      </c>
      <c r="BA177" s="395"/>
      <c r="BB177" s="396"/>
      <c r="BC177" s="397"/>
      <c r="BD177" s="398">
        <f t="shared" si="283"/>
        <v>10</v>
      </c>
      <c r="BE177" s="399">
        <f t="shared" si="284"/>
        <v>9</v>
      </c>
      <c r="BF177" s="400">
        <v>5</v>
      </c>
      <c r="BG177" s="400">
        <v>4</v>
      </c>
      <c r="BH177" s="401">
        <v>1</v>
      </c>
      <c r="BI177" s="402">
        <f t="shared" si="329"/>
        <v>12</v>
      </c>
      <c r="BJ177" s="403">
        <v>7</v>
      </c>
      <c r="BK177" s="404">
        <v>5</v>
      </c>
      <c r="BL177" s="405">
        <v>3</v>
      </c>
      <c r="BM177" s="406">
        <f t="shared" si="285"/>
        <v>14</v>
      </c>
      <c r="BN177" s="407">
        <f t="shared" si="261"/>
        <v>12</v>
      </c>
      <c r="BO177" s="12">
        <v>7</v>
      </c>
      <c r="BP177" s="12">
        <v>5</v>
      </c>
      <c r="BQ177" s="12">
        <v>2</v>
      </c>
      <c r="BR177" s="408">
        <f t="shared" si="286"/>
        <v>1.1666666666666667</v>
      </c>
      <c r="BS177" s="409">
        <f t="shared" si="287"/>
        <v>0</v>
      </c>
      <c r="BT177" s="410"/>
      <c r="BU177" s="439"/>
      <c r="BV177" s="458"/>
      <c r="BW177" s="412">
        <f t="shared" si="288"/>
        <v>0</v>
      </c>
    </row>
    <row r="178" spans="1:76" ht="16.899999999999999" customHeight="1" x14ac:dyDescent="0.3">
      <c r="A178" s="8" t="s">
        <v>211</v>
      </c>
      <c r="B178" s="9" t="s">
        <v>50</v>
      </c>
      <c r="C178" s="14" t="s">
        <v>108</v>
      </c>
      <c r="D178" s="40" t="s">
        <v>179</v>
      </c>
      <c r="E178" s="15" t="s">
        <v>103</v>
      </c>
      <c r="F178" s="59">
        <v>25</v>
      </c>
      <c r="G178" s="369">
        <f t="shared" si="317"/>
        <v>0</v>
      </c>
      <c r="H178" s="553">
        <v>25</v>
      </c>
      <c r="I178" s="371">
        <v>17</v>
      </c>
      <c r="J178" s="371">
        <v>8</v>
      </c>
      <c r="K178" s="554">
        <v>5</v>
      </c>
      <c r="L178" s="373">
        <f t="shared" si="318"/>
        <v>0</v>
      </c>
      <c r="M178" s="373">
        <f t="shared" si="319"/>
        <v>0</v>
      </c>
      <c r="N178" s="374">
        <f t="shared" si="320"/>
        <v>0</v>
      </c>
      <c r="O178" s="374">
        <f t="shared" si="320"/>
        <v>0</v>
      </c>
      <c r="P178" s="375">
        <f t="shared" si="320"/>
        <v>0</v>
      </c>
      <c r="Q178" s="376">
        <f t="shared" si="321"/>
        <v>0</v>
      </c>
      <c r="R178" s="374">
        <f t="shared" si="322"/>
        <v>0</v>
      </c>
      <c r="S178" s="377"/>
      <c r="T178" s="377"/>
      <c r="U178" s="377"/>
      <c r="V178" s="378">
        <f t="shared" si="292"/>
        <v>0</v>
      </c>
      <c r="W178" s="379">
        <v>94</v>
      </c>
      <c r="X178" s="380"/>
      <c r="Y178" s="376">
        <f t="shared" si="323"/>
        <v>0</v>
      </c>
      <c r="Z178" s="374">
        <f t="shared" si="324"/>
        <v>0</v>
      </c>
      <c r="AA178" s="381"/>
      <c r="AB178" s="381"/>
      <c r="AC178" s="382"/>
      <c r="AD178" s="376">
        <f t="shared" si="325"/>
        <v>0</v>
      </c>
      <c r="AE178" s="374">
        <f t="shared" si="326"/>
        <v>0</v>
      </c>
      <c r="AF178" s="381"/>
      <c r="AG178" s="381"/>
      <c r="AH178" s="383"/>
      <c r="AI178" s="384">
        <f t="shared" si="327"/>
        <v>0</v>
      </c>
      <c r="AJ178" s="385"/>
      <c r="AK178" s="386"/>
      <c r="AL178" s="387"/>
      <c r="AM178" s="434">
        <f t="shared" si="258"/>
        <v>0</v>
      </c>
      <c r="AN178" s="389"/>
      <c r="AO178" s="390"/>
      <c r="AP178" s="390"/>
      <c r="AQ178" s="390"/>
      <c r="AR178" s="346" t="e">
        <f t="shared" si="259"/>
        <v>#DIV/0!</v>
      </c>
      <c r="AS178" s="436"/>
      <c r="AT178" s="392">
        <v>20</v>
      </c>
      <c r="AU178" s="48"/>
      <c r="AV178" s="48"/>
      <c r="AW178" s="52"/>
      <c r="AX178" s="393" t="e">
        <f t="shared" si="260"/>
        <v>#DIV/0!</v>
      </c>
      <c r="AY178" s="77">
        <v>145</v>
      </c>
      <c r="AZ178" s="394">
        <f t="shared" si="328"/>
        <v>0</v>
      </c>
      <c r="BA178" s="395"/>
      <c r="BB178" s="396"/>
      <c r="BC178" s="397"/>
      <c r="BD178" s="398">
        <f t="shared" si="283"/>
        <v>5</v>
      </c>
      <c r="BE178" s="399">
        <f t="shared" si="284"/>
        <v>3</v>
      </c>
      <c r="BF178" s="400">
        <v>0</v>
      </c>
      <c r="BG178" s="400">
        <v>3</v>
      </c>
      <c r="BH178" s="401">
        <v>2</v>
      </c>
      <c r="BI178" s="402">
        <f t="shared" si="329"/>
        <v>5</v>
      </c>
      <c r="BJ178" s="403">
        <v>1</v>
      </c>
      <c r="BK178" s="404">
        <v>4</v>
      </c>
      <c r="BL178" s="405">
        <v>3</v>
      </c>
      <c r="BM178" s="406">
        <f t="shared" si="285"/>
        <v>10</v>
      </c>
      <c r="BN178" s="407">
        <f t="shared" si="261"/>
        <v>9</v>
      </c>
      <c r="BO178" s="12">
        <v>8</v>
      </c>
      <c r="BP178" s="12">
        <v>1</v>
      </c>
      <c r="BQ178" s="12">
        <v>1</v>
      </c>
      <c r="BR178" s="408">
        <f t="shared" si="286"/>
        <v>2</v>
      </c>
      <c r="BS178" s="409">
        <f t="shared" si="287"/>
        <v>0</v>
      </c>
      <c r="BT178" s="410"/>
      <c r="BU178" s="411"/>
      <c r="BV178" s="438"/>
      <c r="BW178" s="412">
        <f t="shared" si="288"/>
        <v>0</v>
      </c>
    </row>
    <row r="179" spans="1:76" ht="16.899999999999999" customHeight="1" x14ac:dyDescent="0.3">
      <c r="A179" s="4" t="s">
        <v>211</v>
      </c>
      <c r="B179" s="5" t="s">
        <v>51</v>
      </c>
      <c r="C179" s="5"/>
      <c r="D179" s="17" t="s">
        <v>21</v>
      </c>
      <c r="E179" s="6"/>
      <c r="F179" s="58">
        <f t="shared" ref="F179:AI179" si="330">SUM(F180:F186)</f>
        <v>295</v>
      </c>
      <c r="G179" s="7">
        <f t="shared" si="330"/>
        <v>0</v>
      </c>
      <c r="H179" s="7">
        <f t="shared" si="330"/>
        <v>295</v>
      </c>
      <c r="I179" s="67">
        <f t="shared" si="330"/>
        <v>201</v>
      </c>
      <c r="J179" s="67">
        <f t="shared" si="330"/>
        <v>94</v>
      </c>
      <c r="K179" s="70">
        <f t="shared" si="330"/>
        <v>59</v>
      </c>
      <c r="L179" s="7">
        <f t="shared" si="330"/>
        <v>0</v>
      </c>
      <c r="M179" s="7">
        <f t="shared" si="330"/>
        <v>0</v>
      </c>
      <c r="N179" s="7">
        <f t="shared" si="330"/>
        <v>0</v>
      </c>
      <c r="O179" s="7">
        <f t="shared" si="330"/>
        <v>0</v>
      </c>
      <c r="P179" s="7">
        <f t="shared" si="330"/>
        <v>0</v>
      </c>
      <c r="Q179" s="7">
        <f t="shared" si="330"/>
        <v>0</v>
      </c>
      <c r="R179" s="7">
        <f t="shared" si="330"/>
        <v>0</v>
      </c>
      <c r="S179" s="7">
        <f t="shared" si="330"/>
        <v>0</v>
      </c>
      <c r="T179" s="7">
        <f t="shared" si="330"/>
        <v>0</v>
      </c>
      <c r="U179" s="7">
        <f t="shared" si="330"/>
        <v>0</v>
      </c>
      <c r="V179" s="7">
        <f t="shared" si="330"/>
        <v>0</v>
      </c>
      <c r="W179" s="7">
        <f t="shared" si="330"/>
        <v>576.50000000000011</v>
      </c>
      <c r="X179" s="7">
        <f t="shared" si="330"/>
        <v>0</v>
      </c>
      <c r="Y179" s="7">
        <f t="shared" si="330"/>
        <v>0</v>
      </c>
      <c r="Z179" s="7">
        <f t="shared" si="330"/>
        <v>0</v>
      </c>
      <c r="AA179" s="7">
        <f t="shared" si="330"/>
        <v>0</v>
      </c>
      <c r="AB179" s="7">
        <f t="shared" si="330"/>
        <v>0</v>
      </c>
      <c r="AC179" s="7">
        <f t="shared" si="330"/>
        <v>0</v>
      </c>
      <c r="AD179" s="7">
        <f t="shared" si="330"/>
        <v>0</v>
      </c>
      <c r="AE179" s="7">
        <f t="shared" si="330"/>
        <v>0</v>
      </c>
      <c r="AF179" s="7">
        <f t="shared" si="330"/>
        <v>0</v>
      </c>
      <c r="AG179" s="7">
        <f t="shared" si="330"/>
        <v>0</v>
      </c>
      <c r="AH179" s="7">
        <f t="shared" si="330"/>
        <v>0</v>
      </c>
      <c r="AI179" s="339">
        <f t="shared" si="330"/>
        <v>0</v>
      </c>
      <c r="AJ179" s="340"/>
      <c r="AK179" s="341"/>
      <c r="AL179" s="342"/>
      <c r="AM179" s="420">
        <f t="shared" si="258"/>
        <v>0</v>
      </c>
      <c r="AN179" s="344"/>
      <c r="AO179" s="440"/>
      <c r="AP179" s="440"/>
      <c r="AQ179" s="440"/>
      <c r="AR179" s="346" t="e">
        <f t="shared" si="259"/>
        <v>#DIV/0!</v>
      </c>
      <c r="AS179" s="424">
        <v>1.758</v>
      </c>
      <c r="AT179" s="441">
        <f>SUM(AT180:AT186)</f>
        <v>248</v>
      </c>
      <c r="AU179" s="361"/>
      <c r="AV179" s="361"/>
      <c r="AW179" s="444"/>
      <c r="AX179" s="352" t="e">
        <f t="shared" si="260"/>
        <v>#DIV/0!</v>
      </c>
      <c r="AY179" s="449">
        <v>1.105</v>
      </c>
      <c r="AZ179" s="354">
        <f>SUM(AZ180:AZ186)</f>
        <v>0</v>
      </c>
      <c r="BA179" s="340"/>
      <c r="BB179" s="340"/>
      <c r="BC179" s="355"/>
      <c r="BD179" s="356">
        <f t="shared" si="283"/>
        <v>12</v>
      </c>
      <c r="BE179" s="445">
        <f t="shared" si="284"/>
        <v>10</v>
      </c>
      <c r="BF179" s="446">
        <f t="shared" ref="BF179:BL179" si="331">SUM(BF180:BF186)</f>
        <v>5</v>
      </c>
      <c r="BG179" s="446">
        <f t="shared" si="331"/>
        <v>5</v>
      </c>
      <c r="BH179" s="447">
        <f t="shared" si="331"/>
        <v>2</v>
      </c>
      <c r="BI179" s="359">
        <f t="shared" si="331"/>
        <v>59</v>
      </c>
      <c r="BJ179" s="360">
        <f t="shared" si="331"/>
        <v>34</v>
      </c>
      <c r="BK179" s="361">
        <f t="shared" si="331"/>
        <v>25</v>
      </c>
      <c r="BL179" s="362">
        <f t="shared" si="331"/>
        <v>17</v>
      </c>
      <c r="BM179" s="363">
        <f t="shared" si="285"/>
        <v>228</v>
      </c>
      <c r="BN179" s="602">
        <f t="shared" si="261"/>
        <v>188</v>
      </c>
      <c r="BO179" s="446">
        <f>SUM(BO180:BO186)</f>
        <v>118</v>
      </c>
      <c r="BP179" s="446">
        <f>SUM(BP180:BP186)</f>
        <v>70</v>
      </c>
      <c r="BQ179" s="446">
        <f>SUM(BQ180:BQ186)</f>
        <v>40</v>
      </c>
      <c r="BR179" s="432">
        <f t="shared" si="286"/>
        <v>3.8644067796610169</v>
      </c>
      <c r="BS179" s="366">
        <f t="shared" si="287"/>
        <v>0</v>
      </c>
      <c r="BT179" s="367">
        <f>SUM(BT180:BT186)</f>
        <v>0</v>
      </c>
      <c r="BU179" s="367">
        <f>SUM(BU180:BU186)</f>
        <v>0</v>
      </c>
      <c r="BV179" s="367">
        <f>SUM(BV180:BV186)</f>
        <v>0</v>
      </c>
      <c r="BW179" s="368">
        <f t="shared" si="288"/>
        <v>0</v>
      </c>
      <c r="BX179" t="s">
        <v>51</v>
      </c>
    </row>
    <row r="180" spans="1:76" ht="16.899999999999999" customHeight="1" x14ac:dyDescent="0.3">
      <c r="A180" s="8" t="s">
        <v>211</v>
      </c>
      <c r="B180" s="9" t="s">
        <v>51</v>
      </c>
      <c r="C180" s="14" t="s">
        <v>122</v>
      </c>
      <c r="D180" s="40" t="s">
        <v>222</v>
      </c>
      <c r="E180" s="15" t="s">
        <v>103</v>
      </c>
      <c r="F180" s="59">
        <v>25</v>
      </c>
      <c r="G180" s="369">
        <f t="shared" ref="G180:G187" si="332">L180/F180</f>
        <v>0</v>
      </c>
      <c r="H180" s="553">
        <v>25</v>
      </c>
      <c r="I180" s="371">
        <v>17</v>
      </c>
      <c r="J180" s="371">
        <v>8</v>
      </c>
      <c r="K180" s="554">
        <v>5</v>
      </c>
      <c r="L180" s="373">
        <f t="shared" ref="L180:L186" si="333">N180+O180+P180</f>
        <v>0</v>
      </c>
      <c r="M180" s="373">
        <f t="shared" ref="M180:M186" si="334">N180+O180</f>
        <v>0</v>
      </c>
      <c r="N180" s="374">
        <f t="shared" ref="N180:P186" si="335">AA180+AF180</f>
        <v>0</v>
      </c>
      <c r="O180" s="374">
        <f t="shared" si="335"/>
        <v>0</v>
      </c>
      <c r="P180" s="375">
        <f t="shared" si="335"/>
        <v>0</v>
      </c>
      <c r="Q180" s="376">
        <f t="shared" ref="Q180:Q186" si="336">R180+U180</f>
        <v>0</v>
      </c>
      <c r="R180" s="374">
        <f t="shared" ref="R180:R186" si="337">S180+T180</f>
        <v>0</v>
      </c>
      <c r="S180" s="377"/>
      <c r="T180" s="377"/>
      <c r="U180" s="377"/>
      <c r="V180" s="378">
        <f t="shared" ref="V180:V210" si="338">Q180/H180</f>
        <v>0</v>
      </c>
      <c r="W180" s="379">
        <v>86.8</v>
      </c>
      <c r="X180" s="380"/>
      <c r="Y180" s="376">
        <f t="shared" ref="Y180:Y186" si="339">Z180+AC180</f>
        <v>0</v>
      </c>
      <c r="Z180" s="374">
        <f t="shared" ref="Z180:Z186" si="340">AA180+AB180</f>
        <v>0</v>
      </c>
      <c r="AA180" s="381"/>
      <c r="AB180" s="381"/>
      <c r="AC180" s="382"/>
      <c r="AD180" s="376">
        <f t="shared" ref="AD180:AD186" si="341">AE180+AH180</f>
        <v>0</v>
      </c>
      <c r="AE180" s="374">
        <f t="shared" ref="AE180:AE186" si="342">AF180+AG180</f>
        <v>0</v>
      </c>
      <c r="AF180" s="381"/>
      <c r="AG180" s="381"/>
      <c r="AH180" s="383"/>
      <c r="AI180" s="384">
        <f t="shared" ref="AI180:AI186" si="343">AJ180+AK180</f>
        <v>0</v>
      </c>
      <c r="AJ180" s="385"/>
      <c r="AK180" s="386"/>
      <c r="AL180" s="387"/>
      <c r="AM180" s="434">
        <f t="shared" si="258"/>
        <v>0</v>
      </c>
      <c r="AN180" s="389"/>
      <c r="AO180" s="390"/>
      <c r="AP180" s="390"/>
      <c r="AQ180" s="390"/>
      <c r="AR180" s="346" t="e">
        <f t="shared" si="259"/>
        <v>#DIV/0!</v>
      </c>
      <c r="AS180" s="436"/>
      <c r="AT180" s="392">
        <v>16</v>
      </c>
      <c r="AU180" s="48"/>
      <c r="AV180" s="48"/>
      <c r="AW180" s="52"/>
      <c r="AX180" s="393" t="e">
        <f t="shared" si="260"/>
        <v>#DIV/0!</v>
      </c>
      <c r="AY180" s="77">
        <v>16</v>
      </c>
      <c r="AZ180" s="394">
        <f t="shared" ref="AZ180:AZ186" si="344">BA180+BB180</f>
        <v>0</v>
      </c>
      <c r="BA180" s="395"/>
      <c r="BB180" s="396"/>
      <c r="BC180" s="397"/>
      <c r="BD180" s="600">
        <f t="shared" si="283"/>
        <v>3</v>
      </c>
      <c r="BE180" s="399">
        <f t="shared" si="284"/>
        <v>2</v>
      </c>
      <c r="BF180" s="400">
        <v>1</v>
      </c>
      <c r="BG180" s="400">
        <v>1</v>
      </c>
      <c r="BH180" s="401">
        <v>1</v>
      </c>
      <c r="BI180" s="402">
        <f t="shared" ref="BI180:BI186" si="345">SUM(BJ180:BK180)</f>
        <v>9</v>
      </c>
      <c r="BJ180" s="403">
        <v>5</v>
      </c>
      <c r="BK180" s="404">
        <v>4</v>
      </c>
      <c r="BL180" s="405">
        <v>2</v>
      </c>
      <c r="BM180" s="601">
        <f t="shared" si="285"/>
        <v>22</v>
      </c>
      <c r="BN180" s="407">
        <f t="shared" si="261"/>
        <v>21</v>
      </c>
      <c r="BO180" s="12">
        <v>14</v>
      </c>
      <c r="BP180" s="12">
        <v>7</v>
      </c>
      <c r="BQ180" s="12">
        <v>1</v>
      </c>
      <c r="BR180" s="408">
        <f t="shared" si="286"/>
        <v>2.4444444444444446</v>
      </c>
      <c r="BS180" s="409">
        <f t="shared" si="287"/>
        <v>0</v>
      </c>
      <c r="BT180" s="410"/>
      <c r="BU180" s="411"/>
      <c r="BV180" s="438"/>
      <c r="BW180" s="412">
        <f t="shared" si="288"/>
        <v>0</v>
      </c>
    </row>
    <row r="181" spans="1:76" ht="16.899999999999999" customHeight="1" x14ac:dyDescent="0.3">
      <c r="A181" s="8" t="s">
        <v>211</v>
      </c>
      <c r="B181" s="9" t="s">
        <v>51</v>
      </c>
      <c r="C181" s="14" t="s">
        <v>101</v>
      </c>
      <c r="D181" s="40" t="s">
        <v>159</v>
      </c>
      <c r="E181" s="15" t="s">
        <v>103</v>
      </c>
      <c r="F181" s="59">
        <v>50</v>
      </c>
      <c r="G181" s="369">
        <f t="shared" si="332"/>
        <v>0</v>
      </c>
      <c r="H181" s="553">
        <v>50</v>
      </c>
      <c r="I181" s="371">
        <v>33</v>
      </c>
      <c r="J181" s="371">
        <v>17</v>
      </c>
      <c r="K181" s="554">
        <v>10</v>
      </c>
      <c r="L181" s="373">
        <f t="shared" si="333"/>
        <v>0</v>
      </c>
      <c r="M181" s="373">
        <f t="shared" si="334"/>
        <v>0</v>
      </c>
      <c r="N181" s="374">
        <f t="shared" si="335"/>
        <v>0</v>
      </c>
      <c r="O181" s="374">
        <f t="shared" si="335"/>
        <v>0</v>
      </c>
      <c r="P181" s="375">
        <f t="shared" si="335"/>
        <v>0</v>
      </c>
      <c r="Q181" s="376">
        <f t="shared" si="336"/>
        <v>0</v>
      </c>
      <c r="R181" s="374">
        <f t="shared" si="337"/>
        <v>0</v>
      </c>
      <c r="S181" s="377"/>
      <c r="T181" s="377"/>
      <c r="U181" s="377"/>
      <c r="V181" s="378">
        <f t="shared" si="338"/>
        <v>0</v>
      </c>
      <c r="W181" s="379">
        <v>93</v>
      </c>
      <c r="X181" s="380"/>
      <c r="Y181" s="376">
        <f t="shared" si="339"/>
        <v>0</v>
      </c>
      <c r="Z181" s="374">
        <f t="shared" si="340"/>
        <v>0</v>
      </c>
      <c r="AA181" s="381"/>
      <c r="AB181" s="381"/>
      <c r="AC181" s="382"/>
      <c r="AD181" s="376">
        <f t="shared" si="341"/>
        <v>0</v>
      </c>
      <c r="AE181" s="374">
        <f t="shared" si="342"/>
        <v>0</v>
      </c>
      <c r="AF181" s="381"/>
      <c r="AG181" s="381"/>
      <c r="AH181" s="383"/>
      <c r="AI181" s="384">
        <f t="shared" si="343"/>
        <v>0</v>
      </c>
      <c r="AJ181" s="385"/>
      <c r="AK181" s="386"/>
      <c r="AL181" s="387"/>
      <c r="AM181" s="434">
        <f t="shared" si="258"/>
        <v>0</v>
      </c>
      <c r="AN181" s="389"/>
      <c r="AO181" s="390"/>
      <c r="AP181" s="390"/>
      <c r="AQ181" s="390"/>
      <c r="AR181" s="346" t="e">
        <f t="shared" si="259"/>
        <v>#DIV/0!</v>
      </c>
      <c r="AS181" s="436"/>
      <c r="AT181" s="392">
        <v>45</v>
      </c>
      <c r="AU181" s="48"/>
      <c r="AV181" s="48"/>
      <c r="AW181" s="52"/>
      <c r="AX181" s="393" t="e">
        <f t="shared" si="260"/>
        <v>#DIV/0!</v>
      </c>
      <c r="AY181" s="77">
        <v>331</v>
      </c>
      <c r="AZ181" s="394">
        <f t="shared" si="344"/>
        <v>0</v>
      </c>
      <c r="BA181" s="395"/>
      <c r="BB181" s="396"/>
      <c r="BC181" s="397"/>
      <c r="BD181" s="600">
        <f t="shared" si="283"/>
        <v>0</v>
      </c>
      <c r="BE181" s="399">
        <f t="shared" si="284"/>
        <v>0</v>
      </c>
      <c r="BF181" s="400">
        <v>0</v>
      </c>
      <c r="BG181" s="400">
        <v>0</v>
      </c>
      <c r="BH181" s="401">
        <v>0</v>
      </c>
      <c r="BI181" s="402">
        <f t="shared" si="345"/>
        <v>7</v>
      </c>
      <c r="BJ181" s="403">
        <v>4</v>
      </c>
      <c r="BK181" s="404">
        <v>3</v>
      </c>
      <c r="BL181" s="405">
        <v>3</v>
      </c>
      <c r="BM181" s="601">
        <f t="shared" si="285"/>
        <v>56</v>
      </c>
      <c r="BN181" s="407">
        <f t="shared" si="261"/>
        <v>45</v>
      </c>
      <c r="BO181" s="12">
        <v>26</v>
      </c>
      <c r="BP181" s="12">
        <v>19</v>
      </c>
      <c r="BQ181" s="12">
        <v>11</v>
      </c>
      <c r="BR181" s="408">
        <f t="shared" ref="BR181:BR210" si="346">BM181/BI181</f>
        <v>8</v>
      </c>
      <c r="BS181" s="409">
        <f t="shared" si="287"/>
        <v>0</v>
      </c>
      <c r="BT181" s="410"/>
      <c r="BU181" s="439"/>
      <c r="BV181" s="458"/>
      <c r="BW181" s="412">
        <f t="shared" si="288"/>
        <v>0</v>
      </c>
    </row>
    <row r="182" spans="1:76" ht="16.899999999999999" customHeight="1" x14ac:dyDescent="0.3">
      <c r="A182" s="8" t="s">
        <v>211</v>
      </c>
      <c r="B182" s="9" t="s">
        <v>51</v>
      </c>
      <c r="C182" s="14" t="s">
        <v>117</v>
      </c>
      <c r="D182" s="40" t="s">
        <v>223</v>
      </c>
      <c r="E182" s="15" t="s">
        <v>103</v>
      </c>
      <c r="F182" s="59">
        <v>60</v>
      </c>
      <c r="G182" s="369">
        <f t="shared" si="332"/>
        <v>0</v>
      </c>
      <c r="H182" s="553">
        <v>60</v>
      </c>
      <c r="I182" s="371">
        <v>42</v>
      </c>
      <c r="J182" s="371">
        <v>18</v>
      </c>
      <c r="K182" s="554">
        <v>12</v>
      </c>
      <c r="L182" s="373">
        <f t="shared" si="333"/>
        <v>0</v>
      </c>
      <c r="M182" s="373">
        <f t="shared" si="334"/>
        <v>0</v>
      </c>
      <c r="N182" s="374">
        <f t="shared" si="335"/>
        <v>0</v>
      </c>
      <c r="O182" s="374">
        <f t="shared" si="335"/>
        <v>0</v>
      </c>
      <c r="P182" s="375">
        <f t="shared" si="335"/>
        <v>0</v>
      </c>
      <c r="Q182" s="376">
        <f t="shared" si="336"/>
        <v>0</v>
      </c>
      <c r="R182" s="374">
        <f t="shared" si="337"/>
        <v>0</v>
      </c>
      <c r="S182" s="377"/>
      <c r="T182" s="377"/>
      <c r="U182" s="377"/>
      <c r="V182" s="378">
        <f t="shared" si="338"/>
        <v>0</v>
      </c>
      <c r="W182" s="379">
        <v>77.3</v>
      </c>
      <c r="X182" s="380"/>
      <c r="Y182" s="376">
        <f t="shared" si="339"/>
        <v>0</v>
      </c>
      <c r="Z182" s="374">
        <f t="shared" si="340"/>
        <v>0</v>
      </c>
      <c r="AA182" s="381"/>
      <c r="AB182" s="381"/>
      <c r="AC182" s="382"/>
      <c r="AD182" s="376">
        <f t="shared" si="341"/>
        <v>0</v>
      </c>
      <c r="AE182" s="374">
        <f t="shared" si="342"/>
        <v>0</v>
      </c>
      <c r="AF182" s="381"/>
      <c r="AG182" s="381"/>
      <c r="AH182" s="383"/>
      <c r="AI182" s="384">
        <f t="shared" si="343"/>
        <v>0</v>
      </c>
      <c r="AJ182" s="385"/>
      <c r="AK182" s="386"/>
      <c r="AL182" s="387"/>
      <c r="AM182" s="434">
        <f t="shared" si="258"/>
        <v>0</v>
      </c>
      <c r="AN182" s="389"/>
      <c r="AO182" s="390"/>
      <c r="AP182" s="390"/>
      <c r="AQ182" s="390"/>
      <c r="AR182" s="346" t="e">
        <f t="shared" si="259"/>
        <v>#DIV/0!</v>
      </c>
      <c r="AS182" s="436"/>
      <c r="AT182" s="392">
        <v>51</v>
      </c>
      <c r="AU182" s="48"/>
      <c r="AV182" s="48"/>
      <c r="AW182" s="52"/>
      <c r="AX182" s="393" t="e">
        <f t="shared" si="260"/>
        <v>#DIV/0!</v>
      </c>
      <c r="AY182" s="77">
        <v>121</v>
      </c>
      <c r="AZ182" s="394">
        <f t="shared" si="344"/>
        <v>0</v>
      </c>
      <c r="BA182" s="395"/>
      <c r="BB182" s="396"/>
      <c r="BC182" s="397"/>
      <c r="BD182" s="600">
        <f t="shared" si="283"/>
        <v>5</v>
      </c>
      <c r="BE182" s="399">
        <f t="shared" si="284"/>
        <v>5</v>
      </c>
      <c r="BF182" s="400">
        <v>2</v>
      </c>
      <c r="BG182" s="400">
        <v>3</v>
      </c>
      <c r="BH182" s="401">
        <v>0</v>
      </c>
      <c r="BI182" s="402">
        <f t="shared" si="345"/>
        <v>13</v>
      </c>
      <c r="BJ182" s="403">
        <v>7</v>
      </c>
      <c r="BK182" s="404">
        <v>6</v>
      </c>
      <c r="BL182" s="405">
        <v>3</v>
      </c>
      <c r="BM182" s="601">
        <f t="shared" si="285"/>
        <v>35</v>
      </c>
      <c r="BN182" s="407">
        <f t="shared" si="261"/>
        <v>28</v>
      </c>
      <c r="BO182" s="12">
        <v>18</v>
      </c>
      <c r="BP182" s="12">
        <v>10</v>
      </c>
      <c r="BQ182" s="12">
        <v>7</v>
      </c>
      <c r="BR182" s="408">
        <f t="shared" si="346"/>
        <v>2.6923076923076925</v>
      </c>
      <c r="BS182" s="409">
        <f t="shared" si="287"/>
        <v>0</v>
      </c>
      <c r="BT182" s="410"/>
      <c r="BU182" s="411"/>
      <c r="BV182" s="438"/>
      <c r="BW182" s="412">
        <f t="shared" si="288"/>
        <v>0</v>
      </c>
    </row>
    <row r="183" spans="1:76" ht="16.899999999999999" customHeight="1" x14ac:dyDescent="0.3">
      <c r="A183" s="8" t="s">
        <v>211</v>
      </c>
      <c r="B183" s="9" t="s">
        <v>51</v>
      </c>
      <c r="C183" s="14" t="s">
        <v>104</v>
      </c>
      <c r="D183" s="40" t="s">
        <v>204</v>
      </c>
      <c r="E183" s="15" t="s">
        <v>103</v>
      </c>
      <c r="F183" s="59">
        <v>50</v>
      </c>
      <c r="G183" s="369">
        <f t="shared" si="332"/>
        <v>0</v>
      </c>
      <c r="H183" s="553">
        <v>50</v>
      </c>
      <c r="I183" s="371">
        <v>33</v>
      </c>
      <c r="J183" s="371">
        <v>17</v>
      </c>
      <c r="K183" s="554">
        <v>10</v>
      </c>
      <c r="L183" s="373">
        <f t="shared" si="333"/>
        <v>0</v>
      </c>
      <c r="M183" s="373">
        <f t="shared" si="334"/>
        <v>0</v>
      </c>
      <c r="N183" s="374">
        <f t="shared" si="335"/>
        <v>0</v>
      </c>
      <c r="O183" s="374">
        <f t="shared" si="335"/>
        <v>0</v>
      </c>
      <c r="P183" s="375">
        <f t="shared" si="335"/>
        <v>0</v>
      </c>
      <c r="Q183" s="376">
        <f t="shared" si="336"/>
        <v>0</v>
      </c>
      <c r="R183" s="374">
        <f t="shared" si="337"/>
        <v>0</v>
      </c>
      <c r="S183" s="377"/>
      <c r="T183" s="377"/>
      <c r="U183" s="377"/>
      <c r="V183" s="378">
        <f t="shared" si="338"/>
        <v>0</v>
      </c>
      <c r="W183" s="379">
        <v>67.599999999999994</v>
      </c>
      <c r="X183" s="380"/>
      <c r="Y183" s="376">
        <f t="shared" si="339"/>
        <v>0</v>
      </c>
      <c r="Z183" s="374">
        <f t="shared" si="340"/>
        <v>0</v>
      </c>
      <c r="AA183" s="381"/>
      <c r="AB183" s="381"/>
      <c r="AC183" s="382"/>
      <c r="AD183" s="376">
        <f t="shared" si="341"/>
        <v>0</v>
      </c>
      <c r="AE183" s="374">
        <f t="shared" si="342"/>
        <v>0</v>
      </c>
      <c r="AF183" s="381"/>
      <c r="AG183" s="381"/>
      <c r="AH183" s="383"/>
      <c r="AI183" s="384">
        <f t="shared" si="343"/>
        <v>0</v>
      </c>
      <c r="AJ183" s="385"/>
      <c r="AK183" s="386"/>
      <c r="AL183" s="387"/>
      <c r="AM183" s="434">
        <f t="shared" si="258"/>
        <v>0</v>
      </c>
      <c r="AN183" s="389"/>
      <c r="AO183" s="390"/>
      <c r="AP183" s="390"/>
      <c r="AQ183" s="390"/>
      <c r="AR183" s="346" t="e">
        <f t="shared" si="259"/>
        <v>#DIV/0!</v>
      </c>
      <c r="AS183" s="436"/>
      <c r="AT183" s="392">
        <v>42</v>
      </c>
      <c r="AU183" s="48"/>
      <c r="AV183" s="48"/>
      <c r="AW183" s="52"/>
      <c r="AX183" s="393" t="e">
        <f t="shared" si="260"/>
        <v>#DIV/0!</v>
      </c>
      <c r="AY183" s="77">
        <v>335</v>
      </c>
      <c r="AZ183" s="394">
        <f t="shared" si="344"/>
        <v>0</v>
      </c>
      <c r="BA183" s="395"/>
      <c r="BB183" s="396"/>
      <c r="BC183" s="397"/>
      <c r="BD183" s="600">
        <f t="shared" si="283"/>
        <v>0</v>
      </c>
      <c r="BE183" s="399">
        <f t="shared" si="284"/>
        <v>0</v>
      </c>
      <c r="BF183" s="400">
        <v>0</v>
      </c>
      <c r="BG183" s="400">
        <v>0</v>
      </c>
      <c r="BH183" s="401">
        <v>0</v>
      </c>
      <c r="BI183" s="402">
        <f t="shared" si="345"/>
        <v>9</v>
      </c>
      <c r="BJ183" s="403">
        <v>5</v>
      </c>
      <c r="BK183" s="404">
        <v>4</v>
      </c>
      <c r="BL183" s="405">
        <v>3</v>
      </c>
      <c r="BM183" s="601">
        <f t="shared" si="285"/>
        <v>22</v>
      </c>
      <c r="BN183" s="407">
        <f t="shared" si="261"/>
        <v>17</v>
      </c>
      <c r="BO183" s="12">
        <v>9</v>
      </c>
      <c r="BP183" s="12">
        <v>8</v>
      </c>
      <c r="BQ183" s="12">
        <v>5</v>
      </c>
      <c r="BR183" s="408">
        <f t="shared" si="346"/>
        <v>2.4444444444444446</v>
      </c>
      <c r="BS183" s="409">
        <f t="shared" si="287"/>
        <v>0</v>
      </c>
      <c r="BT183" s="410"/>
      <c r="BU183" s="411"/>
      <c r="BV183" s="438"/>
      <c r="BW183" s="412">
        <f t="shared" si="288"/>
        <v>0</v>
      </c>
    </row>
    <row r="184" spans="1:76" ht="16.899999999999999" customHeight="1" x14ac:dyDescent="0.3">
      <c r="A184" s="8" t="s">
        <v>211</v>
      </c>
      <c r="B184" s="9" t="s">
        <v>51</v>
      </c>
      <c r="C184" s="14" t="s">
        <v>186</v>
      </c>
      <c r="D184" s="40" t="s">
        <v>224</v>
      </c>
      <c r="E184" s="15" t="s">
        <v>103</v>
      </c>
      <c r="F184" s="59">
        <v>25</v>
      </c>
      <c r="G184" s="369">
        <f t="shared" si="332"/>
        <v>0</v>
      </c>
      <c r="H184" s="553">
        <v>25</v>
      </c>
      <c r="I184" s="371">
        <v>17</v>
      </c>
      <c r="J184" s="371">
        <v>8</v>
      </c>
      <c r="K184" s="554">
        <v>5</v>
      </c>
      <c r="L184" s="373">
        <f t="shared" si="333"/>
        <v>0</v>
      </c>
      <c r="M184" s="373">
        <f t="shared" si="334"/>
        <v>0</v>
      </c>
      <c r="N184" s="374">
        <f t="shared" si="335"/>
        <v>0</v>
      </c>
      <c r="O184" s="374">
        <f t="shared" si="335"/>
        <v>0</v>
      </c>
      <c r="P184" s="375">
        <f t="shared" si="335"/>
        <v>0</v>
      </c>
      <c r="Q184" s="376">
        <f t="shared" si="336"/>
        <v>0</v>
      </c>
      <c r="R184" s="374">
        <f t="shared" si="337"/>
        <v>0</v>
      </c>
      <c r="S184" s="377"/>
      <c r="T184" s="377"/>
      <c r="U184" s="377"/>
      <c r="V184" s="378">
        <f t="shared" si="338"/>
        <v>0</v>
      </c>
      <c r="W184" s="379">
        <v>76.8</v>
      </c>
      <c r="X184" s="380"/>
      <c r="Y184" s="376">
        <f t="shared" si="339"/>
        <v>0</v>
      </c>
      <c r="Z184" s="374">
        <f t="shared" si="340"/>
        <v>0</v>
      </c>
      <c r="AA184" s="381"/>
      <c r="AB184" s="381"/>
      <c r="AC184" s="382"/>
      <c r="AD184" s="376">
        <f t="shared" si="341"/>
        <v>0</v>
      </c>
      <c r="AE184" s="374">
        <f t="shared" si="342"/>
        <v>0</v>
      </c>
      <c r="AF184" s="381"/>
      <c r="AG184" s="381"/>
      <c r="AH184" s="383"/>
      <c r="AI184" s="384">
        <f t="shared" si="343"/>
        <v>0</v>
      </c>
      <c r="AJ184" s="385"/>
      <c r="AK184" s="386"/>
      <c r="AL184" s="387"/>
      <c r="AM184" s="434">
        <f t="shared" si="258"/>
        <v>0</v>
      </c>
      <c r="AN184" s="389"/>
      <c r="AO184" s="390"/>
      <c r="AP184" s="390"/>
      <c r="AQ184" s="390"/>
      <c r="AR184" s="346" t="e">
        <f t="shared" si="259"/>
        <v>#DIV/0!</v>
      </c>
      <c r="AS184" s="436"/>
      <c r="AT184" s="392">
        <v>20</v>
      </c>
      <c r="AU184" s="48"/>
      <c r="AV184" s="48"/>
      <c r="AW184" s="52"/>
      <c r="AX184" s="393" t="e">
        <f t="shared" si="260"/>
        <v>#DIV/0!</v>
      </c>
      <c r="AY184" s="77">
        <v>245</v>
      </c>
      <c r="AZ184" s="394">
        <f t="shared" si="344"/>
        <v>0</v>
      </c>
      <c r="BA184" s="395"/>
      <c r="BB184" s="396"/>
      <c r="BC184" s="397"/>
      <c r="BD184" s="600">
        <f t="shared" si="283"/>
        <v>1</v>
      </c>
      <c r="BE184" s="399">
        <f t="shared" si="284"/>
        <v>1</v>
      </c>
      <c r="BF184" s="400">
        <v>0</v>
      </c>
      <c r="BG184" s="400">
        <v>1</v>
      </c>
      <c r="BH184" s="401">
        <v>0</v>
      </c>
      <c r="BI184" s="402">
        <f t="shared" si="345"/>
        <v>6</v>
      </c>
      <c r="BJ184" s="403">
        <v>3</v>
      </c>
      <c r="BK184" s="404">
        <v>3</v>
      </c>
      <c r="BL184" s="405">
        <v>1</v>
      </c>
      <c r="BM184" s="601">
        <f t="shared" si="285"/>
        <v>8</v>
      </c>
      <c r="BN184" s="407">
        <f t="shared" si="261"/>
        <v>6</v>
      </c>
      <c r="BO184" s="12">
        <v>5</v>
      </c>
      <c r="BP184" s="12">
        <v>1</v>
      </c>
      <c r="BQ184" s="12">
        <v>2</v>
      </c>
      <c r="BR184" s="408">
        <f t="shared" si="346"/>
        <v>1.3333333333333333</v>
      </c>
      <c r="BS184" s="409">
        <f t="shared" si="287"/>
        <v>0</v>
      </c>
      <c r="BT184" s="410"/>
      <c r="BU184" s="411"/>
      <c r="BV184" s="438"/>
      <c r="BW184" s="412">
        <f t="shared" si="288"/>
        <v>0</v>
      </c>
    </row>
    <row r="185" spans="1:76" ht="16.899999999999999" customHeight="1" x14ac:dyDescent="0.3">
      <c r="A185" s="8" t="s">
        <v>211</v>
      </c>
      <c r="B185" s="9" t="s">
        <v>51</v>
      </c>
      <c r="C185" s="14" t="s">
        <v>115</v>
      </c>
      <c r="D185" s="40" t="s">
        <v>116</v>
      </c>
      <c r="E185" s="15" t="s">
        <v>103</v>
      </c>
      <c r="F185" s="59">
        <v>60</v>
      </c>
      <c r="G185" s="369">
        <f t="shared" si="332"/>
        <v>0</v>
      </c>
      <c r="H185" s="553">
        <v>60</v>
      </c>
      <c r="I185" s="371">
        <v>42</v>
      </c>
      <c r="J185" s="371">
        <v>18</v>
      </c>
      <c r="K185" s="554">
        <v>12</v>
      </c>
      <c r="L185" s="373">
        <f t="shared" si="333"/>
        <v>0</v>
      </c>
      <c r="M185" s="373">
        <f t="shared" si="334"/>
        <v>0</v>
      </c>
      <c r="N185" s="374">
        <f t="shared" si="335"/>
        <v>0</v>
      </c>
      <c r="O185" s="374">
        <f t="shared" si="335"/>
        <v>0</v>
      </c>
      <c r="P185" s="375">
        <f t="shared" si="335"/>
        <v>0</v>
      </c>
      <c r="Q185" s="376">
        <f t="shared" si="336"/>
        <v>0</v>
      </c>
      <c r="R185" s="374">
        <f t="shared" si="337"/>
        <v>0</v>
      </c>
      <c r="S185" s="377"/>
      <c r="T185" s="377"/>
      <c r="U185" s="377"/>
      <c r="V185" s="378">
        <f t="shared" si="338"/>
        <v>0</v>
      </c>
      <c r="W185" s="379">
        <v>82.8</v>
      </c>
      <c r="X185" s="380"/>
      <c r="Y185" s="376">
        <f t="shared" si="339"/>
        <v>0</v>
      </c>
      <c r="Z185" s="374">
        <f t="shared" si="340"/>
        <v>0</v>
      </c>
      <c r="AA185" s="381"/>
      <c r="AB185" s="381"/>
      <c r="AC185" s="382"/>
      <c r="AD185" s="376">
        <f t="shared" si="341"/>
        <v>0</v>
      </c>
      <c r="AE185" s="374">
        <f t="shared" si="342"/>
        <v>0</v>
      </c>
      <c r="AF185" s="381"/>
      <c r="AG185" s="381"/>
      <c r="AH185" s="383"/>
      <c r="AI185" s="384">
        <f t="shared" si="343"/>
        <v>0</v>
      </c>
      <c r="AJ185" s="385"/>
      <c r="AK185" s="386"/>
      <c r="AL185" s="387"/>
      <c r="AM185" s="434">
        <f t="shared" si="258"/>
        <v>0</v>
      </c>
      <c r="AN185" s="389"/>
      <c r="AO185" s="390"/>
      <c r="AP185" s="390"/>
      <c r="AQ185" s="390"/>
      <c r="AR185" s="346" t="e">
        <f t="shared" si="259"/>
        <v>#DIV/0!</v>
      </c>
      <c r="AS185" s="436"/>
      <c r="AT185" s="392">
        <v>56</v>
      </c>
      <c r="AU185" s="48"/>
      <c r="AV185" s="48"/>
      <c r="AW185" s="52"/>
      <c r="AX185" s="393" t="e">
        <f t="shared" si="260"/>
        <v>#DIV/0!</v>
      </c>
      <c r="AY185" s="77">
        <v>95</v>
      </c>
      <c r="AZ185" s="394">
        <f t="shared" si="344"/>
        <v>0</v>
      </c>
      <c r="BA185" s="395"/>
      <c r="BB185" s="396"/>
      <c r="BC185" s="397"/>
      <c r="BD185" s="600">
        <f t="shared" si="283"/>
        <v>0</v>
      </c>
      <c r="BE185" s="399">
        <f t="shared" si="284"/>
        <v>0</v>
      </c>
      <c r="BF185" s="400">
        <v>0</v>
      </c>
      <c r="BG185" s="400">
        <v>0</v>
      </c>
      <c r="BH185" s="401">
        <v>0</v>
      </c>
      <c r="BI185" s="402">
        <f t="shared" si="345"/>
        <v>8</v>
      </c>
      <c r="BJ185" s="403">
        <v>5</v>
      </c>
      <c r="BK185" s="404">
        <v>3</v>
      </c>
      <c r="BL185" s="405">
        <v>3</v>
      </c>
      <c r="BM185" s="601">
        <f t="shared" si="285"/>
        <v>63</v>
      </c>
      <c r="BN185" s="407">
        <f t="shared" si="261"/>
        <v>53</v>
      </c>
      <c r="BO185" s="12">
        <v>32</v>
      </c>
      <c r="BP185" s="12">
        <v>21</v>
      </c>
      <c r="BQ185" s="12">
        <v>10</v>
      </c>
      <c r="BR185" s="408">
        <f t="shared" si="346"/>
        <v>7.875</v>
      </c>
      <c r="BS185" s="409">
        <f t="shared" si="287"/>
        <v>0</v>
      </c>
      <c r="BT185" s="410"/>
      <c r="BU185" s="411"/>
      <c r="BV185" s="438"/>
      <c r="BW185" s="412">
        <f t="shared" si="288"/>
        <v>0</v>
      </c>
    </row>
    <row r="186" spans="1:76" ht="16.899999999999999" customHeight="1" x14ac:dyDescent="0.3">
      <c r="A186" s="8" t="s">
        <v>211</v>
      </c>
      <c r="B186" s="9" t="s">
        <v>51</v>
      </c>
      <c r="C186" s="14" t="s">
        <v>115</v>
      </c>
      <c r="D186" s="45" t="s">
        <v>116</v>
      </c>
      <c r="E186" s="28" t="s">
        <v>137</v>
      </c>
      <c r="F186" s="59">
        <v>25</v>
      </c>
      <c r="G186" s="369">
        <f t="shared" si="332"/>
        <v>0</v>
      </c>
      <c r="H186" s="553">
        <v>25</v>
      </c>
      <c r="I186" s="371">
        <v>17</v>
      </c>
      <c r="J186" s="371">
        <v>8</v>
      </c>
      <c r="K186" s="554">
        <v>5</v>
      </c>
      <c r="L186" s="373">
        <f t="shared" si="333"/>
        <v>0</v>
      </c>
      <c r="M186" s="373">
        <f t="shared" si="334"/>
        <v>0</v>
      </c>
      <c r="N186" s="374">
        <f t="shared" si="335"/>
        <v>0</v>
      </c>
      <c r="O186" s="374">
        <f t="shared" si="335"/>
        <v>0</v>
      </c>
      <c r="P186" s="375">
        <f t="shared" si="335"/>
        <v>0</v>
      </c>
      <c r="Q186" s="376">
        <f t="shared" si="336"/>
        <v>0</v>
      </c>
      <c r="R186" s="374">
        <f t="shared" si="337"/>
        <v>0</v>
      </c>
      <c r="S186" s="377"/>
      <c r="T186" s="377"/>
      <c r="U186" s="377"/>
      <c r="V186" s="378">
        <f t="shared" si="338"/>
        <v>0</v>
      </c>
      <c r="W186" s="379">
        <v>92.2</v>
      </c>
      <c r="X186" s="380"/>
      <c r="Y186" s="376">
        <f t="shared" si="339"/>
        <v>0</v>
      </c>
      <c r="Z186" s="374">
        <f t="shared" si="340"/>
        <v>0</v>
      </c>
      <c r="AA186" s="381"/>
      <c r="AB186" s="381"/>
      <c r="AC186" s="382"/>
      <c r="AD186" s="376">
        <f t="shared" si="341"/>
        <v>0</v>
      </c>
      <c r="AE186" s="374">
        <f t="shared" si="342"/>
        <v>0</v>
      </c>
      <c r="AF186" s="381"/>
      <c r="AG186" s="381"/>
      <c r="AH186" s="383"/>
      <c r="AI186" s="384">
        <f t="shared" si="343"/>
        <v>0</v>
      </c>
      <c r="AJ186" s="385"/>
      <c r="AK186" s="386"/>
      <c r="AL186" s="387"/>
      <c r="AM186" s="434">
        <f t="shared" si="258"/>
        <v>0</v>
      </c>
      <c r="AN186" s="389"/>
      <c r="AO186" s="390"/>
      <c r="AP186" s="390"/>
      <c r="AQ186" s="390"/>
      <c r="AR186" s="346" t="e">
        <f t="shared" si="259"/>
        <v>#DIV/0!</v>
      </c>
      <c r="AS186" s="436"/>
      <c r="AT186" s="392">
        <v>18</v>
      </c>
      <c r="AU186" s="48"/>
      <c r="AV186" s="48"/>
      <c r="AW186" s="52"/>
      <c r="AX186" s="393" t="e">
        <f t="shared" si="260"/>
        <v>#DIV/0!</v>
      </c>
      <c r="AY186" s="79">
        <v>80</v>
      </c>
      <c r="AZ186" s="394">
        <f t="shared" si="344"/>
        <v>0</v>
      </c>
      <c r="BA186" s="395"/>
      <c r="BB186" s="396"/>
      <c r="BC186" s="397"/>
      <c r="BD186" s="600">
        <f t="shared" si="283"/>
        <v>3</v>
      </c>
      <c r="BE186" s="399">
        <f t="shared" si="284"/>
        <v>2</v>
      </c>
      <c r="BF186" s="400">
        <v>2</v>
      </c>
      <c r="BG186" s="400">
        <v>0</v>
      </c>
      <c r="BH186" s="401">
        <v>1</v>
      </c>
      <c r="BI186" s="402">
        <f t="shared" si="345"/>
        <v>7</v>
      </c>
      <c r="BJ186" s="403">
        <v>5</v>
      </c>
      <c r="BK186" s="404">
        <v>2</v>
      </c>
      <c r="BL186" s="405">
        <v>2</v>
      </c>
      <c r="BM186" s="601">
        <f t="shared" si="285"/>
        <v>22</v>
      </c>
      <c r="BN186" s="407">
        <f t="shared" si="261"/>
        <v>18</v>
      </c>
      <c r="BO186" s="12">
        <v>14</v>
      </c>
      <c r="BP186" s="12">
        <v>4</v>
      </c>
      <c r="BQ186" s="12">
        <v>4</v>
      </c>
      <c r="BR186" s="408">
        <f t="shared" si="346"/>
        <v>3.1428571428571428</v>
      </c>
      <c r="BS186" s="409">
        <f t="shared" si="287"/>
        <v>0</v>
      </c>
      <c r="BT186" s="410"/>
      <c r="BU186" s="411"/>
      <c r="BV186" s="438"/>
      <c r="BW186" s="412">
        <f t="shared" si="288"/>
        <v>0</v>
      </c>
    </row>
    <row r="187" spans="1:76" ht="20.45" customHeight="1" x14ac:dyDescent="0.3">
      <c r="A187" s="742" t="s">
        <v>225</v>
      </c>
      <c r="B187" s="743"/>
      <c r="C187" s="743"/>
      <c r="D187" s="743"/>
      <c r="E187" s="744"/>
      <c r="F187" s="57">
        <f>F188+F194+F199+F208</f>
        <v>600</v>
      </c>
      <c r="G187" s="288">
        <f t="shared" si="332"/>
        <v>0</v>
      </c>
      <c r="H187" s="503">
        <f t="shared" ref="H187:U187" si="347">H188+H194+H199+H208</f>
        <v>600</v>
      </c>
      <c r="I187" s="504">
        <f t="shared" si="347"/>
        <v>411</v>
      </c>
      <c r="J187" s="504">
        <f t="shared" si="347"/>
        <v>189</v>
      </c>
      <c r="K187" s="505">
        <f t="shared" si="347"/>
        <v>120</v>
      </c>
      <c r="L187" s="506">
        <f t="shared" si="347"/>
        <v>0</v>
      </c>
      <c r="M187" s="506">
        <f t="shared" si="347"/>
        <v>0</v>
      </c>
      <c r="N187" s="506">
        <f t="shared" si="347"/>
        <v>0</v>
      </c>
      <c r="O187" s="506">
        <f t="shared" si="347"/>
        <v>0</v>
      </c>
      <c r="P187" s="535">
        <f t="shared" si="347"/>
        <v>0</v>
      </c>
      <c r="Q187" s="468">
        <f t="shared" si="347"/>
        <v>0</v>
      </c>
      <c r="R187" s="469">
        <f t="shared" si="347"/>
        <v>0</v>
      </c>
      <c r="S187" s="469">
        <f t="shared" si="347"/>
        <v>0</v>
      </c>
      <c r="T187" s="469">
        <f t="shared" si="347"/>
        <v>0</v>
      </c>
      <c r="U187" s="469">
        <f t="shared" si="347"/>
        <v>0</v>
      </c>
      <c r="V187" s="466">
        <f t="shared" si="338"/>
        <v>0</v>
      </c>
      <c r="W187" s="464">
        <f t="shared" ref="W187:AI187" si="348">W188+W194+W199+W208</f>
        <v>1379.1000000000001</v>
      </c>
      <c r="X187" s="506">
        <f t="shared" si="348"/>
        <v>0</v>
      </c>
      <c r="Y187" s="468">
        <f t="shared" si="348"/>
        <v>0</v>
      </c>
      <c r="Z187" s="469">
        <f t="shared" si="348"/>
        <v>0</v>
      </c>
      <c r="AA187" s="469">
        <f t="shared" si="348"/>
        <v>0</v>
      </c>
      <c r="AB187" s="469">
        <f t="shared" si="348"/>
        <v>0</v>
      </c>
      <c r="AC187" s="467">
        <f t="shared" si="348"/>
        <v>0</v>
      </c>
      <c r="AD187" s="468">
        <f t="shared" si="348"/>
        <v>0</v>
      </c>
      <c r="AE187" s="469">
        <f t="shared" si="348"/>
        <v>0</v>
      </c>
      <c r="AF187" s="469">
        <f t="shared" si="348"/>
        <v>0</v>
      </c>
      <c r="AG187" s="469">
        <f t="shared" si="348"/>
        <v>0</v>
      </c>
      <c r="AH187" s="470">
        <f t="shared" si="348"/>
        <v>0</v>
      </c>
      <c r="AI187" s="572">
        <f t="shared" si="348"/>
        <v>0</v>
      </c>
      <c r="AJ187" s="603"/>
      <c r="AK187" s="603"/>
      <c r="AL187" s="572"/>
      <c r="AM187" s="474">
        <f t="shared" si="258"/>
        <v>0</v>
      </c>
      <c r="AN187" s="475"/>
      <c r="AO187" s="538"/>
      <c r="AP187" s="538"/>
      <c r="AQ187" s="538"/>
      <c r="AR187" s="308" t="e">
        <f t="shared" si="259"/>
        <v>#DIV/0!</v>
      </c>
      <c r="AS187" s="309">
        <v>0.91800000000000004</v>
      </c>
      <c r="AT187" s="539">
        <f>AT188+AT194+AT199+AT208</f>
        <v>312</v>
      </c>
      <c r="AU187" s="540"/>
      <c r="AV187" s="541"/>
      <c r="AW187" s="542"/>
      <c r="AX187" s="481" t="e">
        <f t="shared" si="260"/>
        <v>#DIV/0!</v>
      </c>
      <c r="AY187" s="482">
        <v>0.58799999999999997</v>
      </c>
      <c r="AZ187" s="543">
        <f>AZ188+AZ194+AZ199+AZ208</f>
        <v>0</v>
      </c>
      <c r="BA187" s="541"/>
      <c r="BB187" s="541"/>
      <c r="BC187" s="544"/>
      <c r="BD187" s="540">
        <f t="shared" ref="BD187:BM187" si="349">BD188+BD194+BD199+BD208</f>
        <v>246</v>
      </c>
      <c r="BE187" s="541">
        <f t="shared" si="349"/>
        <v>203</v>
      </c>
      <c r="BF187" s="541">
        <f t="shared" si="349"/>
        <v>113</v>
      </c>
      <c r="BG187" s="541">
        <f t="shared" si="349"/>
        <v>90</v>
      </c>
      <c r="BH187" s="542">
        <f t="shared" si="349"/>
        <v>43</v>
      </c>
      <c r="BI187" s="545">
        <f t="shared" si="349"/>
        <v>269</v>
      </c>
      <c r="BJ187" s="541">
        <f t="shared" si="349"/>
        <v>225</v>
      </c>
      <c r="BK187" s="541">
        <f t="shared" si="349"/>
        <v>44</v>
      </c>
      <c r="BL187" s="546">
        <f t="shared" si="349"/>
        <v>73</v>
      </c>
      <c r="BM187" s="547">
        <f t="shared" si="349"/>
        <v>241</v>
      </c>
      <c r="BN187" s="487">
        <f t="shared" si="261"/>
        <v>197</v>
      </c>
      <c r="BO187" s="541">
        <f>BO188+BO194+BO199+BO208</f>
        <v>173</v>
      </c>
      <c r="BP187" s="541">
        <f>BP188+BP194+BP199+BP208</f>
        <v>24</v>
      </c>
      <c r="BQ187" s="541">
        <f>BQ188+BQ194+BQ199+BQ208</f>
        <v>44</v>
      </c>
      <c r="BR187" s="494">
        <f t="shared" si="346"/>
        <v>0.89591078066914498</v>
      </c>
      <c r="BS187" s="540">
        <f>BS188+BS194+BS199+BS208</f>
        <v>0</v>
      </c>
      <c r="BT187" s="541">
        <f>BT188+BT194+BT199+BT208</f>
        <v>0</v>
      </c>
      <c r="BU187" s="541">
        <f>BU188+BU194+BU199+BU208</f>
        <v>0</v>
      </c>
      <c r="BV187" s="541">
        <f>BV188+BV194+BV199+BV208</f>
        <v>0</v>
      </c>
      <c r="BW187" s="548">
        <f>BW188+BW194+BW199+BW208</f>
        <v>0</v>
      </c>
    </row>
    <row r="188" spans="1:76" ht="16.899999999999999" customHeight="1" x14ac:dyDescent="0.3">
      <c r="A188" s="4" t="s">
        <v>226</v>
      </c>
      <c r="B188" s="5" t="s">
        <v>53</v>
      </c>
      <c r="C188" s="5"/>
      <c r="D188" s="5" t="s">
        <v>21</v>
      </c>
      <c r="E188" s="6"/>
      <c r="F188" s="58">
        <f t="shared" ref="F188:U188" si="350">SUM(F189:F193)</f>
        <v>150</v>
      </c>
      <c r="G188" s="7">
        <f t="shared" si="350"/>
        <v>0</v>
      </c>
      <c r="H188" s="7">
        <f t="shared" si="350"/>
        <v>150</v>
      </c>
      <c r="I188" s="67">
        <f t="shared" si="350"/>
        <v>103</v>
      </c>
      <c r="J188" s="67">
        <f t="shared" si="350"/>
        <v>47</v>
      </c>
      <c r="K188" s="70">
        <f t="shared" si="350"/>
        <v>30</v>
      </c>
      <c r="L188" s="413">
        <f t="shared" si="350"/>
        <v>0</v>
      </c>
      <c r="M188" s="413">
        <f t="shared" si="350"/>
        <v>0</v>
      </c>
      <c r="N188" s="413">
        <f t="shared" si="350"/>
        <v>0</v>
      </c>
      <c r="O188" s="413">
        <f t="shared" si="350"/>
        <v>0</v>
      </c>
      <c r="P188" s="414">
        <f t="shared" si="350"/>
        <v>0</v>
      </c>
      <c r="Q188" s="415">
        <f t="shared" si="350"/>
        <v>0</v>
      </c>
      <c r="R188" s="416">
        <f t="shared" si="350"/>
        <v>0</v>
      </c>
      <c r="S188" s="416">
        <f t="shared" si="350"/>
        <v>0</v>
      </c>
      <c r="T188" s="416">
        <f t="shared" si="350"/>
        <v>0</v>
      </c>
      <c r="U188" s="416">
        <f t="shared" si="350"/>
        <v>0</v>
      </c>
      <c r="V188" s="334">
        <f t="shared" si="338"/>
        <v>0</v>
      </c>
      <c r="W188" s="335">
        <f t="shared" ref="W188:AI188" si="351">SUM(W189:W193)</f>
        <v>359</v>
      </c>
      <c r="X188" s="413">
        <f t="shared" si="351"/>
        <v>0</v>
      </c>
      <c r="Y188" s="415">
        <f t="shared" si="351"/>
        <v>0</v>
      </c>
      <c r="Z188" s="416">
        <f t="shared" si="351"/>
        <v>0</v>
      </c>
      <c r="AA188" s="416">
        <f t="shared" si="351"/>
        <v>0</v>
      </c>
      <c r="AB188" s="416">
        <f t="shared" si="351"/>
        <v>0</v>
      </c>
      <c r="AC188" s="417">
        <f t="shared" si="351"/>
        <v>0</v>
      </c>
      <c r="AD188" s="415">
        <f t="shared" si="351"/>
        <v>0</v>
      </c>
      <c r="AE188" s="416">
        <f t="shared" si="351"/>
        <v>0</v>
      </c>
      <c r="AF188" s="416">
        <f t="shared" si="351"/>
        <v>0</v>
      </c>
      <c r="AG188" s="416">
        <f t="shared" si="351"/>
        <v>0</v>
      </c>
      <c r="AH188" s="418">
        <f t="shared" si="351"/>
        <v>0</v>
      </c>
      <c r="AI188" s="339">
        <f t="shared" si="351"/>
        <v>0</v>
      </c>
      <c r="AJ188" s="340"/>
      <c r="AK188" s="341"/>
      <c r="AL188" s="342"/>
      <c r="AM188" s="420">
        <f t="shared" si="258"/>
        <v>0</v>
      </c>
      <c r="AN188" s="344"/>
      <c r="AO188" s="440"/>
      <c r="AP188" s="440"/>
      <c r="AQ188" s="440"/>
      <c r="AR188" s="346" t="e">
        <f t="shared" si="259"/>
        <v>#DIV/0!</v>
      </c>
      <c r="AS188" s="424">
        <v>1.0680000000000001</v>
      </c>
      <c r="AT188" s="441">
        <f>SUM(AT189:AT193)</f>
        <v>77</v>
      </c>
      <c r="AU188" s="361"/>
      <c r="AV188" s="361"/>
      <c r="AW188" s="444"/>
      <c r="AX188" s="352" t="e">
        <f t="shared" si="260"/>
        <v>#DIV/0!</v>
      </c>
      <c r="AY188" s="427">
        <v>0.754</v>
      </c>
      <c r="AZ188" s="354">
        <f>SUM(AZ189:AZ193)</f>
        <v>0</v>
      </c>
      <c r="BA188" s="340"/>
      <c r="BB188" s="340"/>
      <c r="BC188" s="355"/>
      <c r="BD188" s="356">
        <f t="shared" ref="BD188:BD210" si="352">BE188+BH188</f>
        <v>46</v>
      </c>
      <c r="BE188" s="445">
        <f t="shared" ref="BE188:BE210" si="353">BF188+BG188</f>
        <v>40</v>
      </c>
      <c r="BF188" s="446">
        <f t="shared" ref="BF188:BL188" si="354">SUM(BF189:BF193)</f>
        <v>22</v>
      </c>
      <c r="BG188" s="446">
        <f t="shared" si="354"/>
        <v>18</v>
      </c>
      <c r="BH188" s="447">
        <f t="shared" si="354"/>
        <v>6</v>
      </c>
      <c r="BI188" s="359">
        <f t="shared" si="354"/>
        <v>62</v>
      </c>
      <c r="BJ188" s="360">
        <f t="shared" si="354"/>
        <v>36</v>
      </c>
      <c r="BK188" s="361">
        <f t="shared" si="354"/>
        <v>26</v>
      </c>
      <c r="BL188" s="362">
        <f t="shared" si="354"/>
        <v>18</v>
      </c>
      <c r="BM188" s="363">
        <f t="shared" ref="BM188:BM210" si="355">BN188+BQ188</f>
        <v>75</v>
      </c>
      <c r="BN188" s="356">
        <f t="shared" si="261"/>
        <v>65</v>
      </c>
      <c r="BO188" s="446">
        <f>SUM(BO189:BO193)</f>
        <v>52</v>
      </c>
      <c r="BP188" s="446">
        <f>SUM(BP189:BP193)</f>
        <v>13</v>
      </c>
      <c r="BQ188" s="446">
        <f>SUM(BQ189:BQ193)</f>
        <v>10</v>
      </c>
      <c r="BR188" s="432">
        <f t="shared" si="346"/>
        <v>1.2096774193548387</v>
      </c>
      <c r="BS188" s="366">
        <f t="shared" ref="BS188:BS210" si="356">BT188+BU188+BV188</f>
        <v>0</v>
      </c>
      <c r="BT188" s="367">
        <f>SUM(BT189:BT193)</f>
        <v>0</v>
      </c>
      <c r="BU188" s="367">
        <f>SUM(BU189:BU193)</f>
        <v>0</v>
      </c>
      <c r="BV188" s="367">
        <f>SUM(BV189:BV193)</f>
        <v>0</v>
      </c>
      <c r="BW188" s="368">
        <f t="shared" ref="BW188:BW210" si="357">BS188/BI188</f>
        <v>0</v>
      </c>
      <c r="BX188" t="s">
        <v>53</v>
      </c>
    </row>
    <row r="189" spans="1:76" ht="16.899999999999999" customHeight="1" x14ac:dyDescent="0.3">
      <c r="A189" s="8" t="s">
        <v>226</v>
      </c>
      <c r="B189" s="9" t="s">
        <v>53</v>
      </c>
      <c r="C189" s="9" t="s">
        <v>53</v>
      </c>
      <c r="D189" s="25" t="s">
        <v>227</v>
      </c>
      <c r="E189" s="10" t="s">
        <v>103</v>
      </c>
      <c r="F189" s="59">
        <v>25</v>
      </c>
      <c r="G189" s="369">
        <f>L189/F189</f>
        <v>0</v>
      </c>
      <c r="H189" s="553">
        <v>25</v>
      </c>
      <c r="I189" s="371">
        <v>17</v>
      </c>
      <c r="J189" s="371">
        <v>8</v>
      </c>
      <c r="K189" s="554">
        <v>5</v>
      </c>
      <c r="L189" s="373">
        <f>N189+O189+P189</f>
        <v>0</v>
      </c>
      <c r="M189" s="373">
        <f>N189+O189</f>
        <v>0</v>
      </c>
      <c r="N189" s="374">
        <f t="shared" ref="N189:P193" si="358">AA189+AF189</f>
        <v>0</v>
      </c>
      <c r="O189" s="374">
        <f t="shared" si="358"/>
        <v>0</v>
      </c>
      <c r="P189" s="375">
        <f t="shared" si="358"/>
        <v>0</v>
      </c>
      <c r="Q189" s="376">
        <f>R189+U189</f>
        <v>0</v>
      </c>
      <c r="R189" s="374">
        <f>S189+T189</f>
        <v>0</v>
      </c>
      <c r="S189" s="377"/>
      <c r="T189" s="377"/>
      <c r="U189" s="377"/>
      <c r="V189" s="378">
        <f t="shared" si="338"/>
        <v>0</v>
      </c>
      <c r="W189" s="379">
        <v>65.8</v>
      </c>
      <c r="X189" s="380"/>
      <c r="Y189" s="376">
        <f>Z189+AC189</f>
        <v>0</v>
      </c>
      <c r="Z189" s="374">
        <f>AA189+AB189</f>
        <v>0</v>
      </c>
      <c r="AA189" s="381"/>
      <c r="AB189" s="381"/>
      <c r="AC189" s="382"/>
      <c r="AD189" s="376">
        <f>AE189+AH189</f>
        <v>0</v>
      </c>
      <c r="AE189" s="374">
        <f>AF189+AG189</f>
        <v>0</v>
      </c>
      <c r="AF189" s="381"/>
      <c r="AG189" s="381"/>
      <c r="AH189" s="383"/>
      <c r="AI189" s="433">
        <f>AJ189+AK189</f>
        <v>0</v>
      </c>
      <c r="AJ189" s="385"/>
      <c r="AK189" s="386"/>
      <c r="AL189" s="387"/>
      <c r="AM189" s="434">
        <f t="shared" si="258"/>
        <v>0</v>
      </c>
      <c r="AN189" s="389"/>
      <c r="AO189" s="390"/>
      <c r="AP189" s="390"/>
      <c r="AQ189" s="390"/>
      <c r="AR189" s="346" t="e">
        <f t="shared" si="259"/>
        <v>#DIV/0!</v>
      </c>
      <c r="AS189" s="436"/>
      <c r="AT189" s="392">
        <v>11</v>
      </c>
      <c r="AU189" s="48"/>
      <c r="AV189" s="48"/>
      <c r="AW189" s="52"/>
      <c r="AX189" s="393" t="e">
        <f t="shared" si="260"/>
        <v>#DIV/0!</v>
      </c>
      <c r="AY189" s="77">
        <v>241</v>
      </c>
      <c r="AZ189" s="437">
        <f>BA189+BB189</f>
        <v>0</v>
      </c>
      <c r="BA189" s="395"/>
      <c r="BB189" s="396"/>
      <c r="BC189" s="397"/>
      <c r="BD189" s="398">
        <f t="shared" si="352"/>
        <v>10</v>
      </c>
      <c r="BE189" s="399">
        <f t="shared" si="353"/>
        <v>9</v>
      </c>
      <c r="BF189" s="400">
        <v>5</v>
      </c>
      <c r="BG189" s="400">
        <v>4</v>
      </c>
      <c r="BH189" s="401">
        <v>1</v>
      </c>
      <c r="BI189" s="402">
        <f>SUM(BJ189:BK189)</f>
        <v>12</v>
      </c>
      <c r="BJ189" s="403">
        <v>7</v>
      </c>
      <c r="BK189" s="403">
        <v>5</v>
      </c>
      <c r="BL189" s="405">
        <v>3</v>
      </c>
      <c r="BM189" s="406">
        <f t="shared" si="355"/>
        <v>10</v>
      </c>
      <c r="BN189" s="407">
        <f t="shared" si="261"/>
        <v>9</v>
      </c>
      <c r="BO189" s="12">
        <v>7</v>
      </c>
      <c r="BP189" s="12">
        <v>2</v>
      </c>
      <c r="BQ189" s="12">
        <v>1</v>
      </c>
      <c r="BR189" s="408">
        <f t="shared" si="346"/>
        <v>0.83333333333333337</v>
      </c>
      <c r="BS189" s="409">
        <f t="shared" si="356"/>
        <v>0</v>
      </c>
      <c r="BT189" s="410"/>
      <c r="BU189" s="411"/>
      <c r="BV189" s="438"/>
      <c r="BW189" s="412">
        <f t="shared" si="357"/>
        <v>0</v>
      </c>
    </row>
    <row r="190" spans="1:76" ht="16.899999999999999" customHeight="1" x14ac:dyDescent="0.3">
      <c r="A190" s="8" t="s">
        <v>226</v>
      </c>
      <c r="B190" s="9" t="s">
        <v>53</v>
      </c>
      <c r="C190" s="9" t="s">
        <v>53</v>
      </c>
      <c r="D190" s="25" t="s">
        <v>228</v>
      </c>
      <c r="E190" s="10" t="s">
        <v>103</v>
      </c>
      <c r="F190" s="59">
        <v>50</v>
      </c>
      <c r="G190" s="369">
        <f>L190/F190</f>
        <v>0</v>
      </c>
      <c r="H190" s="553">
        <v>50</v>
      </c>
      <c r="I190" s="371">
        <v>35</v>
      </c>
      <c r="J190" s="371">
        <v>15</v>
      </c>
      <c r="K190" s="554">
        <v>10</v>
      </c>
      <c r="L190" s="373">
        <f>N190+O190+P190</f>
        <v>0</v>
      </c>
      <c r="M190" s="373">
        <f>N190+O190</f>
        <v>0</v>
      </c>
      <c r="N190" s="374">
        <f t="shared" si="358"/>
        <v>0</v>
      </c>
      <c r="O190" s="374">
        <f t="shared" si="358"/>
        <v>0</v>
      </c>
      <c r="P190" s="375">
        <f t="shared" si="358"/>
        <v>0</v>
      </c>
      <c r="Q190" s="376">
        <f>R190+U190</f>
        <v>0</v>
      </c>
      <c r="R190" s="374">
        <f>S190+T190</f>
        <v>0</v>
      </c>
      <c r="S190" s="377"/>
      <c r="T190" s="377"/>
      <c r="U190" s="377"/>
      <c r="V190" s="378">
        <f t="shared" si="338"/>
        <v>0</v>
      </c>
      <c r="W190" s="379">
        <v>59.2</v>
      </c>
      <c r="X190" s="380"/>
      <c r="Y190" s="376">
        <f>Z190+AC190</f>
        <v>0</v>
      </c>
      <c r="Z190" s="374">
        <f>AA190+AB190</f>
        <v>0</v>
      </c>
      <c r="AA190" s="381"/>
      <c r="AB190" s="381"/>
      <c r="AC190" s="382"/>
      <c r="AD190" s="376">
        <f>AE190+AH190</f>
        <v>0</v>
      </c>
      <c r="AE190" s="374">
        <f>AF190+AG190</f>
        <v>0</v>
      </c>
      <c r="AF190" s="381"/>
      <c r="AG190" s="381"/>
      <c r="AH190" s="383"/>
      <c r="AI190" s="433">
        <f>AJ190+AK190</f>
        <v>0</v>
      </c>
      <c r="AJ190" s="385"/>
      <c r="AK190" s="386"/>
      <c r="AL190" s="387"/>
      <c r="AM190" s="434">
        <f t="shared" si="258"/>
        <v>0</v>
      </c>
      <c r="AN190" s="389"/>
      <c r="AO190" s="390"/>
      <c r="AP190" s="390"/>
      <c r="AQ190" s="390"/>
      <c r="AR190" s="346" t="e">
        <f t="shared" si="259"/>
        <v>#DIV/0!</v>
      </c>
      <c r="AS190" s="436"/>
      <c r="AT190" s="392">
        <v>33</v>
      </c>
      <c r="AU190" s="48"/>
      <c r="AV190" s="48"/>
      <c r="AW190" s="52"/>
      <c r="AX190" s="393" t="e">
        <f t="shared" si="260"/>
        <v>#DIV/0!</v>
      </c>
      <c r="AY190" s="77">
        <v>465</v>
      </c>
      <c r="AZ190" s="437">
        <f>BA190+BB190</f>
        <v>0</v>
      </c>
      <c r="BA190" s="395"/>
      <c r="BB190" s="396"/>
      <c r="BC190" s="397"/>
      <c r="BD190" s="398">
        <f t="shared" si="352"/>
        <v>6</v>
      </c>
      <c r="BE190" s="399">
        <f t="shared" si="353"/>
        <v>4</v>
      </c>
      <c r="BF190" s="400">
        <v>1</v>
      </c>
      <c r="BG190" s="400">
        <v>3</v>
      </c>
      <c r="BH190" s="401">
        <v>2</v>
      </c>
      <c r="BI190" s="402">
        <f>SUM(BJ190:BK190)</f>
        <v>14</v>
      </c>
      <c r="BJ190" s="403">
        <v>7</v>
      </c>
      <c r="BK190" s="403">
        <v>7</v>
      </c>
      <c r="BL190" s="405">
        <v>6</v>
      </c>
      <c r="BM190" s="406">
        <f t="shared" si="355"/>
        <v>29</v>
      </c>
      <c r="BN190" s="407">
        <f t="shared" si="261"/>
        <v>20</v>
      </c>
      <c r="BO190" s="12">
        <v>15</v>
      </c>
      <c r="BP190" s="12">
        <v>5</v>
      </c>
      <c r="BQ190" s="12">
        <v>9</v>
      </c>
      <c r="BR190" s="408">
        <f t="shared" si="346"/>
        <v>2.0714285714285716</v>
      </c>
      <c r="BS190" s="409">
        <f t="shared" si="356"/>
        <v>0</v>
      </c>
      <c r="BT190" s="410"/>
      <c r="BU190" s="439"/>
      <c r="BV190" s="458"/>
      <c r="BW190" s="412">
        <f t="shared" si="357"/>
        <v>0</v>
      </c>
    </row>
    <row r="191" spans="1:76" ht="16.899999999999999" customHeight="1" x14ac:dyDescent="0.3">
      <c r="A191" s="8" t="s">
        <v>226</v>
      </c>
      <c r="B191" s="9" t="s">
        <v>53</v>
      </c>
      <c r="C191" s="9" t="s">
        <v>53</v>
      </c>
      <c r="D191" s="25" t="s">
        <v>229</v>
      </c>
      <c r="E191" s="10" t="s">
        <v>103</v>
      </c>
      <c r="F191" s="59">
        <v>25</v>
      </c>
      <c r="G191" s="369">
        <f>L191/F191</f>
        <v>0</v>
      </c>
      <c r="H191" s="553">
        <v>25</v>
      </c>
      <c r="I191" s="371">
        <v>17</v>
      </c>
      <c r="J191" s="371">
        <v>8</v>
      </c>
      <c r="K191" s="554">
        <v>5</v>
      </c>
      <c r="L191" s="373">
        <f>N191+O191+P191</f>
        <v>0</v>
      </c>
      <c r="M191" s="373">
        <f>N191+O191</f>
        <v>0</v>
      </c>
      <c r="N191" s="374">
        <f t="shared" si="358"/>
        <v>0</v>
      </c>
      <c r="O191" s="374">
        <f t="shared" si="358"/>
        <v>0</v>
      </c>
      <c r="P191" s="375">
        <f t="shared" si="358"/>
        <v>0</v>
      </c>
      <c r="Q191" s="376">
        <f>R191+U191</f>
        <v>0</v>
      </c>
      <c r="R191" s="374">
        <f>S191+T191</f>
        <v>0</v>
      </c>
      <c r="S191" s="377"/>
      <c r="T191" s="377"/>
      <c r="U191" s="377"/>
      <c r="V191" s="378">
        <f t="shared" si="338"/>
        <v>0</v>
      </c>
      <c r="W191" s="379">
        <v>69.400000000000006</v>
      </c>
      <c r="X191" s="380"/>
      <c r="Y191" s="376">
        <f>Z191+AC191</f>
        <v>0</v>
      </c>
      <c r="Z191" s="374">
        <f>AA191+AB191</f>
        <v>0</v>
      </c>
      <c r="AA191" s="381"/>
      <c r="AB191" s="381"/>
      <c r="AC191" s="382"/>
      <c r="AD191" s="376">
        <f>AE191+AH191</f>
        <v>0</v>
      </c>
      <c r="AE191" s="374">
        <f>AF191+AG191</f>
        <v>0</v>
      </c>
      <c r="AF191" s="381"/>
      <c r="AG191" s="381"/>
      <c r="AH191" s="383"/>
      <c r="AI191" s="433">
        <f>AJ191+AK191</f>
        <v>0</v>
      </c>
      <c r="AJ191" s="385"/>
      <c r="AK191" s="386"/>
      <c r="AL191" s="387"/>
      <c r="AM191" s="434">
        <f t="shared" si="258"/>
        <v>0</v>
      </c>
      <c r="AN191" s="389"/>
      <c r="AO191" s="390"/>
      <c r="AP191" s="390"/>
      <c r="AQ191" s="390"/>
      <c r="AR191" s="346" t="e">
        <f t="shared" si="259"/>
        <v>#DIV/0!</v>
      </c>
      <c r="AS191" s="436"/>
      <c r="AT191" s="392">
        <v>1</v>
      </c>
      <c r="AU191" s="48"/>
      <c r="AV191" s="48"/>
      <c r="AW191" s="52"/>
      <c r="AX191" s="393" t="e">
        <f t="shared" si="260"/>
        <v>#DIV/0!</v>
      </c>
      <c r="AY191" s="77">
        <v>379</v>
      </c>
      <c r="AZ191" s="437">
        <f>BA191+BB191</f>
        <v>0</v>
      </c>
      <c r="BA191" s="395"/>
      <c r="BB191" s="396"/>
      <c r="BC191" s="397"/>
      <c r="BD191" s="398">
        <f t="shared" si="352"/>
        <v>20</v>
      </c>
      <c r="BE191" s="399">
        <f t="shared" si="353"/>
        <v>18</v>
      </c>
      <c r="BF191" s="400">
        <v>12</v>
      </c>
      <c r="BG191" s="400">
        <v>6</v>
      </c>
      <c r="BH191" s="401">
        <v>2</v>
      </c>
      <c r="BI191" s="402">
        <f>SUM(BJ191:BK191)</f>
        <v>21</v>
      </c>
      <c r="BJ191" s="403">
        <v>14</v>
      </c>
      <c r="BK191" s="403">
        <v>7</v>
      </c>
      <c r="BL191" s="405">
        <v>4</v>
      </c>
      <c r="BM191" s="406">
        <f t="shared" si="355"/>
        <v>13</v>
      </c>
      <c r="BN191" s="407">
        <f t="shared" si="261"/>
        <v>13</v>
      </c>
      <c r="BO191" s="12">
        <v>10</v>
      </c>
      <c r="BP191" s="12">
        <v>3</v>
      </c>
      <c r="BQ191" s="12">
        <v>0</v>
      </c>
      <c r="BR191" s="408">
        <f t="shared" si="346"/>
        <v>0.61904761904761907</v>
      </c>
      <c r="BS191" s="409">
        <f t="shared" si="356"/>
        <v>0</v>
      </c>
      <c r="BT191" s="410"/>
      <c r="BU191" s="439"/>
      <c r="BV191" s="458"/>
      <c r="BW191" s="412">
        <f t="shared" si="357"/>
        <v>0</v>
      </c>
    </row>
    <row r="192" spans="1:76" ht="16.899999999999999" customHeight="1" x14ac:dyDescent="0.3">
      <c r="A192" s="8" t="s">
        <v>226</v>
      </c>
      <c r="B192" s="9" t="s">
        <v>53</v>
      </c>
      <c r="C192" s="9" t="s">
        <v>53</v>
      </c>
      <c r="D192" s="25" t="s">
        <v>230</v>
      </c>
      <c r="E192" s="10" t="s">
        <v>103</v>
      </c>
      <c r="F192" s="59">
        <v>25</v>
      </c>
      <c r="G192" s="369">
        <f>L192/F192</f>
        <v>0</v>
      </c>
      <c r="H192" s="553">
        <v>25</v>
      </c>
      <c r="I192" s="371">
        <v>17</v>
      </c>
      <c r="J192" s="371">
        <v>8</v>
      </c>
      <c r="K192" s="554">
        <v>5</v>
      </c>
      <c r="L192" s="373">
        <f>N192+O192+P192</f>
        <v>0</v>
      </c>
      <c r="M192" s="373">
        <f>N192+O192</f>
        <v>0</v>
      </c>
      <c r="N192" s="374">
        <f t="shared" si="358"/>
        <v>0</v>
      </c>
      <c r="O192" s="374">
        <f t="shared" si="358"/>
        <v>0</v>
      </c>
      <c r="P192" s="375">
        <f t="shared" si="358"/>
        <v>0</v>
      </c>
      <c r="Q192" s="376">
        <f>R192+U192</f>
        <v>0</v>
      </c>
      <c r="R192" s="374">
        <f>S192+T192</f>
        <v>0</v>
      </c>
      <c r="S192" s="377"/>
      <c r="T192" s="377"/>
      <c r="U192" s="377"/>
      <c r="V192" s="378">
        <f t="shared" si="338"/>
        <v>0</v>
      </c>
      <c r="W192" s="379">
        <v>82.4</v>
      </c>
      <c r="X192" s="380"/>
      <c r="Y192" s="376">
        <f>Z192+AC192</f>
        <v>0</v>
      </c>
      <c r="Z192" s="374">
        <f>AA192+AB192</f>
        <v>0</v>
      </c>
      <c r="AA192" s="381"/>
      <c r="AB192" s="381"/>
      <c r="AC192" s="382"/>
      <c r="AD192" s="376">
        <f>AE192+AH192</f>
        <v>0</v>
      </c>
      <c r="AE192" s="374">
        <f>AF192+AG192</f>
        <v>0</v>
      </c>
      <c r="AF192" s="381"/>
      <c r="AG192" s="381"/>
      <c r="AH192" s="383"/>
      <c r="AI192" s="433">
        <f>AJ192+AK192</f>
        <v>0</v>
      </c>
      <c r="AJ192" s="385"/>
      <c r="AK192" s="386"/>
      <c r="AL192" s="387"/>
      <c r="AM192" s="434">
        <f t="shared" si="258"/>
        <v>0</v>
      </c>
      <c r="AN192" s="389"/>
      <c r="AO192" s="390"/>
      <c r="AP192" s="390"/>
      <c r="AQ192" s="390"/>
      <c r="AR192" s="346" t="e">
        <f t="shared" si="259"/>
        <v>#DIV/0!</v>
      </c>
      <c r="AS192" s="436"/>
      <c r="AT192" s="392">
        <v>11</v>
      </c>
      <c r="AU192" s="48"/>
      <c r="AV192" s="48"/>
      <c r="AW192" s="52"/>
      <c r="AX192" s="393" t="e">
        <f t="shared" si="260"/>
        <v>#DIV/0!</v>
      </c>
      <c r="AY192" s="77">
        <v>157</v>
      </c>
      <c r="AZ192" s="437">
        <f>BA192+BB192</f>
        <v>0</v>
      </c>
      <c r="BA192" s="395"/>
      <c r="BB192" s="396"/>
      <c r="BC192" s="397"/>
      <c r="BD192" s="398">
        <f t="shared" si="352"/>
        <v>10</v>
      </c>
      <c r="BE192" s="399">
        <f t="shared" si="353"/>
        <v>9</v>
      </c>
      <c r="BF192" s="400">
        <v>4</v>
      </c>
      <c r="BG192" s="400">
        <v>5</v>
      </c>
      <c r="BH192" s="401">
        <v>1</v>
      </c>
      <c r="BI192" s="402">
        <f>SUM(BJ192:BK192)</f>
        <v>12</v>
      </c>
      <c r="BJ192" s="403">
        <v>6</v>
      </c>
      <c r="BK192" s="403">
        <v>6</v>
      </c>
      <c r="BL192" s="405">
        <v>3</v>
      </c>
      <c r="BM192" s="406">
        <f t="shared" si="355"/>
        <v>10</v>
      </c>
      <c r="BN192" s="407">
        <f t="shared" si="261"/>
        <v>10</v>
      </c>
      <c r="BO192" s="12">
        <v>9</v>
      </c>
      <c r="BP192" s="12">
        <v>1</v>
      </c>
      <c r="BQ192" s="12">
        <v>0</v>
      </c>
      <c r="BR192" s="408">
        <f t="shared" si="346"/>
        <v>0.83333333333333337</v>
      </c>
      <c r="BS192" s="409">
        <f t="shared" si="356"/>
        <v>0</v>
      </c>
      <c r="BT192" s="410"/>
      <c r="BU192" s="411"/>
      <c r="BV192" s="438"/>
      <c r="BW192" s="412">
        <f t="shared" si="357"/>
        <v>0</v>
      </c>
    </row>
    <row r="193" spans="1:76" ht="16.899999999999999" customHeight="1" x14ac:dyDescent="0.3">
      <c r="A193" s="8" t="s">
        <v>226</v>
      </c>
      <c r="B193" s="9" t="s">
        <v>53</v>
      </c>
      <c r="C193" s="9" t="s">
        <v>53</v>
      </c>
      <c r="D193" s="25" t="s">
        <v>231</v>
      </c>
      <c r="E193" s="10" t="s">
        <v>103</v>
      </c>
      <c r="F193" s="59">
        <v>25</v>
      </c>
      <c r="G193" s="369">
        <f>L193/F193</f>
        <v>0</v>
      </c>
      <c r="H193" s="553">
        <v>25</v>
      </c>
      <c r="I193" s="371">
        <v>17</v>
      </c>
      <c r="J193" s="371">
        <v>8</v>
      </c>
      <c r="K193" s="554">
        <v>5</v>
      </c>
      <c r="L193" s="373">
        <f>N193+O193+P193</f>
        <v>0</v>
      </c>
      <c r="M193" s="373">
        <f>N193+O193</f>
        <v>0</v>
      </c>
      <c r="N193" s="374">
        <f t="shared" si="358"/>
        <v>0</v>
      </c>
      <c r="O193" s="374">
        <f t="shared" si="358"/>
        <v>0</v>
      </c>
      <c r="P193" s="375">
        <f t="shared" si="358"/>
        <v>0</v>
      </c>
      <c r="Q193" s="376">
        <f>R193+U193</f>
        <v>0</v>
      </c>
      <c r="R193" s="374">
        <f>S193+T193</f>
        <v>0</v>
      </c>
      <c r="S193" s="377"/>
      <c r="T193" s="377"/>
      <c r="U193" s="377"/>
      <c r="V193" s="378">
        <f t="shared" si="338"/>
        <v>0</v>
      </c>
      <c r="W193" s="379">
        <v>82.2</v>
      </c>
      <c r="X193" s="380"/>
      <c r="Y193" s="376">
        <f>Z193+AC193</f>
        <v>0</v>
      </c>
      <c r="Z193" s="374">
        <f>AA193+AB193</f>
        <v>0</v>
      </c>
      <c r="AA193" s="381"/>
      <c r="AB193" s="381"/>
      <c r="AC193" s="382"/>
      <c r="AD193" s="376">
        <f>AE193+AH193</f>
        <v>0</v>
      </c>
      <c r="AE193" s="374">
        <f>AF193+AG193</f>
        <v>0</v>
      </c>
      <c r="AF193" s="381"/>
      <c r="AG193" s="381"/>
      <c r="AH193" s="383"/>
      <c r="AI193" s="433">
        <f>AJ193+AK193</f>
        <v>0</v>
      </c>
      <c r="AJ193" s="385"/>
      <c r="AK193" s="386"/>
      <c r="AL193" s="387"/>
      <c r="AM193" s="434">
        <f t="shared" si="258"/>
        <v>0</v>
      </c>
      <c r="AN193" s="389"/>
      <c r="AO193" s="390"/>
      <c r="AP193" s="390"/>
      <c r="AQ193" s="390"/>
      <c r="AR193" s="346" t="e">
        <f t="shared" si="259"/>
        <v>#DIV/0!</v>
      </c>
      <c r="AS193" s="436"/>
      <c r="AT193" s="392">
        <v>21</v>
      </c>
      <c r="AU193" s="48"/>
      <c r="AV193" s="48"/>
      <c r="AW193" s="52"/>
      <c r="AX193" s="393" t="e">
        <f t="shared" si="260"/>
        <v>#DIV/0!</v>
      </c>
      <c r="AY193" s="77">
        <v>479</v>
      </c>
      <c r="AZ193" s="437">
        <f>BA193+BB193</f>
        <v>0</v>
      </c>
      <c r="BA193" s="395"/>
      <c r="BB193" s="396"/>
      <c r="BC193" s="397"/>
      <c r="BD193" s="398">
        <f t="shared" si="352"/>
        <v>0</v>
      </c>
      <c r="BE193" s="399">
        <f t="shared" si="353"/>
        <v>0</v>
      </c>
      <c r="BF193" s="400">
        <v>0</v>
      </c>
      <c r="BG193" s="400">
        <v>0</v>
      </c>
      <c r="BH193" s="401">
        <v>0</v>
      </c>
      <c r="BI193" s="402">
        <f>SUM(BJ193:BK193)</f>
        <v>3</v>
      </c>
      <c r="BJ193" s="403">
        <v>2</v>
      </c>
      <c r="BK193" s="403">
        <v>1</v>
      </c>
      <c r="BL193" s="405">
        <v>2</v>
      </c>
      <c r="BM193" s="406">
        <f t="shared" si="355"/>
        <v>13</v>
      </c>
      <c r="BN193" s="407">
        <f t="shared" si="261"/>
        <v>13</v>
      </c>
      <c r="BO193" s="12">
        <v>11</v>
      </c>
      <c r="BP193" s="12">
        <v>2</v>
      </c>
      <c r="BQ193" s="12">
        <v>0</v>
      </c>
      <c r="BR193" s="408">
        <f t="shared" si="346"/>
        <v>4.333333333333333</v>
      </c>
      <c r="BS193" s="409">
        <f t="shared" si="356"/>
        <v>0</v>
      </c>
      <c r="BT193" s="410"/>
      <c r="BU193" s="411"/>
      <c r="BV193" s="438"/>
      <c r="BW193" s="412">
        <f t="shared" si="357"/>
        <v>0</v>
      </c>
    </row>
    <row r="194" spans="1:76" ht="16.899999999999999" customHeight="1" x14ac:dyDescent="0.3">
      <c r="A194" s="4" t="s">
        <v>226</v>
      </c>
      <c r="B194" s="5" t="s">
        <v>54</v>
      </c>
      <c r="C194" s="5"/>
      <c r="D194" s="5" t="s">
        <v>21</v>
      </c>
      <c r="E194" s="6"/>
      <c r="F194" s="58">
        <f t="shared" ref="F194:U194" si="359">SUM(F195:F198)</f>
        <v>125</v>
      </c>
      <c r="G194" s="7">
        <f t="shared" si="359"/>
        <v>0</v>
      </c>
      <c r="H194" s="7">
        <f t="shared" si="359"/>
        <v>125</v>
      </c>
      <c r="I194" s="67">
        <f t="shared" si="359"/>
        <v>86</v>
      </c>
      <c r="J194" s="67">
        <f t="shared" si="359"/>
        <v>39</v>
      </c>
      <c r="K194" s="70">
        <f t="shared" si="359"/>
        <v>25</v>
      </c>
      <c r="L194" s="413">
        <f t="shared" si="359"/>
        <v>0</v>
      </c>
      <c r="M194" s="413">
        <f t="shared" si="359"/>
        <v>0</v>
      </c>
      <c r="N194" s="413">
        <f t="shared" si="359"/>
        <v>0</v>
      </c>
      <c r="O194" s="413">
        <f t="shared" si="359"/>
        <v>0</v>
      </c>
      <c r="P194" s="414">
        <f t="shared" si="359"/>
        <v>0</v>
      </c>
      <c r="Q194" s="415">
        <f t="shared" si="359"/>
        <v>0</v>
      </c>
      <c r="R194" s="416">
        <f t="shared" si="359"/>
        <v>0</v>
      </c>
      <c r="S194" s="416">
        <f t="shared" si="359"/>
        <v>0</v>
      </c>
      <c r="T194" s="416">
        <f t="shared" si="359"/>
        <v>0</v>
      </c>
      <c r="U194" s="416">
        <f t="shared" si="359"/>
        <v>0</v>
      </c>
      <c r="V194" s="334">
        <f t="shared" si="338"/>
        <v>0</v>
      </c>
      <c r="W194" s="335">
        <f t="shared" ref="W194:AI194" si="360">SUM(W195:W198)</f>
        <v>268.8</v>
      </c>
      <c r="X194" s="413">
        <f t="shared" si="360"/>
        <v>0</v>
      </c>
      <c r="Y194" s="415">
        <f t="shared" si="360"/>
        <v>0</v>
      </c>
      <c r="Z194" s="416">
        <f t="shared" si="360"/>
        <v>0</v>
      </c>
      <c r="AA194" s="416">
        <f t="shared" si="360"/>
        <v>0</v>
      </c>
      <c r="AB194" s="416">
        <f t="shared" si="360"/>
        <v>0</v>
      </c>
      <c r="AC194" s="417">
        <f t="shared" si="360"/>
        <v>0</v>
      </c>
      <c r="AD194" s="415">
        <f t="shared" si="360"/>
        <v>0</v>
      </c>
      <c r="AE194" s="416">
        <f t="shared" si="360"/>
        <v>0</v>
      </c>
      <c r="AF194" s="416">
        <f t="shared" si="360"/>
        <v>0</v>
      </c>
      <c r="AG194" s="416">
        <f t="shared" si="360"/>
        <v>0</v>
      </c>
      <c r="AH194" s="418">
        <f t="shared" si="360"/>
        <v>0</v>
      </c>
      <c r="AI194" s="339">
        <f t="shared" si="360"/>
        <v>0</v>
      </c>
      <c r="AJ194" s="340"/>
      <c r="AK194" s="341"/>
      <c r="AL194" s="342"/>
      <c r="AM194" s="420">
        <f t="shared" si="258"/>
        <v>0</v>
      </c>
      <c r="AN194" s="344"/>
      <c r="AO194" s="440"/>
      <c r="AP194" s="440"/>
      <c r="AQ194" s="440"/>
      <c r="AR194" s="346" t="e">
        <f t="shared" si="259"/>
        <v>#DIV/0!</v>
      </c>
      <c r="AS194" s="424">
        <v>1.288</v>
      </c>
      <c r="AT194" s="441">
        <f>SUM(AT195:AT198)</f>
        <v>75</v>
      </c>
      <c r="AU194" s="361"/>
      <c r="AV194" s="361"/>
      <c r="AW194" s="444"/>
      <c r="AX194" s="352" t="e">
        <f t="shared" si="260"/>
        <v>#DIV/0!</v>
      </c>
      <c r="AY194" s="427">
        <v>0.67600000000000005</v>
      </c>
      <c r="AZ194" s="354">
        <f>SUM(AZ195:AZ198)</f>
        <v>0</v>
      </c>
      <c r="BA194" s="340"/>
      <c r="BB194" s="340"/>
      <c r="BC194" s="355"/>
      <c r="BD194" s="356">
        <f t="shared" si="352"/>
        <v>37</v>
      </c>
      <c r="BE194" s="445">
        <f t="shared" si="353"/>
        <v>34</v>
      </c>
      <c r="BF194" s="446">
        <f t="shared" ref="BF194:BL194" si="361">SUM(BF195:BF198)</f>
        <v>28</v>
      </c>
      <c r="BG194" s="446">
        <f t="shared" si="361"/>
        <v>6</v>
      </c>
      <c r="BH194" s="447">
        <f t="shared" si="361"/>
        <v>3</v>
      </c>
      <c r="BI194" s="359">
        <f t="shared" si="361"/>
        <v>50</v>
      </c>
      <c r="BJ194" s="360">
        <f t="shared" si="361"/>
        <v>36</v>
      </c>
      <c r="BK194" s="361">
        <f t="shared" si="361"/>
        <v>14</v>
      </c>
      <c r="BL194" s="362">
        <f t="shared" si="361"/>
        <v>11</v>
      </c>
      <c r="BM194" s="363">
        <f t="shared" si="355"/>
        <v>62</v>
      </c>
      <c r="BN194" s="356">
        <f t="shared" si="261"/>
        <v>53</v>
      </c>
      <c r="BO194" s="446">
        <f>SUM(BO195:BO198)</f>
        <v>43</v>
      </c>
      <c r="BP194" s="446">
        <f>SUM(BP195:BP198)</f>
        <v>10</v>
      </c>
      <c r="BQ194" s="446">
        <f>SUM(BQ195:BQ198)</f>
        <v>9</v>
      </c>
      <c r="BR194" s="432">
        <f t="shared" si="346"/>
        <v>1.24</v>
      </c>
      <c r="BS194" s="366">
        <f t="shared" si="356"/>
        <v>0</v>
      </c>
      <c r="BT194" s="367">
        <f>SUM(BT195:BT198)</f>
        <v>0</v>
      </c>
      <c r="BU194" s="367">
        <f>SUM(BU195:BU198)</f>
        <v>0</v>
      </c>
      <c r="BV194" s="367">
        <f>SUM(BV195:BV198)</f>
        <v>0</v>
      </c>
      <c r="BW194" s="368">
        <f t="shared" si="357"/>
        <v>0</v>
      </c>
      <c r="BX194" t="s">
        <v>54</v>
      </c>
    </row>
    <row r="195" spans="1:76" ht="16.899999999999999" customHeight="1" x14ac:dyDescent="0.3">
      <c r="A195" s="8" t="s">
        <v>226</v>
      </c>
      <c r="B195" s="9" t="s">
        <v>54</v>
      </c>
      <c r="C195" s="9" t="s">
        <v>54</v>
      </c>
      <c r="D195" s="25" t="s">
        <v>232</v>
      </c>
      <c r="E195" s="10" t="s">
        <v>103</v>
      </c>
      <c r="F195" s="59">
        <v>25</v>
      </c>
      <c r="G195" s="369">
        <f>L195/F195</f>
        <v>0</v>
      </c>
      <c r="H195" s="553">
        <v>25</v>
      </c>
      <c r="I195" s="371">
        <v>17</v>
      </c>
      <c r="J195" s="371">
        <v>8</v>
      </c>
      <c r="K195" s="554">
        <v>5</v>
      </c>
      <c r="L195" s="373">
        <f>N195+O195+P195</f>
        <v>0</v>
      </c>
      <c r="M195" s="373">
        <f>N195+O195</f>
        <v>0</v>
      </c>
      <c r="N195" s="374">
        <f t="shared" ref="N195:P198" si="362">AA195+AF195</f>
        <v>0</v>
      </c>
      <c r="O195" s="374">
        <f t="shared" si="362"/>
        <v>0</v>
      </c>
      <c r="P195" s="375">
        <f t="shared" si="362"/>
        <v>0</v>
      </c>
      <c r="Q195" s="376">
        <f>R195+U195</f>
        <v>0</v>
      </c>
      <c r="R195" s="374">
        <f>S195+T195</f>
        <v>0</v>
      </c>
      <c r="S195" s="377"/>
      <c r="T195" s="377"/>
      <c r="U195" s="377"/>
      <c r="V195" s="378">
        <f t="shared" si="338"/>
        <v>0</v>
      </c>
      <c r="W195" s="379">
        <v>65.7</v>
      </c>
      <c r="X195" s="380"/>
      <c r="Y195" s="376">
        <f>Z195+AC195</f>
        <v>0</v>
      </c>
      <c r="Z195" s="374">
        <f>AA195+AB195</f>
        <v>0</v>
      </c>
      <c r="AA195" s="381"/>
      <c r="AB195" s="381"/>
      <c r="AC195" s="382"/>
      <c r="AD195" s="376">
        <f>AE195+AH195</f>
        <v>0</v>
      </c>
      <c r="AE195" s="374">
        <f>AF195+AG195</f>
        <v>0</v>
      </c>
      <c r="AF195" s="381"/>
      <c r="AG195" s="381"/>
      <c r="AH195" s="383"/>
      <c r="AI195" s="604">
        <f>AJ195+AK195</f>
        <v>0</v>
      </c>
      <c r="AJ195" s="385"/>
      <c r="AK195" s="386"/>
      <c r="AL195" s="387"/>
      <c r="AM195" s="434">
        <f t="shared" si="258"/>
        <v>0</v>
      </c>
      <c r="AN195" s="389"/>
      <c r="AO195" s="390"/>
      <c r="AP195" s="390"/>
      <c r="AQ195" s="390"/>
      <c r="AR195" s="346" t="e">
        <f t="shared" si="259"/>
        <v>#DIV/0!</v>
      </c>
      <c r="AS195" s="436"/>
      <c r="AT195" s="392">
        <v>7</v>
      </c>
      <c r="AU195" s="48"/>
      <c r="AV195" s="48"/>
      <c r="AW195" s="52"/>
      <c r="AX195" s="393" t="e">
        <f t="shared" si="260"/>
        <v>#DIV/0!</v>
      </c>
      <c r="AY195" s="77">
        <v>270</v>
      </c>
      <c r="AZ195" s="605">
        <f>BA195+BB195</f>
        <v>0</v>
      </c>
      <c r="BA195" s="395"/>
      <c r="BB195" s="396"/>
      <c r="BC195" s="397"/>
      <c r="BD195" s="600">
        <f t="shared" si="352"/>
        <v>14</v>
      </c>
      <c r="BE195" s="399">
        <f t="shared" si="353"/>
        <v>13</v>
      </c>
      <c r="BF195" s="400">
        <v>11</v>
      </c>
      <c r="BG195" s="400">
        <v>2</v>
      </c>
      <c r="BH195" s="401">
        <v>1</v>
      </c>
      <c r="BI195" s="402">
        <f>SUM(BJ195:BK195)</f>
        <v>17</v>
      </c>
      <c r="BJ195" s="403">
        <v>13</v>
      </c>
      <c r="BK195" s="404">
        <v>4</v>
      </c>
      <c r="BL195" s="405">
        <v>3</v>
      </c>
      <c r="BM195" s="601">
        <f t="shared" si="355"/>
        <v>11</v>
      </c>
      <c r="BN195" s="407">
        <f t="shared" si="261"/>
        <v>9</v>
      </c>
      <c r="BO195" s="12">
        <v>6</v>
      </c>
      <c r="BP195" s="12">
        <v>3</v>
      </c>
      <c r="BQ195" s="12">
        <v>2</v>
      </c>
      <c r="BR195" s="408">
        <f t="shared" si="346"/>
        <v>0.6470588235294118</v>
      </c>
      <c r="BS195" s="409">
        <f t="shared" si="356"/>
        <v>0</v>
      </c>
      <c r="BT195" s="410"/>
      <c r="BU195" s="411"/>
      <c r="BV195" s="438"/>
      <c r="BW195" s="412">
        <f t="shared" si="357"/>
        <v>0</v>
      </c>
    </row>
    <row r="196" spans="1:76" ht="16.899999999999999" customHeight="1" x14ac:dyDescent="0.3">
      <c r="A196" s="8" t="s">
        <v>226</v>
      </c>
      <c r="B196" s="9" t="s">
        <v>54</v>
      </c>
      <c r="C196" s="9" t="s">
        <v>54</v>
      </c>
      <c r="D196" s="25" t="s">
        <v>233</v>
      </c>
      <c r="E196" s="10" t="s">
        <v>103</v>
      </c>
      <c r="F196" s="59">
        <v>25</v>
      </c>
      <c r="G196" s="369">
        <f>L196/F196</f>
        <v>0</v>
      </c>
      <c r="H196" s="553">
        <v>25</v>
      </c>
      <c r="I196" s="371">
        <v>17</v>
      </c>
      <c r="J196" s="371">
        <v>8</v>
      </c>
      <c r="K196" s="554">
        <v>5</v>
      </c>
      <c r="L196" s="373">
        <f>N196+O196+P196</f>
        <v>0</v>
      </c>
      <c r="M196" s="373">
        <f>N196+O196</f>
        <v>0</v>
      </c>
      <c r="N196" s="374">
        <f t="shared" si="362"/>
        <v>0</v>
      </c>
      <c r="O196" s="374">
        <f t="shared" si="362"/>
        <v>0</v>
      </c>
      <c r="P196" s="375">
        <f t="shared" si="362"/>
        <v>0</v>
      </c>
      <c r="Q196" s="376">
        <f>R196+U196</f>
        <v>0</v>
      </c>
      <c r="R196" s="374">
        <f>S196+T196</f>
        <v>0</v>
      </c>
      <c r="S196" s="377"/>
      <c r="T196" s="377"/>
      <c r="U196" s="377"/>
      <c r="V196" s="378">
        <f t="shared" si="338"/>
        <v>0</v>
      </c>
      <c r="W196" s="379">
        <v>58.1</v>
      </c>
      <c r="X196" s="380"/>
      <c r="Y196" s="376">
        <f>Z196+AC196</f>
        <v>0</v>
      </c>
      <c r="Z196" s="374">
        <f>AA196+AB196</f>
        <v>0</v>
      </c>
      <c r="AA196" s="381"/>
      <c r="AB196" s="381"/>
      <c r="AC196" s="382"/>
      <c r="AD196" s="376">
        <f>AE196+AH196</f>
        <v>0</v>
      </c>
      <c r="AE196" s="374">
        <f>AF196+AG196</f>
        <v>0</v>
      </c>
      <c r="AF196" s="381"/>
      <c r="AG196" s="381"/>
      <c r="AH196" s="383"/>
      <c r="AI196" s="604">
        <f>AJ196+AK196</f>
        <v>0</v>
      </c>
      <c r="AJ196" s="385"/>
      <c r="AK196" s="386"/>
      <c r="AL196" s="387"/>
      <c r="AM196" s="434">
        <f t="shared" si="258"/>
        <v>0</v>
      </c>
      <c r="AN196" s="389"/>
      <c r="AO196" s="390"/>
      <c r="AP196" s="390"/>
      <c r="AQ196" s="390"/>
      <c r="AR196" s="346" t="e">
        <f t="shared" si="259"/>
        <v>#DIV/0!</v>
      </c>
      <c r="AS196" s="436"/>
      <c r="AT196" s="392">
        <v>3</v>
      </c>
      <c r="AU196" s="48"/>
      <c r="AV196" s="48"/>
      <c r="AW196" s="52"/>
      <c r="AX196" s="393" t="e">
        <f t="shared" si="260"/>
        <v>#DIV/0!</v>
      </c>
      <c r="AY196" s="77">
        <v>291</v>
      </c>
      <c r="AZ196" s="605">
        <f>BA196+BB196</f>
        <v>0</v>
      </c>
      <c r="BA196" s="395"/>
      <c r="BB196" s="396"/>
      <c r="BC196" s="397"/>
      <c r="BD196" s="600">
        <f t="shared" si="352"/>
        <v>18</v>
      </c>
      <c r="BE196" s="399">
        <f t="shared" si="353"/>
        <v>16</v>
      </c>
      <c r="BF196" s="400">
        <v>13</v>
      </c>
      <c r="BG196" s="400">
        <v>3</v>
      </c>
      <c r="BH196" s="401">
        <v>2</v>
      </c>
      <c r="BI196" s="402">
        <f>SUM(BJ196:BK196)</f>
        <v>20</v>
      </c>
      <c r="BJ196" s="403">
        <v>15</v>
      </c>
      <c r="BK196" s="404">
        <v>5</v>
      </c>
      <c r="BL196" s="405">
        <v>4</v>
      </c>
      <c r="BM196" s="601">
        <f t="shared" si="355"/>
        <v>13</v>
      </c>
      <c r="BN196" s="407">
        <f t="shared" si="261"/>
        <v>12</v>
      </c>
      <c r="BO196" s="12">
        <v>11</v>
      </c>
      <c r="BP196" s="12">
        <v>1</v>
      </c>
      <c r="BQ196" s="12">
        <v>1</v>
      </c>
      <c r="BR196" s="408">
        <f t="shared" si="346"/>
        <v>0.65</v>
      </c>
      <c r="BS196" s="409">
        <f t="shared" si="356"/>
        <v>0</v>
      </c>
      <c r="BT196" s="410"/>
      <c r="BU196" s="411"/>
      <c r="BV196" s="438"/>
      <c r="BW196" s="412">
        <f t="shared" si="357"/>
        <v>0</v>
      </c>
    </row>
    <row r="197" spans="1:76" ht="16.899999999999999" customHeight="1" x14ac:dyDescent="0.3">
      <c r="A197" s="8" t="s">
        <v>226</v>
      </c>
      <c r="B197" s="9" t="s">
        <v>54</v>
      </c>
      <c r="C197" s="9" t="s">
        <v>54</v>
      </c>
      <c r="D197" s="25" t="s">
        <v>234</v>
      </c>
      <c r="E197" s="10" t="s">
        <v>103</v>
      </c>
      <c r="F197" s="59">
        <v>25</v>
      </c>
      <c r="G197" s="369">
        <f>L197/F197</f>
        <v>0</v>
      </c>
      <c r="H197" s="553">
        <v>25</v>
      </c>
      <c r="I197" s="371">
        <v>17</v>
      </c>
      <c r="J197" s="371">
        <v>8</v>
      </c>
      <c r="K197" s="554">
        <v>5</v>
      </c>
      <c r="L197" s="373">
        <f>N197+O197+P197</f>
        <v>0</v>
      </c>
      <c r="M197" s="373">
        <f>N197+O197</f>
        <v>0</v>
      </c>
      <c r="N197" s="374">
        <f t="shared" si="362"/>
        <v>0</v>
      </c>
      <c r="O197" s="374">
        <f t="shared" si="362"/>
        <v>0</v>
      </c>
      <c r="P197" s="375">
        <f t="shared" si="362"/>
        <v>0</v>
      </c>
      <c r="Q197" s="376">
        <f>R197+U197</f>
        <v>0</v>
      </c>
      <c r="R197" s="374">
        <f>S197+T197</f>
        <v>0</v>
      </c>
      <c r="S197" s="377"/>
      <c r="T197" s="377"/>
      <c r="U197" s="377"/>
      <c r="V197" s="378">
        <f t="shared" si="338"/>
        <v>0</v>
      </c>
      <c r="W197" s="379">
        <v>57</v>
      </c>
      <c r="X197" s="380"/>
      <c r="Y197" s="376">
        <f>Z197+AC197</f>
        <v>0</v>
      </c>
      <c r="Z197" s="374">
        <f>AA197+AB197</f>
        <v>0</v>
      </c>
      <c r="AA197" s="381"/>
      <c r="AB197" s="381"/>
      <c r="AC197" s="382"/>
      <c r="AD197" s="376">
        <f>AE197+AH197</f>
        <v>0</v>
      </c>
      <c r="AE197" s="374">
        <f>AF197+AG197</f>
        <v>0</v>
      </c>
      <c r="AF197" s="381"/>
      <c r="AG197" s="381"/>
      <c r="AH197" s="383"/>
      <c r="AI197" s="604">
        <f>AJ197+AK197</f>
        <v>0</v>
      </c>
      <c r="AJ197" s="385"/>
      <c r="AK197" s="386"/>
      <c r="AL197" s="387"/>
      <c r="AM197" s="434">
        <f t="shared" si="258"/>
        <v>0</v>
      </c>
      <c r="AN197" s="389"/>
      <c r="AO197" s="390"/>
      <c r="AP197" s="390"/>
      <c r="AQ197" s="390"/>
      <c r="AR197" s="346" t="e">
        <f t="shared" si="259"/>
        <v>#DIV/0!</v>
      </c>
      <c r="AS197" s="436"/>
      <c r="AT197" s="392">
        <v>19</v>
      </c>
      <c r="AU197" s="48"/>
      <c r="AV197" s="48"/>
      <c r="AW197" s="52"/>
      <c r="AX197" s="393" t="e">
        <f t="shared" si="260"/>
        <v>#DIV/0!</v>
      </c>
      <c r="AY197" s="77">
        <v>489</v>
      </c>
      <c r="AZ197" s="605">
        <f>BA197+BB197</f>
        <v>0</v>
      </c>
      <c r="BA197" s="395"/>
      <c r="BB197" s="396"/>
      <c r="BC197" s="397"/>
      <c r="BD197" s="600">
        <f t="shared" si="352"/>
        <v>2</v>
      </c>
      <c r="BE197" s="399">
        <f t="shared" si="353"/>
        <v>2</v>
      </c>
      <c r="BF197" s="400">
        <v>1</v>
      </c>
      <c r="BG197" s="400">
        <v>1</v>
      </c>
      <c r="BH197" s="401">
        <v>0</v>
      </c>
      <c r="BI197" s="402">
        <f>SUM(BJ197:BK197)</f>
        <v>6</v>
      </c>
      <c r="BJ197" s="403">
        <v>3</v>
      </c>
      <c r="BK197" s="404">
        <v>3</v>
      </c>
      <c r="BL197" s="405">
        <v>2</v>
      </c>
      <c r="BM197" s="601">
        <f t="shared" si="355"/>
        <v>14</v>
      </c>
      <c r="BN197" s="407">
        <f t="shared" si="261"/>
        <v>12</v>
      </c>
      <c r="BO197" s="12">
        <v>10</v>
      </c>
      <c r="BP197" s="12">
        <v>2</v>
      </c>
      <c r="BQ197" s="12">
        <v>2</v>
      </c>
      <c r="BR197" s="408">
        <f t="shared" si="346"/>
        <v>2.3333333333333335</v>
      </c>
      <c r="BS197" s="409">
        <f t="shared" si="356"/>
        <v>0</v>
      </c>
      <c r="BT197" s="410"/>
      <c r="BU197" s="439"/>
      <c r="BV197" s="458"/>
      <c r="BW197" s="412">
        <f t="shared" si="357"/>
        <v>0</v>
      </c>
    </row>
    <row r="198" spans="1:76" ht="16.899999999999999" customHeight="1" x14ac:dyDescent="0.3">
      <c r="A198" s="8" t="s">
        <v>226</v>
      </c>
      <c r="B198" s="9" t="s">
        <v>54</v>
      </c>
      <c r="C198" s="9" t="s">
        <v>54</v>
      </c>
      <c r="D198" s="25" t="s">
        <v>235</v>
      </c>
      <c r="E198" s="10" t="s">
        <v>103</v>
      </c>
      <c r="F198" s="59">
        <v>50</v>
      </c>
      <c r="G198" s="369">
        <f>L198/F198</f>
        <v>0</v>
      </c>
      <c r="H198" s="553">
        <v>50</v>
      </c>
      <c r="I198" s="371">
        <v>35</v>
      </c>
      <c r="J198" s="371">
        <v>15</v>
      </c>
      <c r="K198" s="554">
        <v>10</v>
      </c>
      <c r="L198" s="373">
        <f>N198+O198+P198</f>
        <v>0</v>
      </c>
      <c r="M198" s="373">
        <f>N198+O198</f>
        <v>0</v>
      </c>
      <c r="N198" s="374">
        <f t="shared" si="362"/>
        <v>0</v>
      </c>
      <c r="O198" s="374">
        <f t="shared" si="362"/>
        <v>0</v>
      </c>
      <c r="P198" s="375">
        <f t="shared" si="362"/>
        <v>0</v>
      </c>
      <c r="Q198" s="376">
        <f>R198+U198</f>
        <v>0</v>
      </c>
      <c r="R198" s="374">
        <f>S198+T198</f>
        <v>0</v>
      </c>
      <c r="S198" s="377"/>
      <c r="T198" s="377"/>
      <c r="U198" s="377"/>
      <c r="V198" s="378">
        <f t="shared" si="338"/>
        <v>0</v>
      </c>
      <c r="W198" s="379">
        <v>88</v>
      </c>
      <c r="X198" s="380"/>
      <c r="Y198" s="376">
        <f>Z198+AC198</f>
        <v>0</v>
      </c>
      <c r="Z198" s="374">
        <f>AA198+AB198</f>
        <v>0</v>
      </c>
      <c r="AA198" s="381"/>
      <c r="AB198" s="381"/>
      <c r="AC198" s="382"/>
      <c r="AD198" s="376">
        <f>AE198+AH198</f>
        <v>0</v>
      </c>
      <c r="AE198" s="374">
        <f>AF198+AG198</f>
        <v>0</v>
      </c>
      <c r="AF198" s="381"/>
      <c r="AG198" s="381"/>
      <c r="AH198" s="383"/>
      <c r="AI198" s="604">
        <f>AJ198+AK198</f>
        <v>0</v>
      </c>
      <c r="AJ198" s="385"/>
      <c r="AK198" s="386"/>
      <c r="AL198" s="387"/>
      <c r="AM198" s="434">
        <f t="shared" si="258"/>
        <v>0</v>
      </c>
      <c r="AN198" s="389"/>
      <c r="AO198" s="390"/>
      <c r="AP198" s="390"/>
      <c r="AQ198" s="390"/>
      <c r="AR198" s="346" t="e">
        <f t="shared" si="259"/>
        <v>#DIV/0!</v>
      </c>
      <c r="AS198" s="436"/>
      <c r="AT198" s="392">
        <v>46</v>
      </c>
      <c r="AU198" s="48"/>
      <c r="AV198" s="48"/>
      <c r="AW198" s="52"/>
      <c r="AX198" s="393" t="e">
        <f t="shared" si="260"/>
        <v>#DIV/0!</v>
      </c>
      <c r="AY198" s="77">
        <v>230</v>
      </c>
      <c r="AZ198" s="605">
        <f>BA198+BB198</f>
        <v>0</v>
      </c>
      <c r="BA198" s="395"/>
      <c r="BB198" s="396"/>
      <c r="BC198" s="397"/>
      <c r="BD198" s="600">
        <f t="shared" si="352"/>
        <v>3</v>
      </c>
      <c r="BE198" s="399">
        <f t="shared" si="353"/>
        <v>3</v>
      </c>
      <c r="BF198" s="400">
        <v>3</v>
      </c>
      <c r="BG198" s="400">
        <v>0</v>
      </c>
      <c r="BH198" s="401">
        <v>0</v>
      </c>
      <c r="BI198" s="402">
        <f>SUM(BJ198:BK198)</f>
        <v>7</v>
      </c>
      <c r="BJ198" s="403">
        <v>5</v>
      </c>
      <c r="BK198" s="404">
        <v>2</v>
      </c>
      <c r="BL198" s="405">
        <v>2</v>
      </c>
      <c r="BM198" s="601">
        <f t="shared" si="355"/>
        <v>24</v>
      </c>
      <c r="BN198" s="407">
        <f t="shared" si="261"/>
        <v>20</v>
      </c>
      <c r="BO198" s="12">
        <v>16</v>
      </c>
      <c r="BP198" s="12">
        <v>4</v>
      </c>
      <c r="BQ198" s="12">
        <v>4</v>
      </c>
      <c r="BR198" s="408">
        <f t="shared" si="346"/>
        <v>3.4285714285714284</v>
      </c>
      <c r="BS198" s="409">
        <f t="shared" si="356"/>
        <v>0</v>
      </c>
      <c r="BT198" s="410"/>
      <c r="BU198" s="411"/>
      <c r="BV198" s="438"/>
      <c r="BW198" s="412">
        <f t="shared" si="357"/>
        <v>0</v>
      </c>
    </row>
    <row r="199" spans="1:76" ht="16.899999999999999" customHeight="1" x14ac:dyDescent="0.3">
      <c r="A199" s="4" t="s">
        <v>226</v>
      </c>
      <c r="B199" s="5" t="s">
        <v>55</v>
      </c>
      <c r="C199" s="5"/>
      <c r="D199" s="13" t="s">
        <v>21</v>
      </c>
      <c r="E199" s="6"/>
      <c r="F199" s="58">
        <f t="shared" ref="F199:U199" si="363">SUM(F200:F207)</f>
        <v>225</v>
      </c>
      <c r="G199" s="7">
        <f t="shared" si="363"/>
        <v>0</v>
      </c>
      <c r="H199" s="7">
        <f t="shared" si="363"/>
        <v>225</v>
      </c>
      <c r="I199" s="67">
        <f t="shared" si="363"/>
        <v>154</v>
      </c>
      <c r="J199" s="67">
        <f t="shared" si="363"/>
        <v>71</v>
      </c>
      <c r="K199" s="70">
        <f t="shared" si="363"/>
        <v>45</v>
      </c>
      <c r="L199" s="413">
        <f t="shared" si="363"/>
        <v>0</v>
      </c>
      <c r="M199" s="413">
        <f t="shared" si="363"/>
        <v>0</v>
      </c>
      <c r="N199" s="413">
        <f t="shared" si="363"/>
        <v>0</v>
      </c>
      <c r="O199" s="413">
        <f t="shared" si="363"/>
        <v>0</v>
      </c>
      <c r="P199" s="414">
        <f t="shared" si="363"/>
        <v>0</v>
      </c>
      <c r="Q199" s="415">
        <f t="shared" si="363"/>
        <v>0</v>
      </c>
      <c r="R199" s="416">
        <f t="shared" si="363"/>
        <v>0</v>
      </c>
      <c r="S199" s="416">
        <f t="shared" si="363"/>
        <v>0</v>
      </c>
      <c r="T199" s="416">
        <f t="shared" si="363"/>
        <v>0</v>
      </c>
      <c r="U199" s="416">
        <f t="shared" si="363"/>
        <v>0</v>
      </c>
      <c r="V199" s="334">
        <f t="shared" si="338"/>
        <v>0</v>
      </c>
      <c r="W199" s="335">
        <f t="shared" ref="W199:AI199" si="364">SUM(W200:W207)</f>
        <v>628.6</v>
      </c>
      <c r="X199" s="413">
        <f t="shared" si="364"/>
        <v>0</v>
      </c>
      <c r="Y199" s="415">
        <f t="shared" si="364"/>
        <v>0</v>
      </c>
      <c r="Z199" s="416">
        <f t="shared" si="364"/>
        <v>0</v>
      </c>
      <c r="AA199" s="416">
        <f t="shared" si="364"/>
        <v>0</v>
      </c>
      <c r="AB199" s="416">
        <f t="shared" si="364"/>
        <v>0</v>
      </c>
      <c r="AC199" s="417">
        <f t="shared" si="364"/>
        <v>0</v>
      </c>
      <c r="AD199" s="415">
        <f t="shared" si="364"/>
        <v>0</v>
      </c>
      <c r="AE199" s="416">
        <f t="shared" si="364"/>
        <v>0</v>
      </c>
      <c r="AF199" s="416">
        <f t="shared" si="364"/>
        <v>0</v>
      </c>
      <c r="AG199" s="416">
        <f t="shared" si="364"/>
        <v>0</v>
      </c>
      <c r="AH199" s="418">
        <f t="shared" si="364"/>
        <v>0</v>
      </c>
      <c r="AI199" s="339">
        <f t="shared" si="364"/>
        <v>0</v>
      </c>
      <c r="AJ199" s="340"/>
      <c r="AK199" s="341"/>
      <c r="AL199" s="342"/>
      <c r="AM199" s="420">
        <f t="shared" ref="AM199:AM210" si="365">AN199+AQ199</f>
        <v>0</v>
      </c>
      <c r="AN199" s="344"/>
      <c r="AO199" s="440"/>
      <c r="AP199" s="446"/>
      <c r="AQ199" s="446"/>
      <c r="AR199" s="346" t="e">
        <f t="shared" ref="AR199:AR210" si="366">AM199/AI199</f>
        <v>#DIV/0!</v>
      </c>
      <c r="AS199" s="424">
        <v>0.74199999999999999</v>
      </c>
      <c r="AT199" s="441">
        <f>SUM(AT200:AT207)</f>
        <v>112</v>
      </c>
      <c r="AU199" s="361"/>
      <c r="AV199" s="361"/>
      <c r="AW199" s="444"/>
      <c r="AX199" s="352" t="e">
        <f t="shared" ref="AX199:AX210" si="367">AT199/AI199</f>
        <v>#DIV/0!</v>
      </c>
      <c r="AY199" s="427">
        <v>0.53200000000000003</v>
      </c>
      <c r="AZ199" s="354">
        <f>SUM(AZ200:AZ207)</f>
        <v>0</v>
      </c>
      <c r="BA199" s="340"/>
      <c r="BB199" s="340"/>
      <c r="BC199" s="355"/>
      <c r="BD199" s="356">
        <f t="shared" si="352"/>
        <v>121</v>
      </c>
      <c r="BE199" s="445">
        <f t="shared" si="353"/>
        <v>92</v>
      </c>
      <c r="BF199" s="446">
        <f t="shared" ref="BF199:BL199" si="368">SUM(BF200:BF207)</f>
        <v>47</v>
      </c>
      <c r="BG199" s="446">
        <f t="shared" si="368"/>
        <v>45</v>
      </c>
      <c r="BH199" s="447">
        <f t="shared" si="368"/>
        <v>29</v>
      </c>
      <c r="BI199" s="359">
        <f t="shared" si="368"/>
        <v>110</v>
      </c>
      <c r="BJ199" s="360">
        <f t="shared" si="368"/>
        <v>110</v>
      </c>
      <c r="BK199" s="361">
        <f t="shared" si="368"/>
        <v>0</v>
      </c>
      <c r="BL199" s="362">
        <f t="shared" si="368"/>
        <v>38</v>
      </c>
      <c r="BM199" s="363">
        <f t="shared" si="355"/>
        <v>79</v>
      </c>
      <c r="BN199" s="356">
        <f t="shared" ref="BN199:BN210" si="369">BO199+BP199</f>
        <v>60</v>
      </c>
      <c r="BO199" s="446">
        <f>SUM(BO200:BO207)</f>
        <v>60</v>
      </c>
      <c r="BP199" s="446">
        <f>SUM(BP200:BP207)</f>
        <v>0</v>
      </c>
      <c r="BQ199" s="446">
        <f>SUM(BQ200:BQ207)</f>
        <v>19</v>
      </c>
      <c r="BR199" s="432">
        <f t="shared" si="346"/>
        <v>0.71818181818181814</v>
      </c>
      <c r="BS199" s="366">
        <f t="shared" si="356"/>
        <v>0</v>
      </c>
      <c r="BT199" s="367">
        <f>SUM(BT200:BT207)</f>
        <v>0</v>
      </c>
      <c r="BU199" s="367">
        <f>SUM(BU200:BU207)</f>
        <v>0</v>
      </c>
      <c r="BV199" s="367">
        <f>SUM(BV200:BV207)</f>
        <v>0</v>
      </c>
      <c r="BW199" s="368">
        <f t="shared" si="357"/>
        <v>0</v>
      </c>
      <c r="BX199" t="s">
        <v>132</v>
      </c>
    </row>
    <row r="200" spans="1:76" ht="16.899999999999999" customHeight="1" x14ac:dyDescent="0.3">
      <c r="A200" s="8" t="s">
        <v>226</v>
      </c>
      <c r="B200" s="9" t="s">
        <v>55</v>
      </c>
      <c r="C200" s="14" t="s">
        <v>132</v>
      </c>
      <c r="D200" s="40" t="s">
        <v>236</v>
      </c>
      <c r="E200" s="15" t="s">
        <v>103</v>
      </c>
      <c r="F200" s="59">
        <v>25</v>
      </c>
      <c r="G200" s="369">
        <f t="shared" ref="G200:G207" si="370">L200/F200</f>
        <v>0</v>
      </c>
      <c r="H200" s="553">
        <v>25</v>
      </c>
      <c r="I200" s="371">
        <v>17</v>
      </c>
      <c r="J200" s="371">
        <v>8</v>
      </c>
      <c r="K200" s="554">
        <v>5</v>
      </c>
      <c r="L200" s="373">
        <f t="shared" ref="L200:L207" si="371">N200+O200+P200</f>
        <v>0</v>
      </c>
      <c r="M200" s="373">
        <f t="shared" ref="M200:M207" si="372">N200+O200</f>
        <v>0</v>
      </c>
      <c r="N200" s="374">
        <f t="shared" ref="N200:P207" si="373">AA200+AF200</f>
        <v>0</v>
      </c>
      <c r="O200" s="374">
        <f t="shared" si="373"/>
        <v>0</v>
      </c>
      <c r="P200" s="375">
        <f t="shared" si="373"/>
        <v>0</v>
      </c>
      <c r="Q200" s="376">
        <f t="shared" ref="Q200:Q207" si="374">R200+U200</f>
        <v>0</v>
      </c>
      <c r="R200" s="374">
        <f t="shared" ref="R200:R207" si="375">S200+T200</f>
        <v>0</v>
      </c>
      <c r="S200" s="377"/>
      <c r="T200" s="377"/>
      <c r="U200" s="377"/>
      <c r="V200" s="378">
        <f t="shared" si="338"/>
        <v>0</v>
      </c>
      <c r="W200" s="379">
        <v>76.599999999999994</v>
      </c>
      <c r="X200" s="380"/>
      <c r="Y200" s="376">
        <f t="shared" ref="Y200:Y207" si="376">Z200+AC200</f>
        <v>0</v>
      </c>
      <c r="Z200" s="374">
        <f t="shared" ref="Z200:Z207" si="377">AA200+AB200</f>
        <v>0</v>
      </c>
      <c r="AA200" s="381"/>
      <c r="AB200" s="381"/>
      <c r="AC200" s="382"/>
      <c r="AD200" s="376">
        <f t="shared" ref="AD200:AD207" si="378">AE200+AH200</f>
        <v>0</v>
      </c>
      <c r="AE200" s="374">
        <f t="shared" ref="AE200:AE207" si="379">AF200+AG200</f>
        <v>0</v>
      </c>
      <c r="AF200" s="381"/>
      <c r="AG200" s="381"/>
      <c r="AH200" s="383"/>
      <c r="AI200" s="384">
        <f t="shared" ref="AI200:AI207" si="380">AJ200+AK200</f>
        <v>0</v>
      </c>
      <c r="AJ200" s="385"/>
      <c r="AK200" s="386"/>
      <c r="AL200" s="387"/>
      <c r="AM200" s="434">
        <f t="shared" si="365"/>
        <v>0</v>
      </c>
      <c r="AN200" s="389"/>
      <c r="AO200" s="390"/>
      <c r="AP200" s="390"/>
      <c r="AQ200" s="390"/>
      <c r="AR200" s="346" t="e">
        <f t="shared" si="366"/>
        <v>#DIV/0!</v>
      </c>
      <c r="AS200" s="436"/>
      <c r="AT200" s="392">
        <v>23</v>
      </c>
      <c r="AU200" s="48"/>
      <c r="AV200" s="48"/>
      <c r="AW200" s="52"/>
      <c r="AX200" s="393" t="e">
        <f t="shared" si="367"/>
        <v>#DIV/0!</v>
      </c>
      <c r="AY200" s="77">
        <v>458</v>
      </c>
      <c r="AZ200" s="394">
        <f t="shared" ref="AZ200:AZ207" si="381">BA200+BB200</f>
        <v>0</v>
      </c>
      <c r="BA200" s="395"/>
      <c r="BB200" s="396"/>
      <c r="BC200" s="397"/>
      <c r="BD200" s="398">
        <f t="shared" si="352"/>
        <v>3</v>
      </c>
      <c r="BE200" s="531">
        <f t="shared" si="353"/>
        <v>0</v>
      </c>
      <c r="BF200" s="532">
        <v>0</v>
      </c>
      <c r="BG200" s="532">
        <v>0</v>
      </c>
      <c r="BH200" s="533">
        <v>3</v>
      </c>
      <c r="BI200" s="402">
        <f t="shared" ref="BI200:BI207" si="382">SUM(BJ200:BK200)</f>
        <v>2</v>
      </c>
      <c r="BJ200" s="403">
        <v>2</v>
      </c>
      <c r="BK200" s="404">
        <v>0</v>
      </c>
      <c r="BL200" s="405">
        <v>4</v>
      </c>
      <c r="BM200" s="406">
        <f t="shared" si="355"/>
        <v>3</v>
      </c>
      <c r="BN200" s="407">
        <f t="shared" si="369"/>
        <v>0</v>
      </c>
      <c r="BO200" s="12">
        <v>0</v>
      </c>
      <c r="BP200" s="12">
        <v>0</v>
      </c>
      <c r="BQ200" s="12">
        <v>3</v>
      </c>
      <c r="BR200" s="408">
        <f t="shared" si="346"/>
        <v>1.5</v>
      </c>
      <c r="BS200" s="409">
        <f t="shared" si="356"/>
        <v>0</v>
      </c>
      <c r="BT200" s="410"/>
      <c r="BU200" s="439"/>
      <c r="BV200" s="458"/>
      <c r="BW200" s="412">
        <f t="shared" si="357"/>
        <v>0</v>
      </c>
    </row>
    <row r="201" spans="1:76" ht="16.899999999999999" customHeight="1" x14ac:dyDescent="0.3">
      <c r="A201" s="8" t="s">
        <v>226</v>
      </c>
      <c r="B201" s="9" t="s">
        <v>55</v>
      </c>
      <c r="C201" s="14" t="s">
        <v>132</v>
      </c>
      <c r="D201" s="40" t="s">
        <v>134</v>
      </c>
      <c r="E201" s="15" t="s">
        <v>103</v>
      </c>
      <c r="F201" s="59">
        <v>50</v>
      </c>
      <c r="G201" s="369">
        <f t="shared" si="370"/>
        <v>0</v>
      </c>
      <c r="H201" s="553">
        <v>50</v>
      </c>
      <c r="I201" s="371">
        <v>35</v>
      </c>
      <c r="J201" s="371">
        <v>15</v>
      </c>
      <c r="K201" s="554">
        <v>10</v>
      </c>
      <c r="L201" s="373">
        <f t="shared" si="371"/>
        <v>0</v>
      </c>
      <c r="M201" s="373">
        <f t="shared" si="372"/>
        <v>0</v>
      </c>
      <c r="N201" s="374">
        <f t="shared" si="373"/>
        <v>0</v>
      </c>
      <c r="O201" s="374">
        <f t="shared" si="373"/>
        <v>0</v>
      </c>
      <c r="P201" s="375">
        <f t="shared" si="373"/>
        <v>0</v>
      </c>
      <c r="Q201" s="376">
        <f t="shared" si="374"/>
        <v>0</v>
      </c>
      <c r="R201" s="374">
        <f t="shared" si="375"/>
        <v>0</v>
      </c>
      <c r="S201" s="377"/>
      <c r="T201" s="377"/>
      <c r="U201" s="377"/>
      <c r="V201" s="378">
        <f t="shared" si="338"/>
        <v>0</v>
      </c>
      <c r="W201" s="379">
        <v>88.3</v>
      </c>
      <c r="X201" s="380"/>
      <c r="Y201" s="376">
        <f t="shared" si="376"/>
        <v>0</v>
      </c>
      <c r="Z201" s="374">
        <f t="shared" si="377"/>
        <v>0</v>
      </c>
      <c r="AA201" s="381"/>
      <c r="AB201" s="381"/>
      <c r="AC201" s="382"/>
      <c r="AD201" s="376">
        <f t="shared" si="378"/>
        <v>0</v>
      </c>
      <c r="AE201" s="374">
        <f t="shared" si="379"/>
        <v>0</v>
      </c>
      <c r="AF201" s="381"/>
      <c r="AG201" s="381"/>
      <c r="AH201" s="383"/>
      <c r="AI201" s="384">
        <f t="shared" si="380"/>
        <v>0</v>
      </c>
      <c r="AJ201" s="385"/>
      <c r="AK201" s="386"/>
      <c r="AL201" s="387"/>
      <c r="AM201" s="434">
        <f t="shared" si="365"/>
        <v>0</v>
      </c>
      <c r="AN201" s="389"/>
      <c r="AO201" s="390"/>
      <c r="AP201" s="390"/>
      <c r="AQ201" s="390"/>
      <c r="AR201" s="346" t="e">
        <f t="shared" si="366"/>
        <v>#DIV/0!</v>
      </c>
      <c r="AS201" s="436"/>
      <c r="AT201" s="392">
        <v>17</v>
      </c>
      <c r="AU201" s="48"/>
      <c r="AV201" s="48"/>
      <c r="AW201" s="52"/>
      <c r="AX201" s="393" t="e">
        <f t="shared" si="367"/>
        <v>#DIV/0!</v>
      </c>
      <c r="AY201" s="77">
        <v>34</v>
      </c>
      <c r="AZ201" s="394">
        <f t="shared" si="381"/>
        <v>0</v>
      </c>
      <c r="BA201" s="395"/>
      <c r="BB201" s="396"/>
      <c r="BC201" s="397"/>
      <c r="BD201" s="398">
        <f t="shared" si="352"/>
        <v>34</v>
      </c>
      <c r="BE201" s="531">
        <f t="shared" si="353"/>
        <v>28</v>
      </c>
      <c r="BF201" s="532">
        <v>16</v>
      </c>
      <c r="BG201" s="532">
        <v>12</v>
      </c>
      <c r="BH201" s="533">
        <v>6</v>
      </c>
      <c r="BI201" s="402">
        <f t="shared" si="382"/>
        <v>32</v>
      </c>
      <c r="BJ201" s="403">
        <v>32</v>
      </c>
      <c r="BK201" s="404">
        <v>0</v>
      </c>
      <c r="BL201" s="405">
        <v>8</v>
      </c>
      <c r="BM201" s="406">
        <f t="shared" si="355"/>
        <v>25</v>
      </c>
      <c r="BN201" s="407">
        <f t="shared" si="369"/>
        <v>20</v>
      </c>
      <c r="BO201" s="12">
        <v>20</v>
      </c>
      <c r="BP201" s="12">
        <v>0</v>
      </c>
      <c r="BQ201" s="12">
        <v>5</v>
      </c>
      <c r="BR201" s="408">
        <f t="shared" si="346"/>
        <v>0.78125</v>
      </c>
      <c r="BS201" s="409">
        <f t="shared" si="356"/>
        <v>0</v>
      </c>
      <c r="BT201" s="410"/>
      <c r="BU201" s="411"/>
      <c r="BV201" s="438"/>
      <c r="BW201" s="412">
        <f t="shared" si="357"/>
        <v>0</v>
      </c>
    </row>
    <row r="202" spans="1:76" ht="16.899999999999999" customHeight="1" x14ac:dyDescent="0.3">
      <c r="A202" s="8" t="s">
        <v>226</v>
      </c>
      <c r="B202" s="9" t="s">
        <v>55</v>
      </c>
      <c r="C202" s="14" t="s">
        <v>132</v>
      </c>
      <c r="D202" s="40" t="s">
        <v>237</v>
      </c>
      <c r="E202" s="15" t="s">
        <v>103</v>
      </c>
      <c r="F202" s="59">
        <v>25</v>
      </c>
      <c r="G202" s="369">
        <f t="shared" si="370"/>
        <v>0</v>
      </c>
      <c r="H202" s="553">
        <v>25</v>
      </c>
      <c r="I202" s="371">
        <v>17</v>
      </c>
      <c r="J202" s="371">
        <v>8</v>
      </c>
      <c r="K202" s="554">
        <v>5</v>
      </c>
      <c r="L202" s="373">
        <f t="shared" si="371"/>
        <v>0</v>
      </c>
      <c r="M202" s="373">
        <f t="shared" si="372"/>
        <v>0</v>
      </c>
      <c r="N202" s="374">
        <f t="shared" si="373"/>
        <v>0</v>
      </c>
      <c r="O202" s="374">
        <f t="shared" si="373"/>
        <v>0</v>
      </c>
      <c r="P202" s="375">
        <f t="shared" si="373"/>
        <v>0</v>
      </c>
      <c r="Q202" s="376">
        <f t="shared" si="374"/>
        <v>0</v>
      </c>
      <c r="R202" s="374">
        <f t="shared" si="375"/>
        <v>0</v>
      </c>
      <c r="S202" s="377"/>
      <c r="T202" s="377"/>
      <c r="U202" s="377"/>
      <c r="V202" s="378">
        <f t="shared" si="338"/>
        <v>0</v>
      </c>
      <c r="W202" s="379">
        <v>84.8</v>
      </c>
      <c r="X202" s="380"/>
      <c r="Y202" s="376">
        <f t="shared" si="376"/>
        <v>0</v>
      </c>
      <c r="Z202" s="374">
        <f t="shared" si="377"/>
        <v>0</v>
      </c>
      <c r="AA202" s="381"/>
      <c r="AB202" s="381"/>
      <c r="AC202" s="382"/>
      <c r="AD202" s="376">
        <f t="shared" si="378"/>
        <v>0</v>
      </c>
      <c r="AE202" s="374">
        <f t="shared" si="379"/>
        <v>0</v>
      </c>
      <c r="AF202" s="381"/>
      <c r="AG202" s="381"/>
      <c r="AH202" s="383"/>
      <c r="AI202" s="384">
        <f t="shared" si="380"/>
        <v>0</v>
      </c>
      <c r="AJ202" s="385"/>
      <c r="AK202" s="386"/>
      <c r="AL202" s="387"/>
      <c r="AM202" s="434">
        <f t="shared" si="365"/>
        <v>0</v>
      </c>
      <c r="AN202" s="389"/>
      <c r="AO202" s="390"/>
      <c r="AP202" s="390"/>
      <c r="AQ202" s="390"/>
      <c r="AR202" s="346" t="e">
        <f t="shared" si="366"/>
        <v>#DIV/0!</v>
      </c>
      <c r="AS202" s="436"/>
      <c r="AT202" s="392">
        <v>8</v>
      </c>
      <c r="AU202" s="48"/>
      <c r="AV202" s="48"/>
      <c r="AW202" s="52"/>
      <c r="AX202" s="393" t="e">
        <f t="shared" si="367"/>
        <v>#DIV/0!</v>
      </c>
      <c r="AY202" s="77">
        <v>452</v>
      </c>
      <c r="AZ202" s="394">
        <f t="shared" si="381"/>
        <v>0</v>
      </c>
      <c r="BA202" s="395"/>
      <c r="BB202" s="396"/>
      <c r="BC202" s="397"/>
      <c r="BD202" s="398">
        <f t="shared" si="352"/>
        <v>18</v>
      </c>
      <c r="BE202" s="531">
        <f t="shared" si="353"/>
        <v>15</v>
      </c>
      <c r="BF202" s="532">
        <v>8</v>
      </c>
      <c r="BG202" s="532">
        <v>7</v>
      </c>
      <c r="BH202" s="533">
        <v>3</v>
      </c>
      <c r="BI202" s="402">
        <f t="shared" si="382"/>
        <v>17</v>
      </c>
      <c r="BJ202" s="403">
        <v>17</v>
      </c>
      <c r="BK202" s="404">
        <v>0</v>
      </c>
      <c r="BL202" s="405">
        <v>4</v>
      </c>
      <c r="BM202" s="406">
        <f t="shared" si="355"/>
        <v>16</v>
      </c>
      <c r="BN202" s="407">
        <f t="shared" si="369"/>
        <v>13</v>
      </c>
      <c r="BO202" s="12">
        <v>13</v>
      </c>
      <c r="BP202" s="12">
        <v>0</v>
      </c>
      <c r="BQ202" s="12">
        <v>3</v>
      </c>
      <c r="BR202" s="408">
        <f t="shared" si="346"/>
        <v>0.94117647058823528</v>
      </c>
      <c r="BS202" s="409">
        <f t="shared" si="356"/>
        <v>0</v>
      </c>
      <c r="BT202" s="410"/>
      <c r="BU202" s="411"/>
      <c r="BV202" s="438"/>
      <c r="BW202" s="412">
        <f t="shared" si="357"/>
        <v>0</v>
      </c>
    </row>
    <row r="203" spans="1:76" ht="16.899999999999999" customHeight="1" x14ac:dyDescent="0.3">
      <c r="A203" s="8" t="s">
        <v>226</v>
      </c>
      <c r="B203" s="9" t="s">
        <v>55</v>
      </c>
      <c r="C203" s="14" t="s">
        <v>132</v>
      </c>
      <c r="D203" s="68" t="s">
        <v>238</v>
      </c>
      <c r="E203" s="15" t="s">
        <v>103</v>
      </c>
      <c r="F203" s="59">
        <v>25</v>
      </c>
      <c r="G203" s="369">
        <f t="shared" si="370"/>
        <v>0</v>
      </c>
      <c r="H203" s="553">
        <v>25</v>
      </c>
      <c r="I203" s="371">
        <v>17</v>
      </c>
      <c r="J203" s="371">
        <v>8</v>
      </c>
      <c r="K203" s="554">
        <v>5</v>
      </c>
      <c r="L203" s="373">
        <f t="shared" si="371"/>
        <v>0</v>
      </c>
      <c r="M203" s="373">
        <f t="shared" si="372"/>
        <v>0</v>
      </c>
      <c r="N203" s="374">
        <f t="shared" si="373"/>
        <v>0</v>
      </c>
      <c r="O203" s="374">
        <f t="shared" si="373"/>
        <v>0</v>
      </c>
      <c r="P203" s="375">
        <f t="shared" si="373"/>
        <v>0</v>
      </c>
      <c r="Q203" s="376">
        <f t="shared" si="374"/>
        <v>0</v>
      </c>
      <c r="R203" s="374">
        <f t="shared" si="375"/>
        <v>0</v>
      </c>
      <c r="S203" s="377"/>
      <c r="T203" s="377"/>
      <c r="U203" s="377"/>
      <c r="V203" s="378">
        <f t="shared" si="338"/>
        <v>0</v>
      </c>
      <c r="W203" s="379">
        <v>88.3</v>
      </c>
      <c r="X203" s="380"/>
      <c r="Y203" s="376">
        <f t="shared" si="376"/>
        <v>0</v>
      </c>
      <c r="Z203" s="374">
        <f t="shared" si="377"/>
        <v>0</v>
      </c>
      <c r="AA203" s="381"/>
      <c r="AB203" s="381"/>
      <c r="AC203" s="382"/>
      <c r="AD203" s="376">
        <f t="shared" si="378"/>
        <v>0</v>
      </c>
      <c r="AE203" s="374">
        <f t="shared" si="379"/>
        <v>0</v>
      </c>
      <c r="AF203" s="381"/>
      <c r="AG203" s="381"/>
      <c r="AH203" s="383"/>
      <c r="AI203" s="384">
        <f t="shared" si="380"/>
        <v>0</v>
      </c>
      <c r="AJ203" s="385"/>
      <c r="AK203" s="386"/>
      <c r="AL203" s="387"/>
      <c r="AM203" s="434">
        <f t="shared" si="365"/>
        <v>0</v>
      </c>
      <c r="AN203" s="389"/>
      <c r="AO203" s="390"/>
      <c r="AP203" s="390"/>
      <c r="AQ203" s="390"/>
      <c r="AR203" s="346" t="e">
        <f t="shared" si="366"/>
        <v>#DIV/0!</v>
      </c>
      <c r="AS203" s="436"/>
      <c r="AT203" s="392">
        <v>5</v>
      </c>
      <c r="AU203" s="48"/>
      <c r="AV203" s="48"/>
      <c r="AW203" s="52"/>
      <c r="AX203" s="393" t="e">
        <f t="shared" si="367"/>
        <v>#DIV/0!</v>
      </c>
      <c r="AY203" s="77">
        <v>475</v>
      </c>
      <c r="AZ203" s="394">
        <f t="shared" si="381"/>
        <v>0</v>
      </c>
      <c r="BA203" s="395"/>
      <c r="BB203" s="396"/>
      <c r="BC203" s="397"/>
      <c r="BD203" s="398">
        <f t="shared" si="352"/>
        <v>21</v>
      </c>
      <c r="BE203" s="531">
        <f t="shared" si="353"/>
        <v>17</v>
      </c>
      <c r="BF203" s="532">
        <v>9</v>
      </c>
      <c r="BG203" s="532">
        <v>8</v>
      </c>
      <c r="BH203" s="533">
        <v>4</v>
      </c>
      <c r="BI203" s="402">
        <f t="shared" si="382"/>
        <v>19</v>
      </c>
      <c r="BJ203" s="403">
        <v>19</v>
      </c>
      <c r="BK203" s="404">
        <v>0</v>
      </c>
      <c r="BL203" s="405">
        <v>5</v>
      </c>
      <c r="BM203" s="406">
        <f t="shared" si="355"/>
        <v>2</v>
      </c>
      <c r="BN203" s="407">
        <f t="shared" si="369"/>
        <v>2</v>
      </c>
      <c r="BO203" s="12">
        <v>2</v>
      </c>
      <c r="BP203" s="12">
        <v>0</v>
      </c>
      <c r="BQ203" s="12">
        <v>0</v>
      </c>
      <c r="BR203" s="408">
        <f t="shared" si="346"/>
        <v>0.10526315789473684</v>
      </c>
      <c r="BS203" s="409">
        <f t="shared" si="356"/>
        <v>0</v>
      </c>
      <c r="BT203" s="410"/>
      <c r="BU203" s="411"/>
      <c r="BV203" s="438"/>
      <c r="BW203" s="412">
        <f t="shared" si="357"/>
        <v>0</v>
      </c>
    </row>
    <row r="204" spans="1:76" ht="17.45" customHeight="1" x14ac:dyDescent="0.3">
      <c r="A204" s="8" t="s">
        <v>226</v>
      </c>
      <c r="B204" s="9" t="s">
        <v>55</v>
      </c>
      <c r="C204" s="14" t="s">
        <v>132</v>
      </c>
      <c r="D204" s="40" t="s">
        <v>239</v>
      </c>
      <c r="E204" s="15" t="s">
        <v>103</v>
      </c>
      <c r="F204" s="59">
        <v>25</v>
      </c>
      <c r="G204" s="369">
        <f t="shared" si="370"/>
        <v>0</v>
      </c>
      <c r="H204" s="553">
        <v>25</v>
      </c>
      <c r="I204" s="371">
        <v>17</v>
      </c>
      <c r="J204" s="371">
        <v>8</v>
      </c>
      <c r="K204" s="554">
        <v>5</v>
      </c>
      <c r="L204" s="373">
        <f t="shared" si="371"/>
        <v>0</v>
      </c>
      <c r="M204" s="373">
        <f t="shared" si="372"/>
        <v>0</v>
      </c>
      <c r="N204" s="374">
        <f t="shared" si="373"/>
        <v>0</v>
      </c>
      <c r="O204" s="374">
        <f t="shared" si="373"/>
        <v>0</v>
      </c>
      <c r="P204" s="375">
        <f t="shared" si="373"/>
        <v>0</v>
      </c>
      <c r="Q204" s="376">
        <f t="shared" si="374"/>
        <v>0</v>
      </c>
      <c r="R204" s="374">
        <f t="shared" si="375"/>
        <v>0</v>
      </c>
      <c r="S204" s="377"/>
      <c r="T204" s="377"/>
      <c r="U204" s="377"/>
      <c r="V204" s="378">
        <f t="shared" si="338"/>
        <v>0</v>
      </c>
      <c r="W204" s="379">
        <v>82</v>
      </c>
      <c r="X204" s="380"/>
      <c r="Y204" s="376">
        <f t="shared" si="376"/>
        <v>0</v>
      </c>
      <c r="Z204" s="374">
        <f t="shared" si="377"/>
        <v>0</v>
      </c>
      <c r="AA204" s="381"/>
      <c r="AB204" s="381"/>
      <c r="AC204" s="382"/>
      <c r="AD204" s="376">
        <f t="shared" si="378"/>
        <v>0</v>
      </c>
      <c r="AE204" s="374">
        <f t="shared" si="379"/>
        <v>0</v>
      </c>
      <c r="AF204" s="381"/>
      <c r="AG204" s="381"/>
      <c r="AH204" s="383"/>
      <c r="AI204" s="384">
        <f t="shared" si="380"/>
        <v>0</v>
      </c>
      <c r="AJ204" s="385"/>
      <c r="AK204" s="386"/>
      <c r="AL204" s="387"/>
      <c r="AM204" s="434">
        <f t="shared" si="365"/>
        <v>0</v>
      </c>
      <c r="AN204" s="389"/>
      <c r="AO204" s="390"/>
      <c r="AP204" s="390"/>
      <c r="AQ204" s="390"/>
      <c r="AR204" s="346" t="e">
        <f t="shared" si="366"/>
        <v>#DIV/0!</v>
      </c>
      <c r="AS204" s="436"/>
      <c r="AT204" s="392">
        <v>23</v>
      </c>
      <c r="AU204" s="48"/>
      <c r="AV204" s="48"/>
      <c r="AW204" s="52"/>
      <c r="AX204" s="393" t="e">
        <f t="shared" si="367"/>
        <v>#DIV/0!</v>
      </c>
      <c r="AY204" s="77">
        <v>391</v>
      </c>
      <c r="AZ204" s="394">
        <f t="shared" si="381"/>
        <v>0</v>
      </c>
      <c r="BA204" s="395"/>
      <c r="BB204" s="396"/>
      <c r="BC204" s="397"/>
      <c r="BD204" s="398">
        <f t="shared" si="352"/>
        <v>3</v>
      </c>
      <c r="BE204" s="531">
        <f t="shared" si="353"/>
        <v>0</v>
      </c>
      <c r="BF204" s="532">
        <v>-3</v>
      </c>
      <c r="BG204" s="532">
        <v>3</v>
      </c>
      <c r="BH204" s="533">
        <v>3</v>
      </c>
      <c r="BI204" s="402">
        <f t="shared" si="382"/>
        <v>2</v>
      </c>
      <c r="BJ204" s="403">
        <v>2</v>
      </c>
      <c r="BK204" s="404">
        <v>0</v>
      </c>
      <c r="BL204" s="405">
        <v>4</v>
      </c>
      <c r="BM204" s="406">
        <f t="shared" si="355"/>
        <v>5</v>
      </c>
      <c r="BN204" s="407">
        <f t="shared" si="369"/>
        <v>0</v>
      </c>
      <c r="BO204" s="12">
        <v>0</v>
      </c>
      <c r="BP204" s="12">
        <v>0</v>
      </c>
      <c r="BQ204" s="12">
        <v>5</v>
      </c>
      <c r="BR204" s="408">
        <f t="shared" si="346"/>
        <v>2.5</v>
      </c>
      <c r="BS204" s="409">
        <f t="shared" si="356"/>
        <v>0</v>
      </c>
      <c r="BT204" s="410"/>
      <c r="BU204" s="411"/>
      <c r="BV204" s="438"/>
      <c r="BW204" s="412">
        <f t="shared" si="357"/>
        <v>0</v>
      </c>
    </row>
    <row r="205" spans="1:76" ht="16.899999999999999" customHeight="1" x14ac:dyDescent="0.3">
      <c r="A205" s="8" t="s">
        <v>226</v>
      </c>
      <c r="B205" s="9" t="s">
        <v>55</v>
      </c>
      <c r="C205" s="14" t="s">
        <v>132</v>
      </c>
      <c r="D205" s="40" t="s">
        <v>240</v>
      </c>
      <c r="E205" s="15" t="s">
        <v>103</v>
      </c>
      <c r="F205" s="59">
        <v>25</v>
      </c>
      <c r="G205" s="369">
        <f t="shared" si="370"/>
        <v>0</v>
      </c>
      <c r="H205" s="553">
        <v>25</v>
      </c>
      <c r="I205" s="371">
        <v>17</v>
      </c>
      <c r="J205" s="371">
        <v>8</v>
      </c>
      <c r="K205" s="554">
        <v>5</v>
      </c>
      <c r="L205" s="373">
        <f t="shared" si="371"/>
        <v>0</v>
      </c>
      <c r="M205" s="373">
        <f t="shared" si="372"/>
        <v>0</v>
      </c>
      <c r="N205" s="374">
        <f t="shared" si="373"/>
        <v>0</v>
      </c>
      <c r="O205" s="374">
        <f t="shared" si="373"/>
        <v>0</v>
      </c>
      <c r="P205" s="375">
        <f t="shared" si="373"/>
        <v>0</v>
      </c>
      <c r="Q205" s="376">
        <f t="shared" si="374"/>
        <v>0</v>
      </c>
      <c r="R205" s="374">
        <f t="shared" si="375"/>
        <v>0</v>
      </c>
      <c r="S205" s="377"/>
      <c r="T205" s="377"/>
      <c r="U205" s="377"/>
      <c r="V205" s="378">
        <f t="shared" si="338"/>
        <v>0</v>
      </c>
      <c r="W205" s="379">
        <v>76.099999999999994</v>
      </c>
      <c r="X205" s="380"/>
      <c r="Y205" s="376">
        <f t="shared" si="376"/>
        <v>0</v>
      </c>
      <c r="Z205" s="374">
        <f t="shared" si="377"/>
        <v>0</v>
      </c>
      <c r="AA205" s="381"/>
      <c r="AB205" s="381"/>
      <c r="AC205" s="382"/>
      <c r="AD205" s="376">
        <f t="shared" si="378"/>
        <v>0</v>
      </c>
      <c r="AE205" s="374">
        <f t="shared" si="379"/>
        <v>0</v>
      </c>
      <c r="AF205" s="381"/>
      <c r="AG205" s="381"/>
      <c r="AH205" s="383"/>
      <c r="AI205" s="384">
        <f t="shared" si="380"/>
        <v>0</v>
      </c>
      <c r="AJ205" s="385"/>
      <c r="AK205" s="386"/>
      <c r="AL205" s="387"/>
      <c r="AM205" s="434">
        <f t="shared" si="365"/>
        <v>0</v>
      </c>
      <c r="AN205" s="389"/>
      <c r="AO205" s="390"/>
      <c r="AP205" s="390"/>
      <c r="AQ205" s="390"/>
      <c r="AR205" s="346" t="e">
        <f t="shared" si="366"/>
        <v>#DIV/0!</v>
      </c>
      <c r="AS205" s="436"/>
      <c r="AT205" s="392">
        <v>18</v>
      </c>
      <c r="AU205" s="48"/>
      <c r="AV205" s="48"/>
      <c r="AW205" s="52"/>
      <c r="AX205" s="393" t="e">
        <f t="shared" si="367"/>
        <v>#DIV/0!</v>
      </c>
      <c r="AY205" s="77">
        <v>453</v>
      </c>
      <c r="AZ205" s="394">
        <f t="shared" si="381"/>
        <v>0</v>
      </c>
      <c r="BA205" s="395"/>
      <c r="BB205" s="396"/>
      <c r="BC205" s="397"/>
      <c r="BD205" s="398">
        <f t="shared" si="352"/>
        <v>8</v>
      </c>
      <c r="BE205" s="531">
        <f t="shared" si="353"/>
        <v>6</v>
      </c>
      <c r="BF205" s="532">
        <v>3</v>
      </c>
      <c r="BG205" s="532">
        <v>3</v>
      </c>
      <c r="BH205" s="533">
        <v>2</v>
      </c>
      <c r="BI205" s="402">
        <f t="shared" si="382"/>
        <v>8</v>
      </c>
      <c r="BJ205" s="403">
        <v>8</v>
      </c>
      <c r="BK205" s="404">
        <v>0</v>
      </c>
      <c r="BL205" s="405">
        <v>3</v>
      </c>
      <c r="BM205" s="406">
        <f t="shared" si="355"/>
        <v>12</v>
      </c>
      <c r="BN205" s="407">
        <f t="shared" si="369"/>
        <v>11</v>
      </c>
      <c r="BO205" s="12">
        <v>11</v>
      </c>
      <c r="BP205" s="12">
        <v>0</v>
      </c>
      <c r="BQ205" s="12">
        <v>1</v>
      </c>
      <c r="BR205" s="408">
        <f t="shared" si="346"/>
        <v>1.5</v>
      </c>
      <c r="BS205" s="409">
        <f t="shared" si="356"/>
        <v>0</v>
      </c>
      <c r="BT205" s="410"/>
      <c r="BU205" s="411"/>
      <c r="BV205" s="438"/>
      <c r="BW205" s="412">
        <f t="shared" si="357"/>
        <v>0</v>
      </c>
    </row>
    <row r="206" spans="1:76" ht="16.899999999999999" customHeight="1" x14ac:dyDescent="0.3">
      <c r="A206" s="8" t="s">
        <v>226</v>
      </c>
      <c r="B206" s="9" t="s">
        <v>55</v>
      </c>
      <c r="C206" s="14" t="s">
        <v>132</v>
      </c>
      <c r="D206" s="40" t="s">
        <v>241</v>
      </c>
      <c r="E206" s="15" t="s">
        <v>103</v>
      </c>
      <c r="F206" s="59">
        <v>25</v>
      </c>
      <c r="G206" s="369">
        <f t="shared" si="370"/>
        <v>0</v>
      </c>
      <c r="H206" s="553">
        <v>25</v>
      </c>
      <c r="I206" s="371">
        <v>17</v>
      </c>
      <c r="J206" s="371">
        <v>8</v>
      </c>
      <c r="K206" s="554">
        <v>5</v>
      </c>
      <c r="L206" s="373">
        <f t="shared" si="371"/>
        <v>0</v>
      </c>
      <c r="M206" s="373">
        <f t="shared" si="372"/>
        <v>0</v>
      </c>
      <c r="N206" s="374">
        <f t="shared" si="373"/>
        <v>0</v>
      </c>
      <c r="O206" s="374">
        <f t="shared" si="373"/>
        <v>0</v>
      </c>
      <c r="P206" s="375">
        <f t="shared" si="373"/>
        <v>0</v>
      </c>
      <c r="Q206" s="376">
        <f t="shared" si="374"/>
        <v>0</v>
      </c>
      <c r="R206" s="374">
        <f t="shared" si="375"/>
        <v>0</v>
      </c>
      <c r="S206" s="377"/>
      <c r="T206" s="377"/>
      <c r="U206" s="377"/>
      <c r="V206" s="378">
        <f t="shared" si="338"/>
        <v>0</v>
      </c>
      <c r="W206" s="379">
        <v>74.3</v>
      </c>
      <c r="X206" s="380"/>
      <c r="Y206" s="376">
        <f t="shared" si="376"/>
        <v>0</v>
      </c>
      <c r="Z206" s="374">
        <f t="shared" si="377"/>
        <v>0</v>
      </c>
      <c r="AA206" s="381"/>
      <c r="AB206" s="381"/>
      <c r="AC206" s="382"/>
      <c r="AD206" s="376">
        <f t="shared" si="378"/>
        <v>0</v>
      </c>
      <c r="AE206" s="374">
        <f t="shared" si="379"/>
        <v>0</v>
      </c>
      <c r="AF206" s="381"/>
      <c r="AG206" s="381"/>
      <c r="AH206" s="383"/>
      <c r="AI206" s="384">
        <f t="shared" si="380"/>
        <v>0</v>
      </c>
      <c r="AJ206" s="385"/>
      <c r="AK206" s="386"/>
      <c r="AL206" s="387"/>
      <c r="AM206" s="434">
        <f t="shared" si="365"/>
        <v>0</v>
      </c>
      <c r="AN206" s="389"/>
      <c r="AO206" s="390"/>
      <c r="AP206" s="390"/>
      <c r="AQ206" s="390"/>
      <c r="AR206" s="346" t="e">
        <f t="shared" si="366"/>
        <v>#DIV/0!</v>
      </c>
      <c r="AS206" s="436"/>
      <c r="AT206" s="392">
        <v>11</v>
      </c>
      <c r="AU206" s="48"/>
      <c r="AV206" s="48"/>
      <c r="AW206" s="52"/>
      <c r="AX206" s="393" t="e">
        <f t="shared" si="367"/>
        <v>#DIV/0!</v>
      </c>
      <c r="AY206" s="77">
        <v>484</v>
      </c>
      <c r="AZ206" s="394">
        <f t="shared" si="381"/>
        <v>0</v>
      </c>
      <c r="BA206" s="395"/>
      <c r="BB206" s="396"/>
      <c r="BC206" s="397"/>
      <c r="BD206" s="398">
        <f t="shared" si="352"/>
        <v>15</v>
      </c>
      <c r="BE206" s="531">
        <f t="shared" si="353"/>
        <v>11</v>
      </c>
      <c r="BF206" s="532">
        <v>4</v>
      </c>
      <c r="BG206" s="532">
        <v>7</v>
      </c>
      <c r="BH206" s="533">
        <v>4</v>
      </c>
      <c r="BI206" s="402">
        <f t="shared" si="382"/>
        <v>13</v>
      </c>
      <c r="BJ206" s="403">
        <v>13</v>
      </c>
      <c r="BK206" s="404">
        <v>0</v>
      </c>
      <c r="BL206" s="405">
        <v>5</v>
      </c>
      <c r="BM206" s="406">
        <f t="shared" si="355"/>
        <v>10</v>
      </c>
      <c r="BN206" s="407">
        <f t="shared" si="369"/>
        <v>9</v>
      </c>
      <c r="BO206" s="12">
        <v>9</v>
      </c>
      <c r="BP206" s="12">
        <v>0</v>
      </c>
      <c r="BQ206" s="12">
        <v>1</v>
      </c>
      <c r="BR206" s="408">
        <f t="shared" si="346"/>
        <v>0.76923076923076927</v>
      </c>
      <c r="BS206" s="409">
        <f t="shared" si="356"/>
        <v>0</v>
      </c>
      <c r="BT206" s="410"/>
      <c r="BU206" s="439"/>
      <c r="BV206" s="458"/>
      <c r="BW206" s="412">
        <f t="shared" si="357"/>
        <v>0</v>
      </c>
    </row>
    <row r="207" spans="1:76" ht="16.899999999999999" customHeight="1" x14ac:dyDescent="0.3">
      <c r="A207" s="8" t="s">
        <v>226</v>
      </c>
      <c r="B207" s="9" t="s">
        <v>55</v>
      </c>
      <c r="C207" s="14" t="s">
        <v>112</v>
      </c>
      <c r="D207" s="40" t="s">
        <v>242</v>
      </c>
      <c r="E207" s="15" t="s">
        <v>103</v>
      </c>
      <c r="F207" s="59">
        <v>25</v>
      </c>
      <c r="G207" s="369">
        <f t="shared" si="370"/>
        <v>0</v>
      </c>
      <c r="H207" s="553">
        <v>25</v>
      </c>
      <c r="I207" s="371">
        <v>17</v>
      </c>
      <c r="J207" s="371">
        <v>8</v>
      </c>
      <c r="K207" s="554">
        <v>5</v>
      </c>
      <c r="L207" s="373">
        <f t="shared" si="371"/>
        <v>0</v>
      </c>
      <c r="M207" s="373">
        <f t="shared" si="372"/>
        <v>0</v>
      </c>
      <c r="N207" s="374">
        <f t="shared" si="373"/>
        <v>0</v>
      </c>
      <c r="O207" s="374">
        <f t="shared" si="373"/>
        <v>0</v>
      </c>
      <c r="P207" s="375">
        <f t="shared" si="373"/>
        <v>0</v>
      </c>
      <c r="Q207" s="376">
        <f t="shared" si="374"/>
        <v>0</v>
      </c>
      <c r="R207" s="374">
        <f t="shared" si="375"/>
        <v>0</v>
      </c>
      <c r="S207" s="377"/>
      <c r="T207" s="377"/>
      <c r="U207" s="377"/>
      <c r="V207" s="378">
        <f t="shared" si="338"/>
        <v>0</v>
      </c>
      <c r="W207" s="379">
        <v>58.2</v>
      </c>
      <c r="X207" s="380"/>
      <c r="Y207" s="376">
        <f t="shared" si="376"/>
        <v>0</v>
      </c>
      <c r="Z207" s="374">
        <f t="shared" si="377"/>
        <v>0</v>
      </c>
      <c r="AA207" s="381"/>
      <c r="AB207" s="381"/>
      <c r="AC207" s="382"/>
      <c r="AD207" s="376">
        <f t="shared" si="378"/>
        <v>0</v>
      </c>
      <c r="AE207" s="374">
        <f t="shared" si="379"/>
        <v>0</v>
      </c>
      <c r="AF207" s="381"/>
      <c r="AG207" s="381"/>
      <c r="AH207" s="383"/>
      <c r="AI207" s="384">
        <f t="shared" si="380"/>
        <v>0</v>
      </c>
      <c r="AJ207" s="385"/>
      <c r="AK207" s="386"/>
      <c r="AL207" s="387"/>
      <c r="AM207" s="434">
        <f t="shared" si="365"/>
        <v>0</v>
      </c>
      <c r="AN207" s="389"/>
      <c r="AO207" s="390"/>
      <c r="AP207" s="390"/>
      <c r="AQ207" s="390"/>
      <c r="AR207" s="346" t="e">
        <f t="shared" si="366"/>
        <v>#DIV/0!</v>
      </c>
      <c r="AS207" s="436"/>
      <c r="AT207" s="392">
        <v>7</v>
      </c>
      <c r="AU207" s="48"/>
      <c r="AV207" s="48"/>
      <c r="AW207" s="52"/>
      <c r="AX207" s="393" t="e">
        <f t="shared" si="367"/>
        <v>#DIV/0!</v>
      </c>
      <c r="AY207" s="77">
        <v>20</v>
      </c>
      <c r="AZ207" s="394">
        <f t="shared" si="381"/>
        <v>0</v>
      </c>
      <c r="BA207" s="395"/>
      <c r="BB207" s="396"/>
      <c r="BC207" s="397"/>
      <c r="BD207" s="398">
        <f t="shared" si="352"/>
        <v>19</v>
      </c>
      <c r="BE207" s="531">
        <f t="shared" si="353"/>
        <v>15</v>
      </c>
      <c r="BF207" s="532">
        <v>10</v>
      </c>
      <c r="BG207" s="532">
        <v>5</v>
      </c>
      <c r="BH207" s="533">
        <v>4</v>
      </c>
      <c r="BI207" s="402">
        <f t="shared" si="382"/>
        <v>17</v>
      </c>
      <c r="BJ207" s="403">
        <v>17</v>
      </c>
      <c r="BK207" s="404">
        <v>0</v>
      </c>
      <c r="BL207" s="405">
        <v>5</v>
      </c>
      <c r="BM207" s="406">
        <f t="shared" si="355"/>
        <v>6</v>
      </c>
      <c r="BN207" s="407">
        <f t="shared" si="369"/>
        <v>5</v>
      </c>
      <c r="BO207" s="12">
        <v>5</v>
      </c>
      <c r="BP207" s="12">
        <v>0</v>
      </c>
      <c r="BQ207" s="12">
        <v>1</v>
      </c>
      <c r="BR207" s="408">
        <f t="shared" si="346"/>
        <v>0.35294117647058826</v>
      </c>
      <c r="BS207" s="409">
        <f t="shared" si="356"/>
        <v>0</v>
      </c>
      <c r="BT207" s="410"/>
      <c r="BU207" s="439"/>
      <c r="BV207" s="458"/>
      <c r="BW207" s="412">
        <f t="shared" si="357"/>
        <v>0</v>
      </c>
    </row>
    <row r="208" spans="1:76" ht="22.15" customHeight="1" x14ac:dyDescent="0.3">
      <c r="A208" s="4" t="s">
        <v>226</v>
      </c>
      <c r="B208" s="5" t="s">
        <v>56</v>
      </c>
      <c r="C208" s="5"/>
      <c r="D208" s="18" t="s">
        <v>21</v>
      </c>
      <c r="E208" s="6"/>
      <c r="F208" s="58">
        <f t="shared" ref="F208:U208" si="383">SUM(F209:F210)</f>
        <v>100</v>
      </c>
      <c r="G208" s="7">
        <f t="shared" si="383"/>
        <v>0</v>
      </c>
      <c r="H208" s="7">
        <f t="shared" si="383"/>
        <v>100</v>
      </c>
      <c r="I208" s="67">
        <f t="shared" si="383"/>
        <v>68</v>
      </c>
      <c r="J208" s="67">
        <f t="shared" si="383"/>
        <v>32</v>
      </c>
      <c r="K208" s="70">
        <f t="shared" si="383"/>
        <v>20</v>
      </c>
      <c r="L208" s="413">
        <f t="shared" si="383"/>
        <v>0</v>
      </c>
      <c r="M208" s="413">
        <f t="shared" si="383"/>
        <v>0</v>
      </c>
      <c r="N208" s="413">
        <f t="shared" si="383"/>
        <v>0</v>
      </c>
      <c r="O208" s="413">
        <f t="shared" si="383"/>
        <v>0</v>
      </c>
      <c r="P208" s="414">
        <f t="shared" si="383"/>
        <v>0</v>
      </c>
      <c r="Q208" s="415">
        <f t="shared" si="383"/>
        <v>0</v>
      </c>
      <c r="R208" s="416">
        <f t="shared" si="383"/>
        <v>0</v>
      </c>
      <c r="S208" s="416">
        <f t="shared" si="383"/>
        <v>0</v>
      </c>
      <c r="T208" s="416">
        <f t="shared" si="383"/>
        <v>0</v>
      </c>
      <c r="U208" s="416">
        <f t="shared" si="383"/>
        <v>0</v>
      </c>
      <c r="V208" s="334">
        <f t="shared" si="338"/>
        <v>0</v>
      </c>
      <c r="W208" s="335">
        <f t="shared" ref="W208:AI208" si="384">SUM(W209:W210)</f>
        <v>122.7</v>
      </c>
      <c r="X208" s="413">
        <f t="shared" si="384"/>
        <v>0</v>
      </c>
      <c r="Y208" s="415">
        <f t="shared" si="384"/>
        <v>0</v>
      </c>
      <c r="Z208" s="416">
        <f t="shared" si="384"/>
        <v>0</v>
      </c>
      <c r="AA208" s="416">
        <f t="shared" si="384"/>
        <v>0</v>
      </c>
      <c r="AB208" s="416">
        <f t="shared" si="384"/>
        <v>0</v>
      </c>
      <c r="AC208" s="417">
        <f t="shared" si="384"/>
        <v>0</v>
      </c>
      <c r="AD208" s="415">
        <f t="shared" si="384"/>
        <v>0</v>
      </c>
      <c r="AE208" s="416">
        <f t="shared" si="384"/>
        <v>0</v>
      </c>
      <c r="AF208" s="416">
        <f t="shared" si="384"/>
        <v>0</v>
      </c>
      <c r="AG208" s="416">
        <f t="shared" si="384"/>
        <v>0</v>
      </c>
      <c r="AH208" s="418">
        <f t="shared" si="384"/>
        <v>0</v>
      </c>
      <c r="AI208" s="339">
        <f t="shared" si="384"/>
        <v>0</v>
      </c>
      <c r="AJ208" s="340"/>
      <c r="AK208" s="341"/>
      <c r="AL208" s="342"/>
      <c r="AM208" s="420">
        <f t="shared" si="365"/>
        <v>0</v>
      </c>
      <c r="AN208" s="344"/>
      <c r="AO208" s="440"/>
      <c r="AP208" s="440"/>
      <c r="AQ208" s="440"/>
      <c r="AR208" s="346" t="e">
        <f t="shared" si="366"/>
        <v>#DIV/0!</v>
      </c>
      <c r="AS208" s="424">
        <v>0.66700000000000004</v>
      </c>
      <c r="AT208" s="441">
        <f>SUM(AT209:AT210)</f>
        <v>48</v>
      </c>
      <c r="AU208" s="361"/>
      <c r="AV208" s="361"/>
      <c r="AW208" s="444"/>
      <c r="AX208" s="352" t="e">
        <f t="shared" si="367"/>
        <v>#DIV/0!</v>
      </c>
      <c r="AY208" s="427">
        <v>0.36099999999999999</v>
      </c>
      <c r="AZ208" s="354">
        <f>SUM(AZ209:AZ210)</f>
        <v>0</v>
      </c>
      <c r="BA208" s="340"/>
      <c r="BB208" s="340"/>
      <c r="BC208" s="355"/>
      <c r="BD208" s="356">
        <f t="shared" si="352"/>
        <v>42</v>
      </c>
      <c r="BE208" s="356">
        <f t="shared" si="353"/>
        <v>37</v>
      </c>
      <c r="BF208" s="357">
        <f t="shared" ref="BF208:BL208" si="385">SUM(BF209:BF210)</f>
        <v>16</v>
      </c>
      <c r="BG208" s="357">
        <f t="shared" si="385"/>
        <v>21</v>
      </c>
      <c r="BH208" s="358">
        <f t="shared" si="385"/>
        <v>5</v>
      </c>
      <c r="BI208" s="359">
        <f t="shared" si="385"/>
        <v>47</v>
      </c>
      <c r="BJ208" s="360">
        <f t="shared" si="385"/>
        <v>43</v>
      </c>
      <c r="BK208" s="361">
        <f t="shared" si="385"/>
        <v>4</v>
      </c>
      <c r="BL208" s="362">
        <f t="shared" si="385"/>
        <v>6</v>
      </c>
      <c r="BM208" s="363">
        <f t="shared" si="355"/>
        <v>25</v>
      </c>
      <c r="BN208" s="356">
        <f t="shared" si="369"/>
        <v>19</v>
      </c>
      <c r="BO208" s="357">
        <f>SUM(BO209:BO210)</f>
        <v>18</v>
      </c>
      <c r="BP208" s="357">
        <f>SUM(BP209:BP210)</f>
        <v>1</v>
      </c>
      <c r="BQ208" s="357">
        <f>SUM(BQ209:BQ210)</f>
        <v>6</v>
      </c>
      <c r="BR208" s="432">
        <f t="shared" si="346"/>
        <v>0.53191489361702127</v>
      </c>
      <c r="BS208" s="366">
        <f t="shared" si="356"/>
        <v>0</v>
      </c>
      <c r="BT208" s="367">
        <f>SUM(BT209:BT210)</f>
        <v>0</v>
      </c>
      <c r="BU208" s="367">
        <f>SUM(BU209:BU210)</f>
        <v>0</v>
      </c>
      <c r="BV208" s="367">
        <f>SUM(BV209:BV210)</f>
        <v>0</v>
      </c>
      <c r="BW208" s="368">
        <f t="shared" si="357"/>
        <v>0</v>
      </c>
      <c r="BX208" t="s">
        <v>56</v>
      </c>
    </row>
    <row r="209" spans="1:75" ht="35.1" customHeight="1" x14ac:dyDescent="0.3">
      <c r="A209" s="8" t="s">
        <v>226</v>
      </c>
      <c r="B209" s="9" t="s">
        <v>56</v>
      </c>
      <c r="C209" s="9" t="s">
        <v>56</v>
      </c>
      <c r="D209" s="46" t="s">
        <v>243</v>
      </c>
      <c r="E209" s="10" t="s">
        <v>103</v>
      </c>
      <c r="F209" s="59">
        <v>50</v>
      </c>
      <c r="G209" s="369">
        <f>L209/F209</f>
        <v>0</v>
      </c>
      <c r="H209" s="553">
        <v>50</v>
      </c>
      <c r="I209" s="371">
        <v>34</v>
      </c>
      <c r="J209" s="371">
        <v>16</v>
      </c>
      <c r="K209" s="554">
        <v>10</v>
      </c>
      <c r="L209" s="373">
        <f>N209+O209+P209</f>
        <v>0</v>
      </c>
      <c r="M209" s="373">
        <f>N209+O209</f>
        <v>0</v>
      </c>
      <c r="N209" s="374">
        <f t="shared" ref="N209:P210" si="386">AA209+AF209</f>
        <v>0</v>
      </c>
      <c r="O209" s="374">
        <f t="shared" si="386"/>
        <v>0</v>
      </c>
      <c r="P209" s="375">
        <f t="shared" si="386"/>
        <v>0</v>
      </c>
      <c r="Q209" s="376">
        <f>R209+U209</f>
        <v>0</v>
      </c>
      <c r="R209" s="374">
        <f>S209+T209</f>
        <v>0</v>
      </c>
      <c r="S209" s="377"/>
      <c r="T209" s="377"/>
      <c r="U209" s="377"/>
      <c r="V209" s="378">
        <f t="shared" si="338"/>
        <v>0</v>
      </c>
      <c r="W209" s="379">
        <v>62.2</v>
      </c>
      <c r="X209" s="380"/>
      <c r="Y209" s="376">
        <f>Z209+AC209</f>
        <v>0</v>
      </c>
      <c r="Z209" s="374">
        <f>AA209+AB209</f>
        <v>0</v>
      </c>
      <c r="AA209" s="381"/>
      <c r="AB209" s="381"/>
      <c r="AC209" s="382"/>
      <c r="AD209" s="376">
        <f>AE209+AH209</f>
        <v>0</v>
      </c>
      <c r="AE209" s="374">
        <f>AF209+AG209</f>
        <v>0</v>
      </c>
      <c r="AF209" s="381"/>
      <c r="AG209" s="381"/>
      <c r="AH209" s="383"/>
      <c r="AI209" s="384">
        <f>AJ209+AK209</f>
        <v>0</v>
      </c>
      <c r="AJ209" s="385"/>
      <c r="AK209" s="386"/>
      <c r="AL209" s="387"/>
      <c r="AM209" s="434">
        <f t="shared" si="365"/>
        <v>0</v>
      </c>
      <c r="AN209" s="389"/>
      <c r="AO209" s="390"/>
      <c r="AP209" s="390"/>
      <c r="AQ209" s="390"/>
      <c r="AR209" s="346" t="e">
        <f t="shared" si="366"/>
        <v>#DIV/0!</v>
      </c>
      <c r="AS209" s="436"/>
      <c r="AT209" s="392">
        <v>22</v>
      </c>
      <c r="AU209" s="48"/>
      <c r="AV209" s="48"/>
      <c r="AW209" s="52"/>
      <c r="AX209" s="393" t="e">
        <f t="shared" si="367"/>
        <v>#DIV/0!</v>
      </c>
      <c r="AY209" s="80">
        <v>465</v>
      </c>
      <c r="AZ209" s="394">
        <f>BA209+BB209</f>
        <v>0</v>
      </c>
      <c r="BA209" s="395"/>
      <c r="BB209" s="396"/>
      <c r="BC209" s="397"/>
      <c r="BD209" s="600">
        <f t="shared" si="352"/>
        <v>23</v>
      </c>
      <c r="BE209" s="531">
        <f t="shared" si="353"/>
        <v>19</v>
      </c>
      <c r="BF209" s="532">
        <v>9</v>
      </c>
      <c r="BG209" s="532">
        <v>10</v>
      </c>
      <c r="BH209" s="533">
        <v>4</v>
      </c>
      <c r="BI209" s="402">
        <f>SUM(BJ209:BK209)</f>
        <v>24</v>
      </c>
      <c r="BJ209" s="403">
        <v>22</v>
      </c>
      <c r="BK209" s="403">
        <v>2</v>
      </c>
      <c r="BL209" s="405">
        <v>3</v>
      </c>
      <c r="BM209" s="601">
        <f t="shared" si="355"/>
        <v>15</v>
      </c>
      <c r="BN209" s="407">
        <f t="shared" si="369"/>
        <v>11</v>
      </c>
      <c r="BO209" s="12">
        <v>10</v>
      </c>
      <c r="BP209" s="12">
        <v>1</v>
      </c>
      <c r="BQ209" s="12">
        <v>4</v>
      </c>
      <c r="BR209" s="408">
        <f t="shared" si="346"/>
        <v>0.625</v>
      </c>
      <c r="BS209" s="409">
        <f t="shared" si="356"/>
        <v>0</v>
      </c>
      <c r="BT209" s="410"/>
      <c r="BU209" s="439"/>
      <c r="BV209" s="458"/>
      <c r="BW209" s="412">
        <f t="shared" si="357"/>
        <v>0</v>
      </c>
    </row>
    <row r="210" spans="1:75" ht="35.1" customHeight="1" thickBot="1" x14ac:dyDescent="0.35">
      <c r="A210" s="32" t="s">
        <v>226</v>
      </c>
      <c r="B210" s="33" t="s">
        <v>56</v>
      </c>
      <c r="C210" s="33" t="s">
        <v>56</v>
      </c>
      <c r="D210" s="47" t="s">
        <v>244</v>
      </c>
      <c r="E210" s="34" t="s">
        <v>103</v>
      </c>
      <c r="F210" s="61">
        <v>50</v>
      </c>
      <c r="G210" s="606">
        <f>L210/F210</f>
        <v>0</v>
      </c>
      <c r="H210" s="607">
        <v>50</v>
      </c>
      <c r="I210" s="608">
        <v>34</v>
      </c>
      <c r="J210" s="608">
        <v>16</v>
      </c>
      <c r="K210" s="609">
        <v>10</v>
      </c>
      <c r="L210" s="610">
        <f>N210+O210+P210</f>
        <v>0</v>
      </c>
      <c r="M210" s="610">
        <f>N210+O210</f>
        <v>0</v>
      </c>
      <c r="N210" s="611">
        <f t="shared" si="386"/>
        <v>0</v>
      </c>
      <c r="O210" s="611">
        <f t="shared" si="386"/>
        <v>0</v>
      </c>
      <c r="P210" s="612">
        <f t="shared" si="386"/>
        <v>0</v>
      </c>
      <c r="Q210" s="613">
        <f>R210+U210</f>
        <v>0</v>
      </c>
      <c r="R210" s="611">
        <f>S210+T210</f>
        <v>0</v>
      </c>
      <c r="S210" s="614"/>
      <c r="T210" s="614"/>
      <c r="U210" s="614"/>
      <c r="V210" s="615">
        <f t="shared" si="338"/>
        <v>0</v>
      </c>
      <c r="W210" s="616">
        <v>60.5</v>
      </c>
      <c r="X210" s="617"/>
      <c r="Y210" s="613">
        <f>Z210+AC210</f>
        <v>0</v>
      </c>
      <c r="Z210" s="611">
        <f>AA210+AB210</f>
        <v>0</v>
      </c>
      <c r="AA210" s="618"/>
      <c r="AB210" s="618"/>
      <c r="AC210" s="619"/>
      <c r="AD210" s="613">
        <f>AE210+AH210</f>
        <v>0</v>
      </c>
      <c r="AE210" s="611">
        <f>AF210+AG210</f>
        <v>0</v>
      </c>
      <c r="AF210" s="618"/>
      <c r="AG210" s="618"/>
      <c r="AH210" s="620"/>
      <c r="AI210" s="621">
        <f>AJ210+AK210</f>
        <v>0</v>
      </c>
      <c r="AJ210" s="622"/>
      <c r="AK210" s="623"/>
      <c r="AL210" s="624"/>
      <c r="AM210" s="625">
        <f t="shared" si="365"/>
        <v>0</v>
      </c>
      <c r="AN210" s="626"/>
      <c r="AO210" s="627"/>
      <c r="AP210" s="627"/>
      <c r="AQ210" s="627"/>
      <c r="AR210" s="628" t="e">
        <f t="shared" si="366"/>
        <v>#DIV/0!</v>
      </c>
      <c r="AS210" s="629"/>
      <c r="AT210" s="630">
        <v>26</v>
      </c>
      <c r="AU210" s="51"/>
      <c r="AV210" s="51"/>
      <c r="AW210" s="54"/>
      <c r="AX210" s="631" t="e">
        <f t="shared" si="367"/>
        <v>#DIV/0!</v>
      </c>
      <c r="AY210" s="81">
        <v>173</v>
      </c>
      <c r="AZ210" s="632">
        <f>BA210+BB210</f>
        <v>0</v>
      </c>
      <c r="BA210" s="633"/>
      <c r="BB210" s="634"/>
      <c r="BC210" s="635"/>
      <c r="BD210" s="636">
        <f t="shared" si="352"/>
        <v>19</v>
      </c>
      <c r="BE210" s="637">
        <f t="shared" si="353"/>
        <v>18</v>
      </c>
      <c r="BF210" s="638">
        <v>7</v>
      </c>
      <c r="BG210" s="638">
        <v>11</v>
      </c>
      <c r="BH210" s="639">
        <v>1</v>
      </c>
      <c r="BI210" s="640">
        <f>SUM(BJ210:BK210)</f>
        <v>23</v>
      </c>
      <c r="BJ210" s="641">
        <v>21</v>
      </c>
      <c r="BK210" s="641">
        <v>2</v>
      </c>
      <c r="BL210" s="642">
        <v>3</v>
      </c>
      <c r="BM210" s="643">
        <f t="shared" si="355"/>
        <v>10</v>
      </c>
      <c r="BN210" s="644">
        <f t="shared" si="369"/>
        <v>8</v>
      </c>
      <c r="BO210" s="35">
        <v>8</v>
      </c>
      <c r="BP210" s="35">
        <v>0</v>
      </c>
      <c r="BQ210" s="35">
        <v>2</v>
      </c>
      <c r="BR210" s="645">
        <f t="shared" si="346"/>
        <v>0.43478260869565216</v>
      </c>
      <c r="BS210" s="646">
        <f t="shared" si="356"/>
        <v>0</v>
      </c>
      <c r="BT210" s="647"/>
      <c r="BU210" s="648"/>
      <c r="BV210" s="649"/>
      <c r="BW210" s="650">
        <f t="shared" si="357"/>
        <v>0</v>
      </c>
    </row>
    <row r="211" spans="1:75" x14ac:dyDescent="0.3">
      <c r="A211" s="29"/>
      <c r="B211" s="30"/>
      <c r="C211" s="30"/>
      <c r="D211" s="30"/>
      <c r="E211" s="31"/>
      <c r="F211" s="31"/>
      <c r="G211" s="651"/>
      <c r="H211" s="651"/>
      <c r="I211" s="800"/>
      <c r="J211" s="685"/>
      <c r="K211" s="685"/>
      <c r="L211" s="651"/>
      <c r="M211" s="651"/>
      <c r="N211" s="651"/>
      <c r="O211" s="651"/>
      <c r="P211" s="651"/>
      <c r="Q211" s="651"/>
      <c r="R211" s="651"/>
      <c r="S211" s="651"/>
      <c r="T211" s="651"/>
      <c r="U211" s="651"/>
      <c r="V211" s="651"/>
      <c r="W211" s="652"/>
      <c r="X211" s="651"/>
      <c r="Y211" s="651"/>
      <c r="Z211" s="651"/>
      <c r="AA211" s="651"/>
      <c r="AB211" s="651"/>
      <c r="AC211" s="651"/>
      <c r="AD211" s="651"/>
      <c r="AE211" s="651"/>
      <c r="AF211" s="651"/>
      <c r="AG211" s="651"/>
      <c r="AH211" s="651"/>
      <c r="AI211" s="31"/>
      <c r="AJ211" s="653"/>
      <c r="AK211" s="653"/>
      <c r="AL211" s="653"/>
      <c r="AM211" s="653"/>
      <c r="AN211" s="653"/>
      <c r="AO211" s="653"/>
      <c r="AP211" s="653"/>
      <c r="AQ211" s="653"/>
      <c r="AR211" s="654"/>
      <c r="AS211" s="654"/>
      <c r="BA211" t="str">
        <f>IFERROR(#REF!-#REF!,"")</f>
        <v/>
      </c>
      <c r="BS211" s="222"/>
      <c r="BT211" s="222"/>
      <c r="BU211" s="222"/>
      <c r="BV211" s="222"/>
      <c r="BW211" s="223"/>
    </row>
    <row r="212" spans="1:75" x14ac:dyDescent="0.3">
      <c r="A212" s="29"/>
      <c r="B212" s="30"/>
      <c r="C212" s="30"/>
      <c r="D212" s="30"/>
      <c r="E212" s="31"/>
      <c r="F212" s="31"/>
      <c r="G212" s="651"/>
      <c r="H212" s="651"/>
      <c r="I212" s="651"/>
      <c r="J212" s="651"/>
      <c r="K212" s="651"/>
      <c r="L212" s="651"/>
      <c r="M212" s="651"/>
      <c r="N212" s="651"/>
      <c r="O212" s="651"/>
      <c r="P212" s="651"/>
      <c r="Q212" s="651"/>
      <c r="R212" s="651"/>
      <c r="S212" s="651"/>
      <c r="T212" s="651"/>
      <c r="U212" s="651"/>
      <c r="V212" s="651"/>
      <c r="W212" s="652"/>
      <c r="X212" s="651"/>
      <c r="Y212" s="651"/>
      <c r="Z212" s="651"/>
      <c r="AA212" s="651"/>
      <c r="AB212" s="651"/>
      <c r="AC212" s="651"/>
      <c r="AD212" s="651"/>
      <c r="AE212" s="651"/>
      <c r="AF212" s="651"/>
      <c r="AG212" s="651"/>
      <c r="AH212" s="651"/>
      <c r="AI212" s="31"/>
      <c r="AJ212" s="653"/>
      <c r="AK212" s="653"/>
      <c r="AL212" s="653"/>
      <c r="AM212" s="653"/>
      <c r="AN212" s="653"/>
      <c r="AO212" s="653"/>
      <c r="AP212" s="653"/>
      <c r="AQ212" s="653"/>
      <c r="AR212" s="654"/>
      <c r="AS212" s="654"/>
      <c r="BS212" s="222"/>
      <c r="BT212" s="222"/>
      <c r="BU212" s="222"/>
      <c r="BV212" s="222"/>
      <c r="BW212" s="223"/>
    </row>
  </sheetData>
  <mergeCells count="84">
    <mergeCell ref="I211:K211"/>
    <mergeCell ref="BH5:BH6"/>
    <mergeCell ref="Z5:AB5"/>
    <mergeCell ref="AM4:AR4"/>
    <mergeCell ref="R5:T5"/>
    <mergeCell ref="H5:J5"/>
    <mergeCell ref="H3:K4"/>
    <mergeCell ref="L5:L6"/>
    <mergeCell ref="Q3:V4"/>
    <mergeCell ref="BT5:BU5"/>
    <mergeCell ref="A131:E131"/>
    <mergeCell ref="AZ4:BC4"/>
    <mergeCell ref="AS3:AS6"/>
    <mergeCell ref="M5:O5"/>
    <mergeCell ref="C3:C6"/>
    <mergeCell ref="Y5:Y6"/>
    <mergeCell ref="W3:X4"/>
    <mergeCell ref="AI3:AR3"/>
    <mergeCell ref="AU5:AV5"/>
    <mergeCell ref="AT3:AX3"/>
    <mergeCell ref="AC5:AC6"/>
    <mergeCell ref="BR5:BR6"/>
    <mergeCell ref="BS4:BW4"/>
    <mergeCell ref="BM4:BR4"/>
    <mergeCell ref="BW5:BW6"/>
    <mergeCell ref="BU2:BW2"/>
    <mergeCell ref="AT4:AT6"/>
    <mergeCell ref="E3:E6"/>
    <mergeCell ref="A155:E155"/>
    <mergeCell ref="A2:D2"/>
    <mergeCell ref="Q5:Q6"/>
    <mergeCell ref="BS5:BS6"/>
    <mergeCell ref="BQ5:BQ6"/>
    <mergeCell ref="BD5:BD6"/>
    <mergeCell ref="X5:X6"/>
    <mergeCell ref="AL5:AL6"/>
    <mergeCell ref="L3:P4"/>
    <mergeCell ref="BV5:BV6"/>
    <mergeCell ref="AN5:AP5"/>
    <mergeCell ref="K5:K6"/>
    <mergeCell ref="W5:W6"/>
    <mergeCell ref="A187:E187"/>
    <mergeCell ref="AQ5:AQ6"/>
    <mergeCell ref="G3:G6"/>
    <mergeCell ref="AX4:AX6"/>
    <mergeCell ref="BI5:BK5"/>
    <mergeCell ref="A108:E108"/>
    <mergeCell ref="A3:A6"/>
    <mergeCell ref="A61:E61"/>
    <mergeCell ref="A7:E7"/>
    <mergeCell ref="AW5:AW6"/>
    <mergeCell ref="AD3:AH4"/>
    <mergeCell ref="A41:E41"/>
    <mergeCell ref="A74:E74"/>
    <mergeCell ref="AZ3:BW3"/>
    <mergeCell ref="U5:U6"/>
    <mergeCell ref="BC5:BC6"/>
    <mergeCell ref="A1:BP1"/>
    <mergeCell ref="AE5:AG5"/>
    <mergeCell ref="AR5:AR6"/>
    <mergeCell ref="BD4:BH4"/>
    <mergeCell ref="Y3:AC4"/>
    <mergeCell ref="AI5:AK5"/>
    <mergeCell ref="D3:D6"/>
    <mergeCell ref="BM5:BM6"/>
    <mergeCell ref="P5:P6"/>
    <mergeCell ref="AI4:AL4"/>
    <mergeCell ref="BL5:BL6"/>
    <mergeCell ref="V5:V6"/>
    <mergeCell ref="AH5:AH6"/>
    <mergeCell ref="AZ5:BB5"/>
    <mergeCell ref="BN5:BP5"/>
    <mergeCell ref="AM5:AM6"/>
    <mergeCell ref="A8:E8"/>
    <mergeCell ref="BO2:BR2"/>
    <mergeCell ref="BE5:BG5"/>
    <mergeCell ref="AZ2:BA2"/>
    <mergeCell ref="AY3:AY6"/>
    <mergeCell ref="AU4:AW4"/>
    <mergeCell ref="AS2:AY2"/>
    <mergeCell ref="AD5:AD6"/>
    <mergeCell ref="B3:B6"/>
    <mergeCell ref="BI4:BL4"/>
    <mergeCell ref="F3:F6"/>
  </mergeCells>
  <phoneticPr fontId="2" type="noConversion"/>
  <conditionalFormatting sqref="E8:F210">
    <cfRule type="cellIs" dxfId="2" priority="1" operator="equal">
      <formula>"야간"</formula>
    </cfRule>
  </conditionalFormatting>
  <conditionalFormatting sqref="E3:H3">
    <cfRule type="cellIs" dxfId="1" priority="4" operator="equal">
      <formula>"야간"</formula>
    </cfRule>
  </conditionalFormatting>
  <conditionalFormatting sqref="E211:I211 E212:AI212 G9:K9 G21:K21 G28:K28 G39:K39 G42:K42 G59:K59 G62:K62 G68:K68 G71:K71 G75:K75 G86:K86 G94:K94 G103:K103 G109:K109 G119:K119 G124:K124 G128:K128 G132:K132 G141:K141 G148:K148 G150:AH150 G156:K156 G170:K170 G179:AH179 G188:K188 G194:K194 G199:K199 G208:K208 L211:AI211">
    <cfRule type="cellIs" dxfId="0" priority="3" operator="equal">
      <formula>"야간"</formula>
    </cfRule>
  </conditionalFormatting>
  <pageMargins left="0.25" right="0.25" top="0.75" bottom="0.75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캠퍼스별</vt:lpstr>
      <vt:lpstr>2025.11.25. 24시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김나영</dc:creator>
  <cp:lastModifiedBy>NEWKL1</cp:lastModifiedBy>
  <cp:lastPrinted>2025-11-25T08:31:08Z</cp:lastPrinted>
  <dcterms:created xsi:type="dcterms:W3CDTF">2025-09-08T01:54:17Z</dcterms:created>
  <dcterms:modified xsi:type="dcterms:W3CDTF">2026-01-23T08:59:00Z</dcterms:modified>
</cp:coreProperties>
</file>