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WKL1\Desktop\MalgnLMS\통계\"/>
    </mc:Choice>
  </mc:AlternateContent>
  <bookViews>
    <workbookView xWindow="0" yWindow="0" windowWidth="38400" windowHeight="17670" activeTab="1"/>
  </bookViews>
  <sheets>
    <sheet name="2년제학위(종합)" sheetId="1" r:id="rId1"/>
    <sheet name="학과별취업현황(종합)" sheetId="2" r:id="rId2"/>
    <sheet name="학위" sheetId="3" r:id="rId3"/>
    <sheet name="P-TECH" sheetId="4" r:id="rId4"/>
    <sheet name="심화" sheetId="5" r:id="rId5"/>
  </sheets>
  <definedNames>
    <definedName name="_xlnm._FilterDatabase" localSheetId="1" hidden="1">'학과별취업현황(종합)'!$A$5:$AR$246</definedName>
    <definedName name="_xlnm.Print_Area" localSheetId="0">'2년제학위(종합)'!$A$1:$R$47</definedName>
    <definedName name="_xlnm.Print_Titles" localSheetId="1">'학과별취업현황(종합)'!$1:$6</definedName>
  </definedNames>
  <calcPr calcId="152511" iterateDelta="0"/>
</workbook>
</file>

<file path=xl/calcChain.xml><?xml version="1.0" encoding="utf-8"?>
<calcChain xmlns="http://schemas.openxmlformats.org/spreadsheetml/2006/main">
  <c r="AR246" i="2" l="1"/>
  <c r="AR245" i="2"/>
  <c r="AR244" i="2"/>
  <c r="AR243" i="2"/>
  <c r="AR242" i="2"/>
  <c r="AR240" i="2"/>
  <c r="AR239" i="2"/>
  <c r="AR238" i="2"/>
  <c r="AR237" i="2"/>
  <c r="AR236" i="2"/>
  <c r="AR235" i="2"/>
  <c r="AR234" i="2"/>
  <c r="AR233" i="2"/>
  <c r="AR232" i="2"/>
  <c r="AR231" i="2"/>
  <c r="AR230" i="2"/>
  <c r="AR229" i="2"/>
  <c r="AR227" i="2"/>
  <c r="AR226" i="2"/>
  <c r="AR225" i="2"/>
  <c r="AR224" i="2"/>
  <c r="AR223" i="2"/>
  <c r="AR222" i="2"/>
  <c r="AR220" i="2"/>
  <c r="AR219" i="2"/>
  <c r="AR214" i="2"/>
  <c r="AR213" i="2"/>
  <c r="AR212" i="2"/>
  <c r="AR211" i="2"/>
  <c r="AR210" i="2"/>
  <c r="AR209" i="2"/>
  <c r="AR208" i="2"/>
  <c r="AR206" i="2"/>
  <c r="AR205" i="2"/>
  <c r="AR204" i="2"/>
  <c r="AR203" i="2"/>
  <c r="AR202" i="2"/>
  <c r="AR201" i="2"/>
  <c r="AR200" i="2"/>
  <c r="AR199" i="2"/>
  <c r="AR198" i="2"/>
  <c r="AR197" i="2"/>
  <c r="AR196" i="2"/>
  <c r="AR195" i="2"/>
  <c r="AR194" i="2"/>
  <c r="AR193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78" i="2"/>
  <c r="AR177" i="2"/>
  <c r="AR176" i="2"/>
  <c r="AR175" i="2"/>
  <c r="AR174" i="2"/>
  <c r="AR172" i="2"/>
  <c r="AR171" i="2"/>
  <c r="AR170" i="2"/>
  <c r="AR169" i="2"/>
  <c r="AR168" i="2"/>
  <c r="AR167" i="2"/>
  <c r="AR164" i="2"/>
  <c r="AR163" i="2"/>
  <c r="AR162" i="2"/>
  <c r="AR161" i="2"/>
  <c r="AR160" i="2"/>
  <c r="AR159" i="2"/>
  <c r="AR158" i="2"/>
  <c r="AR157" i="2"/>
  <c r="AR156" i="2"/>
  <c r="AR155" i="2"/>
  <c r="AR153" i="2"/>
  <c r="AR152" i="2"/>
  <c r="AR151" i="2"/>
  <c r="AR149" i="2"/>
  <c r="AR148" i="2"/>
  <c r="AR147" i="2"/>
  <c r="AR146" i="2"/>
  <c r="AR145" i="2"/>
  <c r="AR143" i="2"/>
  <c r="AR142" i="2"/>
  <c r="AR141" i="2"/>
  <c r="AR140" i="2"/>
  <c r="AR139" i="2"/>
  <c r="AR138" i="2" s="1"/>
  <c r="AQ138" i="2"/>
  <c r="AR127" i="2"/>
  <c r="AR126" i="2"/>
  <c r="AR125" i="2"/>
  <c r="AR124" i="2"/>
  <c r="AR123" i="2"/>
  <c r="AR122" i="2"/>
  <c r="AR121" i="2"/>
  <c r="AR117" i="2"/>
  <c r="AR115" i="2"/>
  <c r="AR114" i="2"/>
  <c r="AR113" i="2"/>
  <c r="AR112" i="2"/>
  <c r="AR111" i="2"/>
  <c r="AR110" i="2"/>
  <c r="AR107" i="2"/>
  <c r="AR106" i="2"/>
  <c r="AR105" i="2"/>
  <c r="AR104" i="2"/>
  <c r="AR102" i="2"/>
  <c r="AR99" i="2"/>
  <c r="AR98" i="2"/>
  <c r="AR97" i="2"/>
  <c r="AR96" i="2"/>
  <c r="AR95" i="2"/>
  <c r="AR94" i="2"/>
  <c r="AR93" i="2"/>
  <c r="AR92" i="2"/>
  <c r="AR91" i="2"/>
  <c r="AR90" i="2"/>
  <c r="AR89" i="2"/>
  <c r="AR86" i="2"/>
  <c r="AR85" i="2"/>
  <c r="AR83" i="2"/>
  <c r="AR82" i="2"/>
  <c r="AR81" i="2"/>
  <c r="AR80" i="2"/>
  <c r="AR79" i="2"/>
  <c r="AR78" i="2"/>
  <c r="AR6" i="2" s="1"/>
  <c r="AR5" i="2" s="1"/>
  <c r="AR71" i="2"/>
  <c r="AR69" i="2"/>
  <c r="AR68" i="2"/>
  <c r="AR67" i="2"/>
  <c r="AR66" i="2"/>
  <c r="AR65" i="2"/>
  <c r="AR64" i="2"/>
  <c r="AR63" i="2"/>
  <c r="AR60" i="2"/>
  <c r="AR57" i="2"/>
  <c r="AR56" i="2"/>
  <c r="AR55" i="2"/>
  <c r="AR54" i="2"/>
  <c r="AR53" i="2"/>
  <c r="AR52" i="2"/>
  <c r="AR51" i="2"/>
  <c r="AR50" i="2"/>
  <c r="AR49" i="2"/>
  <c r="AR48" i="2"/>
  <c r="AR46" i="2"/>
  <c r="AR45" i="2"/>
  <c r="AR43" i="2"/>
  <c r="AR39" i="2"/>
  <c r="AR38" i="2"/>
  <c r="AR37" i="2"/>
  <c r="AR36" i="2"/>
  <c r="AR35" i="2"/>
  <c r="AR34" i="2"/>
  <c r="AR32" i="2"/>
  <c r="AR31" i="2"/>
  <c r="AR30" i="2"/>
  <c r="AR29" i="2"/>
  <c r="AR28" i="2"/>
  <c r="AR27" i="2"/>
  <c r="AR26" i="2"/>
  <c r="AR25" i="2"/>
  <c r="AR24" i="2"/>
  <c r="AR22" i="2"/>
  <c r="AR20" i="2"/>
  <c r="AR18" i="2"/>
  <c r="AR16" i="2"/>
  <c r="AR15" i="2"/>
  <c r="AR14" i="2"/>
  <c r="AR13" i="2"/>
  <c r="AR12" i="2"/>
  <c r="AR11" i="2"/>
  <c r="AR10" i="2"/>
  <c r="AR9" i="2"/>
  <c r="AR8" i="2"/>
  <c r="AR7" i="2"/>
  <c r="AQ6" i="2"/>
  <c r="L6" i="1"/>
  <c r="K6" i="1"/>
  <c r="J6" i="1"/>
  <c r="I6" i="1"/>
  <c r="H6" i="1"/>
  <c r="F6" i="1"/>
  <c r="G6" i="1" s="1"/>
  <c r="E6" i="1"/>
  <c r="D6" i="1"/>
  <c r="C6" i="1"/>
  <c r="R6" i="1" l="1"/>
  <c r="P6" i="1"/>
  <c r="M6" i="1"/>
</calcChain>
</file>

<file path=xl/sharedStrings.xml><?xml version="1.0" encoding="utf-8"?>
<sst xmlns="http://schemas.openxmlformats.org/spreadsheetml/2006/main" count="1663" uniqueCount="310">
  <si>
    <t>2024년도 학위과정(2년제학위 주/야, 학위전공심화, P-TECH) 졸업생 취업률 현황</t>
  </si>
  <si>
    <t>※ 목표취업률 83% ('23년도 졸업생 / '23.12.31기준 대학정보공시 취업률 79.8%)</t>
  </si>
  <si>
    <t>[2025.1.16기준]</t>
  </si>
  <si>
    <t>대학</t>
  </si>
  <si>
    <t>캠퍼스</t>
  </si>
  <si>
    <t>정원</t>
  </si>
  <si>
    <t>졸업자</t>
  </si>
  <si>
    <t>취업
대상자</t>
  </si>
  <si>
    <t>건강(고용)보험취업</t>
  </si>
  <si>
    <t>모든업체 취업</t>
  </si>
  <si>
    <t>전기준대비</t>
  </si>
  <si>
    <t>목표(83%)
취업률대비</t>
  </si>
  <si>
    <t>23년졸업 집계 최종취업률</t>
  </si>
  <si>
    <t>전년동기
자체집계
'24.1.11</t>
  </si>
  <si>
    <t>전년
대비
증감률</t>
  </si>
  <si>
    <t>지난주
'25.1.9</t>
  </si>
  <si>
    <t>지난주
대비
증감률</t>
  </si>
  <si>
    <t>취업자</t>
  </si>
  <si>
    <t>취업률</t>
  </si>
  <si>
    <t>증감</t>
  </si>
  <si>
    <t>취직</t>
  </si>
  <si>
    <t>실직</t>
  </si>
  <si>
    <t>총 계</t>
  </si>
  <si>
    <t>Ⅰ대학</t>
  </si>
  <si>
    <t>소 계</t>
  </si>
  <si>
    <t>서울정수</t>
  </si>
  <si>
    <t>서울강서</t>
  </si>
  <si>
    <t>성남</t>
  </si>
  <si>
    <t>제주</t>
  </si>
  <si>
    <t>Ⅱ대학</t>
  </si>
  <si>
    <t>인천</t>
  </si>
  <si>
    <t>남인천</t>
  </si>
  <si>
    <t>화성</t>
  </si>
  <si>
    <t>Ⅲ대학</t>
  </si>
  <si>
    <t>춘천</t>
  </si>
  <si>
    <t>원주</t>
  </si>
  <si>
    <t>강릉</t>
  </si>
  <si>
    <t>IV대학</t>
  </si>
  <si>
    <t>대전</t>
  </si>
  <si>
    <t>청주</t>
  </si>
  <si>
    <t>아산</t>
  </si>
  <si>
    <t>충남</t>
  </si>
  <si>
    <t>Ⅴ대학</t>
  </si>
  <si>
    <t>광주</t>
  </si>
  <si>
    <t>전북</t>
  </si>
  <si>
    <t>전남</t>
  </si>
  <si>
    <t>익산</t>
  </si>
  <si>
    <t>순천</t>
  </si>
  <si>
    <t>VI대학</t>
  </si>
  <si>
    <t>대구</t>
  </si>
  <si>
    <t>구미</t>
  </si>
  <si>
    <t>영주</t>
  </si>
  <si>
    <t>영남융합</t>
  </si>
  <si>
    <t>VII대학</t>
  </si>
  <si>
    <t>창원</t>
  </si>
  <si>
    <t>부산</t>
  </si>
  <si>
    <t>울산</t>
  </si>
  <si>
    <t>동부산</t>
  </si>
  <si>
    <t>진주</t>
  </si>
  <si>
    <t>특성화</t>
  </si>
  <si>
    <t>바이오</t>
  </si>
  <si>
    <t>항공</t>
  </si>
  <si>
    <t>반도체융합</t>
  </si>
  <si>
    <t>로봇</t>
  </si>
  <si>
    <t xml:space="preserve">※ 목표취업률 </t>
  </si>
  <si>
    <t>2024년 2월 졸업자 학위과정(2년제학위 주/야, 학위전공심화, P-TECH) 취업률 현황</t>
  </si>
  <si>
    <t>[학위과정]</t>
  </si>
  <si>
    <t>[2025.1.16.기준]</t>
  </si>
  <si>
    <t>과정</t>
  </si>
  <si>
    <t>학과</t>
  </si>
  <si>
    <t>졸업자
(A)</t>
  </si>
  <si>
    <t>비취업대상자(B)</t>
  </si>
  <si>
    <t>취업
대상자
(C=A-B)</t>
  </si>
  <si>
    <t>취업률(12.31일자 취업통계대비)</t>
  </si>
  <si>
    <t>미취업자(F)</t>
  </si>
  <si>
    <t>전주대비
증감현황</t>
  </si>
  <si>
    <t>취업자( D )</t>
  </si>
  <si>
    <t>취업률
(D/C)</t>
  </si>
  <si>
    <t>모든업체(E)</t>
  </si>
  <si>
    <t>취업률
{(D+E)/C}</t>
  </si>
  <si>
    <t xml:space="preserve">소계
(F)
</t>
  </si>
  <si>
    <t>구직중</t>
  </si>
  <si>
    <t>면접대기</t>
  </si>
  <si>
    <t>취업시험
준비(공무원,공기관등)</t>
  </si>
  <si>
    <t>자격증 취득
준비</t>
  </si>
  <si>
    <t>학원수강
(편입, 요리, 미용 등)</t>
  </si>
  <si>
    <t>연수
(어학및단기
과정등)</t>
  </si>
  <si>
    <t>군입영대기</t>
  </si>
  <si>
    <t>질병</t>
  </si>
  <si>
    <t>취업포기</t>
  </si>
  <si>
    <t>연락두절</t>
  </si>
  <si>
    <t>기타</t>
  </si>
  <si>
    <t>소계
(B)</t>
  </si>
  <si>
    <t>진학</t>
  </si>
  <si>
    <t>입대</t>
  </si>
  <si>
    <t>취업불가능</t>
  </si>
  <si>
    <t>외국인유학생</t>
  </si>
  <si>
    <t>제외인정</t>
  </si>
  <si>
    <t>소계
(D</t>
  </si>
  <si>
    <t>건강
(고용)
보험</t>
  </si>
  <si>
    <t>해외취업</t>
  </si>
  <si>
    <t>농림어업종사</t>
  </si>
  <si>
    <t>개인창작활동종사</t>
  </si>
  <si>
    <t>1인창(사)업자</t>
  </si>
  <si>
    <t>프리
랜서</t>
  </si>
  <si>
    <t>소계
(E)</t>
  </si>
  <si>
    <t>보헝미가입업체</t>
  </si>
  <si>
    <t>직계회사</t>
  </si>
  <si>
    <t>대기업, 공무원등 취업확정후대기</t>
  </si>
  <si>
    <t>단기,임시및일용직</t>
  </si>
  <si>
    <t>가입자</t>
  </si>
  <si>
    <t>상실자</t>
  </si>
  <si>
    <t>총계</t>
  </si>
  <si>
    <t>계</t>
  </si>
  <si>
    <t>소계</t>
  </si>
  <si>
    <t>2년제학위</t>
  </si>
  <si>
    <t>그린에너지설비과</t>
  </si>
  <si>
    <t>메카트로닉스과</t>
  </si>
  <si>
    <t>시각디자인과</t>
  </si>
  <si>
    <t>스마트정보통신과</t>
  </si>
  <si>
    <t>산업디자인과</t>
  </si>
  <si>
    <t>자동차과</t>
  </si>
  <si>
    <t>전기과</t>
  </si>
  <si>
    <t>컴퓨터응용기계과</t>
  </si>
  <si>
    <t>컴퓨터응용기계설계과</t>
  </si>
  <si>
    <t>인공지능소프트웨어과</t>
  </si>
  <si>
    <t>기계시스템디자인과</t>
  </si>
  <si>
    <t>학위전공심화</t>
  </si>
  <si>
    <t>전기공학과</t>
  </si>
  <si>
    <t>기계설계공학과</t>
  </si>
  <si>
    <t>P-TECH</t>
  </si>
  <si>
    <t>자동차과(ICT그린자동차)</t>
  </si>
  <si>
    <t>스마트정보통신과(ICT융합전자)</t>
  </si>
  <si>
    <t>컴퓨터응용기계설계과(ICT기계가공)</t>
  </si>
  <si>
    <t>기계시스템디자인과(ICT기계가공)</t>
  </si>
  <si>
    <t>데이터분석과</t>
  </si>
  <si>
    <t>디지털콘텐츠과</t>
  </si>
  <si>
    <t>의료정보과</t>
  </si>
  <si>
    <t>정보보안과</t>
  </si>
  <si>
    <t>주얼리디자인과</t>
  </si>
  <si>
    <t>패션디자인과</t>
  </si>
  <si>
    <t>정보보안과(융합보안소프트웨어)</t>
  </si>
  <si>
    <t>스마트기계정비과</t>
  </si>
  <si>
    <t>스마트전기과</t>
  </si>
  <si>
    <t>반도체소재응용과</t>
  </si>
  <si>
    <t>AI자동화과</t>
  </si>
  <si>
    <t>IoT소프트웨어과</t>
  </si>
  <si>
    <t>융합기계과</t>
  </si>
  <si>
    <t>전자정보통신과(SW개발)</t>
  </si>
  <si>
    <t>IoT소프트웨어과(SW개발)</t>
  </si>
  <si>
    <t>소프트웨어융합디자인과</t>
  </si>
  <si>
    <t>정보통신과</t>
  </si>
  <si>
    <t>건축설계과</t>
  </si>
  <si>
    <t>기계시스템과</t>
  </si>
  <si>
    <t>방송미디어과</t>
  </si>
  <si>
    <t>산업설비자동화과</t>
  </si>
  <si>
    <t>신소재응용과</t>
  </si>
  <si>
    <t>전기에너지시스템과</t>
  </si>
  <si>
    <t>AI융합소프트웨어과</t>
  </si>
  <si>
    <t>스마트금형과</t>
  </si>
  <si>
    <t>지능기계시스템과</t>
  </si>
  <si>
    <t>AI정보통신과</t>
  </si>
  <si>
    <t>스마트재료과</t>
  </si>
  <si>
    <t>금형공학과</t>
  </si>
  <si>
    <t>메카트로닉스공학과</t>
  </si>
  <si>
    <t>자동차공학과</t>
  </si>
  <si>
    <t>정보통신공학과</t>
  </si>
  <si>
    <t>정보통신과(ICT융합전자)</t>
  </si>
  <si>
    <t>기계시스템과(ICT기계가공)</t>
  </si>
  <si>
    <t>스마트금형과(스마트금형)</t>
  </si>
  <si>
    <t>AI정보통신과(ICT융합전자)</t>
  </si>
  <si>
    <t>지능기계시스템과(ICT기계가공)</t>
  </si>
  <si>
    <t>스마트표면처리과</t>
  </si>
  <si>
    <t>스마트전기과(ICT융합제어)</t>
  </si>
  <si>
    <t xml:space="preserve"> Ⅲ대학</t>
  </si>
  <si>
    <t>미디어콘텐츠과</t>
  </si>
  <si>
    <t>산업설비과</t>
  </si>
  <si>
    <t>전기과(융합제어)</t>
  </si>
  <si>
    <t>의료공학과</t>
  </si>
  <si>
    <t>의료공학과(의료시스템제어)</t>
  </si>
  <si>
    <t>발전설비과</t>
  </si>
  <si>
    <t>산업잠수과</t>
  </si>
  <si>
    <t>Ⅳ대학</t>
  </si>
  <si>
    <t>스마트소프트웨어과</t>
  </si>
  <si>
    <t>영상디자인과</t>
  </si>
  <si>
    <t>전기전자제어과</t>
  </si>
  <si>
    <t>녹색산업설비과</t>
  </si>
  <si>
    <t>AI융합과</t>
  </si>
  <si>
    <t>스마트자동화과</t>
  </si>
  <si>
    <t>전기전자제어과(융합제어)</t>
  </si>
  <si>
    <t>반도체시스템과</t>
  </si>
  <si>
    <t>전기에너지과</t>
  </si>
  <si>
    <t>스마트팩토리ICT융합과</t>
  </si>
  <si>
    <t>반도체시스템과(ICT융합전자)</t>
  </si>
  <si>
    <t>컴퓨터응용기계과(기계융합시스템)</t>
  </si>
  <si>
    <t>방송영상과</t>
  </si>
  <si>
    <t>반도체디스플레이과</t>
  </si>
  <si>
    <t>정보통신시스템과</t>
  </si>
  <si>
    <t>자동차융합기계과</t>
  </si>
  <si>
    <t>메카트로닉스과(ICT메카트로닉스)</t>
  </si>
  <si>
    <t>자동차융합기계과(ICT기계가공)</t>
  </si>
  <si>
    <t>스마트융합설비과</t>
  </si>
  <si>
    <t>기계설비보전과</t>
  </si>
  <si>
    <t>AI자동화시스템과</t>
  </si>
  <si>
    <t>V대학</t>
  </si>
  <si>
    <t>그린건축과</t>
  </si>
  <si>
    <t>스마트전기자동차과</t>
  </si>
  <si>
    <t>전자과</t>
  </si>
  <si>
    <t>스마트팩토리과</t>
  </si>
  <si>
    <t>기계시스템과(기계시스템설계)</t>
  </si>
  <si>
    <t>Ⅴ 대학</t>
  </si>
  <si>
    <t>전북(김제)</t>
  </si>
  <si>
    <t>AI로봇자동화과</t>
  </si>
  <si>
    <t>스마트IoT과</t>
  </si>
  <si>
    <t>전남(목포)</t>
  </si>
  <si>
    <t>산업설비자동화과(스마트설비)</t>
  </si>
  <si>
    <t>나노측정과</t>
  </si>
  <si>
    <t>산업설비과(스마트설비)</t>
  </si>
  <si>
    <t>스마트전자과</t>
  </si>
  <si>
    <t>스마트제품디자인과</t>
  </si>
  <si>
    <t>스마트전자과(ICT융합전자)</t>
  </si>
  <si>
    <t>스마트제품디자인과(정밀금형)</t>
  </si>
  <si>
    <t>Ⅵ 대학</t>
  </si>
  <si>
    <t>자동화시스템과</t>
  </si>
  <si>
    <t>AI소프트웨어과</t>
  </si>
  <si>
    <t>AI전자과</t>
  </si>
  <si>
    <t>AI전자과(스마트융합전자)</t>
  </si>
  <si>
    <t>AI융합전자과</t>
  </si>
  <si>
    <t>스마트패션소재과</t>
  </si>
  <si>
    <t>3D프린팅융합디자인과</t>
  </si>
  <si>
    <t>스마트패션디자인과</t>
  </si>
  <si>
    <t>메카트로닉스과(기계장치제어)</t>
  </si>
  <si>
    <t>스마트환경시스템과</t>
  </si>
  <si>
    <t>금형가공시스템과</t>
  </si>
  <si>
    <t>기계공학과</t>
  </si>
  <si>
    <t>IT융합제어과</t>
  </si>
  <si>
    <t>금형디자인과</t>
  </si>
  <si>
    <t>자동제어시스템과</t>
  </si>
  <si>
    <t>스마트전자과(융합전기전자)</t>
  </si>
  <si>
    <t>기계과</t>
  </si>
  <si>
    <t>에너지산업설비과</t>
  </si>
  <si>
    <t>스마트제어과</t>
  </si>
  <si>
    <t>스마트전기과(융합스마트전기)</t>
  </si>
  <si>
    <t>바이오나노소재과</t>
  </si>
  <si>
    <t>바이오배양공정과</t>
  </si>
  <si>
    <t>바이오생명정보과</t>
  </si>
  <si>
    <t>바이오식품분석과</t>
  </si>
  <si>
    <t>바이오품질관리과</t>
  </si>
  <si>
    <t>바이오의약분석과</t>
  </si>
  <si>
    <t>항공기계과</t>
  </si>
  <si>
    <t>항공메카트로닉스과</t>
  </si>
  <si>
    <t>항공정비과</t>
  </si>
  <si>
    <t>항공전기전자정비과</t>
  </si>
  <si>
    <t>항공기계과(스마트기계시스템)</t>
  </si>
  <si>
    <t>반도체설계과</t>
  </si>
  <si>
    <t>반도체장비설계과</t>
  </si>
  <si>
    <t>반도체융합SW과</t>
  </si>
  <si>
    <t>반도체전기시스템과</t>
  </si>
  <si>
    <t>반도체공정장비과</t>
  </si>
  <si>
    <t>반도체품질측정과</t>
  </si>
  <si>
    <t>영상그래픽과</t>
  </si>
  <si>
    <t>반도체장비설계과(ICT기계가공)</t>
  </si>
  <si>
    <t>로봇캠퍼스</t>
  </si>
  <si>
    <t>로봇기계과</t>
  </si>
  <si>
    <t>로봇자동화과</t>
  </si>
  <si>
    <t>로봇IT과</t>
  </si>
  <si>
    <t>로봇전자과</t>
  </si>
  <si>
    <t>계열</t>
  </si>
  <si>
    <t>취업률(2025-01-16)</t>
  </si>
  <si>
    <t>2025-01-14 대비
증감현황</t>
  </si>
  <si>
    <t>취업자(D)</t>
  </si>
  <si>
    <t>취업률
((D+E)/C)</t>
  </si>
  <si>
    <t>소계
(F)</t>
  </si>
  <si>
    <t>취업시험준비(공무원,공기관등)</t>
  </si>
  <si>
    <t>자격증
취득준비</t>
  </si>
  <si>
    <t>학원수강(편입,요리,미용 등)</t>
  </si>
  <si>
    <t>연수(어학및단기과정 등)</t>
  </si>
  <si>
    <t>소계
(D)</t>
  </si>
  <si>
    <t>프리랜서</t>
  </si>
  <si>
    <t>보험미가입업체</t>
  </si>
  <si>
    <t>대기
업,
공무
원등
취업
확정
후대
기</t>
  </si>
  <si>
    <t>한국폴리텍Ⅰ</t>
  </si>
  <si>
    <t>자동화</t>
  </si>
  <si>
    <t>디자인</t>
  </si>
  <si>
    <t>전기전자</t>
  </si>
  <si>
    <t>기계</t>
  </si>
  <si>
    <t>공예</t>
  </si>
  <si>
    <t>전자</t>
  </si>
  <si>
    <t>한국폴리텍Ⅱ</t>
  </si>
  <si>
    <t>건축</t>
  </si>
  <si>
    <t>미디어</t>
  </si>
  <si>
    <t>정보통신</t>
  </si>
  <si>
    <t>금형</t>
  </si>
  <si>
    <t>정보통신IT</t>
  </si>
  <si>
    <t>신소재</t>
  </si>
  <si>
    <t>한국폴리텍Ⅲ</t>
  </si>
  <si>
    <t>한국폴리텍Ⅳ</t>
  </si>
  <si>
    <t>정보</t>
  </si>
  <si>
    <t>전기계열</t>
  </si>
  <si>
    <t>전자정보계열</t>
  </si>
  <si>
    <t>설비</t>
  </si>
  <si>
    <t>한국폴리텍Ⅴ</t>
  </si>
  <si>
    <t>한국폴리텍Ⅵ</t>
  </si>
  <si>
    <t>영남융합기술캠퍼스</t>
  </si>
  <si>
    <t>섬유</t>
  </si>
  <si>
    <t>한국폴리텍Ⅶ</t>
  </si>
  <si>
    <t>한국폴리텍 특성화</t>
  </si>
  <si>
    <t>반도체융합캠퍼스</t>
  </si>
  <si>
    <t>자동차</t>
  </si>
  <si>
    <t>대기
업,
공무
원등
취업
확정
후대
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</si>
</sst>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1" formatCode="_-* #,##0_-;\-* #,##0_-;_-* &quot;-&quot;_-;_-@_-"/>
    <numFmt numFmtId="176" formatCode="0.0%"/>
    <numFmt numFmtId="177" formatCode="m&quot;월&quot;\ d&quot;일&quot;;@"/>
    <numFmt numFmtId="178" formatCode="#,##0_ "/>
    <numFmt numFmtId="179" formatCode="0_ ;[Red]\-0\ "/>
    <numFmt numFmtId="180" formatCode="#,##0_);[Red]\(#,##0\)"/>
    <numFmt numFmtId="181" formatCode="#,##0.0%\p_ ;[Red]\-#,##0.0%\p\ "/>
    <numFmt numFmtId="182" formatCode="#,##0_ ;[Red]\-#,##0\ "/>
    <numFmt numFmtId="183" formatCode="0.0_ "/>
    <numFmt numFmtId="184" formatCode="0_);[Red]\(0\)"/>
    <numFmt numFmtId="185" formatCode="#,##0.0"/>
    <numFmt numFmtId="186" formatCode="#,##0.0_ "/>
    <numFmt numFmtId="187" formatCode="#,##0;[Red]#,##0"/>
    <numFmt numFmtId="188" formatCode="0.0"/>
    <numFmt numFmtId="189" formatCode="0.0_);[Red]\(0.0\)"/>
  </numFmts>
  <fonts count="4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7"/>
      <color rgb="FF000000"/>
      <name val="굴림체"/>
      <family val="3"/>
      <charset val="129"/>
    </font>
    <font>
      <b/>
      <sz val="6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7"/>
      <name val="굴림체"/>
      <family val="3"/>
      <charset val="129"/>
    </font>
    <font>
      <b/>
      <sz val="8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8"/>
      <color theme="1"/>
      <name val="맑은 고딕"/>
      <family val="3"/>
      <charset val="129"/>
    </font>
    <font>
      <b/>
      <sz val="9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9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7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E6FA"/>
        <bgColor rgb="FFE6E6FA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0" fontId="7" fillId="0" borderId="0">
      <alignment vertical="center"/>
    </xf>
    <xf numFmtId="0" fontId="31" fillId="0" borderId="0"/>
  </cellStyleXfs>
  <cellXfs count="462">
    <xf numFmtId="0" fontId="0" fillId="0" borderId="0" xfId="0" applyAlignment="1">
      <alignment vertical="center"/>
    </xf>
    <xf numFmtId="0" fontId="5" fillId="0" borderId="0" xfId="3" applyFont="1" applyAlignment="1">
      <alignment vertical="center"/>
    </xf>
    <xf numFmtId="0" fontId="2" fillId="0" borderId="0" xfId="3" applyAlignment="1">
      <alignment vertical="center"/>
    </xf>
    <xf numFmtId="0" fontId="5" fillId="0" borderId="2" xfId="3" applyFont="1" applyBorder="1" applyAlignment="1">
      <alignment horizontal="center" vertical="center"/>
    </xf>
    <xf numFmtId="0" fontId="2" fillId="0" borderId="5" xfId="3" applyBorder="1" applyAlignment="1">
      <alignment horizontal="center" vertical="center"/>
    </xf>
    <xf numFmtId="0" fontId="2" fillId="0" borderId="13" xfId="3" applyBorder="1" applyAlignment="1">
      <alignment horizontal="center" vertical="center"/>
    </xf>
    <xf numFmtId="0" fontId="2" fillId="0" borderId="20" xfId="3" applyBorder="1" applyAlignment="1">
      <alignment horizontal="center" vertical="center"/>
    </xf>
    <xf numFmtId="0" fontId="5" fillId="0" borderId="23" xfId="3" applyFont="1" applyBorder="1" applyAlignment="1">
      <alignment horizontal="center" vertical="center"/>
    </xf>
    <xf numFmtId="0" fontId="2" fillId="0" borderId="24" xfId="3" applyBorder="1" applyAlignment="1">
      <alignment horizontal="center" vertical="center"/>
    </xf>
    <xf numFmtId="0" fontId="2" fillId="0" borderId="0" xfId="3" applyAlignment="1">
      <alignment horizontal="center" vertical="center"/>
    </xf>
    <xf numFmtId="3" fontId="8" fillId="0" borderId="13" xfId="3" applyNumberFormat="1" applyFont="1" applyBorder="1" applyAlignment="1">
      <alignment horizontal="center" vertical="center"/>
    </xf>
    <xf numFmtId="3" fontId="5" fillId="0" borderId="2" xfId="3" applyNumberFormat="1" applyFont="1" applyBorder="1" applyAlignment="1">
      <alignment horizontal="center" vertical="center"/>
    </xf>
    <xf numFmtId="3" fontId="11" fillId="0" borderId="2" xfId="3" applyNumberFormat="1" applyFont="1" applyBorder="1" applyAlignment="1">
      <alignment horizontal="center" vertical="center"/>
    </xf>
    <xf numFmtId="3" fontId="5" fillId="0" borderId="15" xfId="3" applyNumberFormat="1" applyFont="1" applyBorder="1" applyAlignment="1">
      <alignment horizontal="center" vertical="center"/>
    </xf>
    <xf numFmtId="3" fontId="2" fillId="0" borderId="5" xfId="3" applyNumberFormat="1" applyBorder="1" applyAlignment="1">
      <alignment horizontal="center" vertical="center"/>
    </xf>
    <xf numFmtId="3" fontId="6" fillId="0" borderId="5" xfId="3" applyNumberFormat="1" applyFont="1" applyBorder="1" applyAlignment="1">
      <alignment horizontal="center" vertical="center"/>
    </xf>
    <xf numFmtId="3" fontId="2" fillId="0" borderId="13" xfId="3" applyNumberFormat="1" applyBorder="1" applyAlignment="1">
      <alignment horizontal="center" vertical="center"/>
    </xf>
    <xf numFmtId="3" fontId="6" fillId="0" borderId="13" xfId="3" applyNumberFormat="1" applyFont="1" applyBorder="1" applyAlignment="1">
      <alignment horizontal="center" vertical="center"/>
    </xf>
    <xf numFmtId="3" fontId="6" fillId="0" borderId="20" xfId="3" applyNumberFormat="1" applyFont="1" applyBorder="1" applyAlignment="1">
      <alignment horizontal="center" vertical="center"/>
    </xf>
    <xf numFmtId="3" fontId="5" fillId="0" borderId="23" xfId="3" applyNumberFormat="1" applyFont="1" applyBorder="1" applyAlignment="1">
      <alignment horizontal="center" vertical="center"/>
    </xf>
    <xf numFmtId="3" fontId="11" fillId="0" borderId="23" xfId="3" applyNumberFormat="1" applyFont="1" applyBorder="1" applyAlignment="1">
      <alignment horizontal="center" vertical="center"/>
    </xf>
    <xf numFmtId="3" fontId="2" fillId="0" borderId="24" xfId="3" applyNumberFormat="1" applyBorder="1" applyAlignment="1">
      <alignment horizontal="center" vertical="center"/>
    </xf>
    <xf numFmtId="3" fontId="6" fillId="0" borderId="24" xfId="3" applyNumberFormat="1" applyFont="1" applyBorder="1" applyAlignment="1">
      <alignment horizontal="center" vertical="center"/>
    </xf>
    <xf numFmtId="3" fontId="2" fillId="0" borderId="10" xfId="3" applyNumberFormat="1" applyBorder="1" applyAlignment="1">
      <alignment horizontal="center" vertical="center"/>
    </xf>
    <xf numFmtId="3" fontId="6" fillId="0" borderId="10" xfId="3" applyNumberFormat="1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" fillId="0" borderId="10" xfId="3" applyBorder="1" applyAlignment="1">
      <alignment horizontal="center" vertical="center"/>
    </xf>
    <xf numFmtId="3" fontId="2" fillId="0" borderId="20" xfId="3" applyNumberFormat="1" applyBorder="1" applyAlignment="1">
      <alignment horizontal="center" vertical="center"/>
    </xf>
    <xf numFmtId="3" fontId="2" fillId="0" borderId="21" xfId="3" applyNumberForma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 wrapText="1"/>
    </xf>
    <xf numFmtId="0" fontId="7" fillId="0" borderId="24" xfId="6" applyBorder="1" applyAlignment="1">
      <alignment vertical="center"/>
    </xf>
    <xf numFmtId="0" fontId="7" fillId="0" borderId="13" xfId="6" applyBorder="1" applyAlignment="1">
      <alignment vertical="center"/>
    </xf>
    <xf numFmtId="0" fontId="7" fillId="0" borderId="23" xfId="6" applyBorder="1" applyAlignment="1">
      <alignment vertical="center"/>
    </xf>
    <xf numFmtId="0" fontId="7" fillId="0" borderId="0" xfId="6" applyAlignment="1">
      <alignment vertical="center"/>
    </xf>
    <xf numFmtId="0" fontId="7" fillId="14" borderId="0" xfId="6" applyFill="1" applyAlignment="1">
      <alignment vertical="center"/>
    </xf>
    <xf numFmtId="49" fontId="19" fillId="15" borderId="45" xfId="0" applyNumberFormat="1" applyFont="1" applyFill="1" applyBorder="1" applyAlignment="1">
      <alignment horizontal="center" vertical="center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45" xfId="0" applyNumberFormat="1" applyFont="1" applyBorder="1" applyAlignment="1">
      <alignment horizontal="center" vertical="center"/>
    </xf>
    <xf numFmtId="0" fontId="23" fillId="13" borderId="0" xfId="6" applyFont="1" applyFill="1" applyAlignment="1">
      <alignment vertical="center"/>
    </xf>
    <xf numFmtId="0" fontId="26" fillId="13" borderId="0" xfId="6" applyFont="1" applyFill="1" applyAlignment="1">
      <alignment vertical="center"/>
    </xf>
    <xf numFmtId="49" fontId="19" fillId="0" borderId="45" xfId="0" applyNumberFormat="1" applyFont="1" applyBorder="1" applyAlignment="1">
      <alignment horizontal="left" vertical="center"/>
    </xf>
    <xf numFmtId="0" fontId="7" fillId="0" borderId="0" xfId="6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shrinkToFit="1"/>
    </xf>
    <xf numFmtId="0" fontId="30" fillId="2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29" fillId="19" borderId="19" xfId="7" applyFont="1" applyFill="1" applyBorder="1" applyAlignment="1">
      <alignment horizontal="center" vertical="center"/>
    </xf>
    <xf numFmtId="0" fontId="29" fillId="19" borderId="20" xfId="7" applyFont="1" applyFill="1" applyBorder="1" applyAlignment="1">
      <alignment vertical="center"/>
    </xf>
    <xf numFmtId="0" fontId="29" fillId="19" borderId="20" xfId="7" applyFont="1" applyFill="1" applyBorder="1" applyAlignment="1">
      <alignment vertical="center" shrinkToFit="1"/>
    </xf>
    <xf numFmtId="3" fontId="32" fillId="19" borderId="20" xfId="0" applyNumberFormat="1" applyFont="1" applyFill="1" applyBorder="1" applyAlignment="1">
      <alignment horizontal="center" vertical="center"/>
    </xf>
    <xf numFmtId="3" fontId="30" fillId="19" borderId="20" xfId="0" applyNumberFormat="1" applyFont="1" applyFill="1" applyBorder="1" applyAlignment="1">
      <alignment horizontal="center" vertical="center"/>
    </xf>
    <xf numFmtId="3" fontId="30" fillId="19" borderId="21" xfId="0" applyNumberFormat="1" applyFont="1" applyFill="1" applyBorder="1" applyAlignment="1">
      <alignment horizontal="center" vertical="center"/>
    </xf>
    <xf numFmtId="3" fontId="30" fillId="19" borderId="27" xfId="0" applyNumberFormat="1" applyFont="1" applyFill="1" applyBorder="1" applyAlignment="1">
      <alignment horizontal="center" vertical="center"/>
    </xf>
    <xf numFmtId="0" fontId="29" fillId="5" borderId="22" xfId="7" applyFont="1" applyFill="1" applyBorder="1" applyAlignment="1">
      <alignment horizontal="center" vertical="center"/>
    </xf>
    <xf numFmtId="3" fontId="30" fillId="5" borderId="23" xfId="0" applyNumberFormat="1" applyFont="1" applyFill="1" applyBorder="1" applyAlignment="1">
      <alignment horizontal="center" vertical="center"/>
    </xf>
    <xf numFmtId="3" fontId="30" fillId="5" borderId="8" xfId="0" applyNumberFormat="1" applyFont="1" applyFill="1" applyBorder="1" applyAlignment="1">
      <alignment horizontal="center" vertical="center"/>
    </xf>
    <xf numFmtId="0" fontId="0" fillId="19" borderId="5" xfId="0" applyFill="1" applyBorder="1" applyAlignment="1">
      <alignment vertical="center"/>
    </xf>
    <xf numFmtId="0" fontId="29" fillId="20" borderId="4" xfId="7" applyFont="1" applyFill="1" applyBorder="1" applyAlignment="1">
      <alignment horizontal="center" vertical="center"/>
    </xf>
    <xf numFmtId="0" fontId="30" fillId="20" borderId="5" xfId="0" applyFont="1" applyFill="1" applyBorder="1" applyAlignment="1">
      <alignment horizontal="center" vertical="center" shrinkToFit="1"/>
    </xf>
    <xf numFmtId="3" fontId="30" fillId="20" borderId="5" xfId="0" applyNumberFormat="1" applyFont="1" applyFill="1" applyBorder="1" applyAlignment="1">
      <alignment horizontal="center" vertical="center"/>
    </xf>
    <xf numFmtId="0" fontId="29" fillId="0" borderId="4" xfId="7" applyFont="1" applyBorder="1" applyAlignment="1">
      <alignment horizontal="center" vertical="center"/>
    </xf>
    <xf numFmtId="49" fontId="33" fillId="0" borderId="5" xfId="7" applyNumberFormat="1" applyFont="1" applyBorder="1" applyAlignment="1" applyProtection="1">
      <alignment horizontal="left" vertical="center" wrapText="1"/>
      <protection locked="0"/>
    </xf>
    <xf numFmtId="0" fontId="33" fillId="0" borderId="5" xfId="7" applyFont="1" applyBorder="1" applyAlignment="1" applyProtection="1">
      <alignment horizontal="center" vertical="center" wrapText="1"/>
      <protection locked="0"/>
    </xf>
    <xf numFmtId="0" fontId="33" fillId="0" borderId="16" xfId="7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/>
    </xf>
    <xf numFmtId="0" fontId="33" fillId="0" borderId="4" xfId="7" applyFont="1" applyBorder="1" applyAlignment="1">
      <alignment horizontal="center" vertical="center"/>
    </xf>
    <xf numFmtId="49" fontId="33" fillId="2" borderId="5" xfId="7" applyNumberFormat="1" applyFont="1" applyFill="1" applyBorder="1" applyAlignment="1" applyProtection="1">
      <alignment horizontal="left" vertical="center" wrapText="1"/>
      <protection locked="0"/>
    </xf>
    <xf numFmtId="49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49" fontId="33" fillId="2" borderId="16" xfId="7" applyNumberFormat="1" applyFont="1" applyFill="1" applyBorder="1" applyAlignment="1" applyProtection="1">
      <alignment horizontal="center" vertical="center" wrapText="1"/>
      <protection locked="0"/>
    </xf>
    <xf numFmtId="0" fontId="33" fillId="0" borderId="16" xfId="3" applyFont="1" applyBorder="1" applyAlignment="1">
      <alignment horizontal="center" vertical="center" shrinkToFit="1"/>
    </xf>
    <xf numFmtId="0" fontId="33" fillId="0" borderId="5" xfId="3" applyFont="1" applyBorder="1" applyAlignment="1">
      <alignment horizontal="left" vertical="center" shrinkToFit="1"/>
    </xf>
    <xf numFmtId="0" fontId="34" fillId="20" borderId="5" xfId="0" applyFont="1" applyFill="1" applyBorder="1" applyAlignment="1">
      <alignment horizontal="center" vertical="center" shrinkToFit="1"/>
    </xf>
    <xf numFmtId="3" fontId="34" fillId="20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5" xfId="7" applyFont="1" applyBorder="1" applyAlignment="1">
      <alignment horizontal="center" vertical="center"/>
    </xf>
    <xf numFmtId="49" fontId="33" fillId="2" borderId="32" xfId="7" applyNumberFormat="1" applyFont="1" applyFill="1" applyBorder="1" applyAlignment="1" applyProtection="1">
      <alignment horizontal="left" vertical="center" wrapText="1"/>
      <protection locked="0"/>
    </xf>
    <xf numFmtId="0" fontId="2" fillId="5" borderId="4" xfId="7" applyFont="1" applyFill="1" applyBorder="1" applyAlignment="1">
      <alignment horizontal="center" vertical="center"/>
    </xf>
    <xf numFmtId="3" fontId="34" fillId="5" borderId="5" xfId="0" applyNumberFormat="1" applyFont="1" applyFill="1" applyBorder="1" applyAlignment="1">
      <alignment horizontal="center" vertical="center"/>
    </xf>
    <xf numFmtId="0" fontId="2" fillId="20" borderId="4" xfId="7" applyFont="1" applyFill="1" applyBorder="1" applyAlignment="1">
      <alignment horizontal="center" vertical="center"/>
    </xf>
    <xf numFmtId="3" fontId="30" fillId="20" borderId="29" xfId="0" applyNumberFormat="1" applyFont="1" applyFill="1" applyBorder="1" applyAlignment="1">
      <alignment horizontal="center" vertical="center"/>
    </xf>
    <xf numFmtId="49" fontId="33" fillId="0" borderId="5" xfId="3" applyNumberFormat="1" applyFont="1" applyBorder="1" applyAlignment="1">
      <alignment horizontal="center" vertical="center" shrinkToFit="1"/>
    </xf>
    <xf numFmtId="49" fontId="33" fillId="0" borderId="29" xfId="3" applyNumberFormat="1" applyFont="1" applyBorder="1" applyAlignment="1">
      <alignment horizontal="left" vertical="center" shrinkToFit="1"/>
    </xf>
    <xf numFmtId="49" fontId="33" fillId="0" borderId="16" xfId="3" applyNumberFormat="1" applyFont="1" applyBorder="1" applyAlignment="1">
      <alignment horizontal="center" vertical="center" shrinkToFit="1"/>
    </xf>
    <xf numFmtId="49" fontId="33" fillId="0" borderId="29" xfId="3" applyNumberFormat="1" applyFont="1" applyBorder="1" applyAlignment="1">
      <alignment horizontal="center" vertical="center" shrinkToFit="1"/>
    </xf>
    <xf numFmtId="0" fontId="2" fillId="0" borderId="4" xfId="7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4" fillId="20" borderId="16" xfId="0" applyNumberFormat="1" applyFont="1" applyFill="1" applyBorder="1" applyAlignment="1">
      <alignment horizontal="center" vertical="center"/>
    </xf>
    <xf numFmtId="0" fontId="0" fillId="5" borderId="4" xfId="7" applyFont="1" applyFill="1" applyBorder="1" applyAlignment="1">
      <alignment horizontal="center" vertical="center"/>
    </xf>
    <xf numFmtId="0" fontId="0" fillId="20" borderId="4" xfId="7" applyFont="1" applyFill="1" applyBorder="1" applyAlignment="1">
      <alignment horizontal="center" vertical="center"/>
    </xf>
    <xf numFmtId="0" fontId="0" fillId="0" borderId="4" xfId="7" applyFont="1" applyBorder="1" applyAlignment="1">
      <alignment horizontal="center" vertical="center"/>
    </xf>
    <xf numFmtId="49" fontId="33" fillId="0" borderId="5" xfId="3" applyNumberFormat="1" applyFont="1" applyBorder="1" applyAlignment="1">
      <alignment horizontal="left" vertical="center" shrinkToFit="1"/>
    </xf>
    <xf numFmtId="49" fontId="33" fillId="0" borderId="5" xfId="7" applyNumberFormat="1" applyFont="1" applyBorder="1" applyAlignment="1" applyProtection="1">
      <alignment horizontal="center" vertical="center" wrapText="1"/>
      <protection locked="0"/>
    </xf>
    <xf numFmtId="3" fontId="33" fillId="2" borderId="5" xfId="7" applyNumberFormat="1" applyFont="1" applyFill="1" applyBorder="1" applyAlignment="1" applyProtection="1">
      <alignment horizontal="left" vertical="center" wrapText="1"/>
      <protection locked="0"/>
    </xf>
    <xf numFmtId="3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3" fontId="33" fillId="2" borderId="16" xfId="7" applyNumberFormat="1" applyFont="1" applyFill="1" applyBorder="1" applyAlignment="1" applyProtection="1">
      <alignment horizontal="center" vertical="center" wrapText="1"/>
      <protection locked="0"/>
    </xf>
    <xf numFmtId="0" fontId="29" fillId="5" borderId="4" xfId="7" applyFont="1" applyFill="1" applyBorder="1" applyAlignment="1">
      <alignment horizontal="center" vertical="center" shrinkToFit="1"/>
    </xf>
    <xf numFmtId="3" fontId="34" fillId="5" borderId="5" xfId="0" applyNumberFormat="1" applyFont="1" applyFill="1" applyBorder="1" applyAlignment="1">
      <alignment horizontal="center" vertical="center" shrinkToFit="1"/>
    </xf>
    <xf numFmtId="3" fontId="34" fillId="5" borderId="16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29" fillId="0" borderId="4" xfId="7" applyFont="1" applyBorder="1" applyAlignment="1">
      <alignment horizontal="center" vertical="center" shrinkToFit="1"/>
    </xf>
    <xf numFmtId="3" fontId="34" fillId="20" borderId="5" xfId="0" applyNumberFormat="1" applyFont="1" applyFill="1" applyBorder="1" applyAlignment="1">
      <alignment horizontal="center" vertical="center" shrinkToFit="1"/>
    </xf>
    <xf numFmtId="0" fontId="33" fillId="2" borderId="5" xfId="7" applyFont="1" applyFill="1" applyBorder="1" applyAlignment="1">
      <alignment horizontal="center" vertical="center" shrinkToFit="1"/>
    </xf>
    <xf numFmtId="49" fontId="33" fillId="2" borderId="5" xfId="7" applyNumberFormat="1" applyFont="1" applyFill="1" applyBorder="1" applyAlignment="1" applyProtection="1">
      <alignment horizontal="left" vertical="center" shrinkToFit="1"/>
      <protection locked="0"/>
    </xf>
    <xf numFmtId="49" fontId="33" fillId="2" borderId="5" xfId="7" applyNumberFormat="1" applyFont="1" applyFill="1" applyBorder="1" applyAlignment="1" applyProtection="1">
      <alignment horizontal="center" vertical="center" shrinkToFit="1"/>
      <protection locked="0"/>
    </xf>
    <xf numFmtId="49" fontId="33" fillId="2" borderId="16" xfId="7" applyNumberFormat="1" applyFont="1" applyFill="1" applyBorder="1" applyAlignment="1" applyProtection="1">
      <alignment horizontal="center" vertical="center" shrinkToFit="1"/>
      <protection locked="0"/>
    </xf>
    <xf numFmtId="0" fontId="29" fillId="2" borderId="4" xfId="7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 shrinkToFit="1"/>
    </xf>
    <xf numFmtId="0" fontId="33" fillId="0" borderId="5" xfId="0" applyFont="1" applyBorder="1" applyAlignment="1">
      <alignment horizontal="center" vertical="center" shrinkToFit="1"/>
    </xf>
    <xf numFmtId="3" fontId="34" fillId="20" borderId="16" xfId="0" applyNumberFormat="1" applyFont="1" applyFill="1" applyBorder="1" applyAlignment="1">
      <alignment horizontal="center" vertical="center" shrinkToFit="1"/>
    </xf>
    <xf numFmtId="0" fontId="33" fillId="2" borderId="5" xfId="0" applyFont="1" applyFill="1" applyBorder="1" applyAlignment="1">
      <alignment horizontal="center" vertical="center" shrinkToFit="1"/>
    </xf>
    <xf numFmtId="49" fontId="33" fillId="2" borderId="29" xfId="7" applyNumberFormat="1" applyFont="1" applyFill="1" applyBorder="1" applyAlignment="1" applyProtection="1">
      <alignment horizontal="center" vertical="center" shrinkToFit="1"/>
      <protection locked="0"/>
    </xf>
    <xf numFmtId="0" fontId="33" fillId="0" borderId="5" xfId="7" applyFont="1" applyBorder="1" applyAlignment="1">
      <alignment horizontal="center" vertical="center" shrinkToFit="1"/>
    </xf>
    <xf numFmtId="49" fontId="35" fillId="2" borderId="29" xfId="7" applyNumberFormat="1" applyFont="1" applyFill="1" applyBorder="1" applyAlignment="1" applyProtection="1">
      <alignment horizontal="left" vertical="center" shrinkToFit="1"/>
      <protection locked="0"/>
    </xf>
    <xf numFmtId="49" fontId="35" fillId="2" borderId="5" xfId="7" applyNumberFormat="1" applyFont="1" applyFill="1" applyBorder="1" applyAlignment="1" applyProtection="1">
      <alignment horizontal="left" vertical="center" shrinkToFit="1"/>
      <protection locked="0"/>
    </xf>
    <xf numFmtId="0" fontId="29" fillId="5" borderId="4" xfId="7" applyFont="1" applyFill="1" applyBorder="1" applyAlignment="1">
      <alignment horizontal="center" vertical="center"/>
    </xf>
    <xf numFmtId="49" fontId="33" fillId="0" borderId="5" xfId="7" applyNumberFormat="1" applyFont="1" applyBorder="1" applyAlignment="1" applyProtection="1">
      <alignment horizontal="left" vertical="center" shrinkToFit="1"/>
      <protection locked="0"/>
    </xf>
    <xf numFmtId="49" fontId="33" fillId="0" borderId="5" xfId="7" applyNumberFormat="1" applyFont="1" applyBorder="1" applyAlignment="1" applyProtection="1">
      <alignment horizontal="center" vertical="center" shrinkToFit="1"/>
      <protection locked="0"/>
    </xf>
    <xf numFmtId="0" fontId="33" fillId="0" borderId="29" xfId="3" applyFont="1" applyBorder="1" applyAlignment="1">
      <alignment horizontal="center" vertical="center" shrinkToFit="1"/>
    </xf>
    <xf numFmtId="3" fontId="34" fillId="5" borderId="16" xfId="0" applyNumberFormat="1" applyFont="1" applyFill="1" applyBorder="1" applyAlignment="1">
      <alignment horizontal="center" vertical="center"/>
    </xf>
    <xf numFmtId="49" fontId="33" fillId="14" borderId="5" xfId="7" applyNumberFormat="1" applyFont="1" applyFill="1" applyBorder="1" applyAlignment="1" applyProtection="1">
      <alignment horizontal="center" vertical="center" shrinkToFit="1"/>
      <protection locked="0"/>
    </xf>
    <xf numFmtId="0" fontId="33" fillId="2" borderId="5" xfId="0" applyFont="1" applyFill="1" applyBorder="1" applyAlignment="1">
      <alignment horizontal="center" vertical="center"/>
    </xf>
    <xf numFmtId="49" fontId="33" fillId="2" borderId="5" xfId="1" applyNumberFormat="1" applyFont="1" applyFill="1" applyBorder="1" applyAlignment="1">
      <alignment horizontal="left" vertical="center"/>
    </xf>
    <xf numFmtId="49" fontId="33" fillId="2" borderId="5" xfId="1" applyNumberFormat="1" applyFont="1" applyFill="1" applyBorder="1" applyAlignment="1">
      <alignment horizontal="center" vertical="center"/>
    </xf>
    <xf numFmtId="49" fontId="33" fillId="2" borderId="16" xfId="1" applyNumberFormat="1" applyFont="1" applyFill="1" applyBorder="1" applyAlignment="1">
      <alignment horizontal="center" vertical="center"/>
    </xf>
    <xf numFmtId="0" fontId="6" fillId="0" borderId="5" xfId="7" applyFont="1" applyBorder="1" applyAlignment="1">
      <alignment horizontal="center" vertical="center"/>
    </xf>
    <xf numFmtId="0" fontId="33" fillId="2" borderId="5" xfId="7" applyFont="1" applyFill="1" applyBorder="1" applyAlignment="1">
      <alignment horizontal="center" vertical="center"/>
    </xf>
    <xf numFmtId="0" fontId="29" fillId="2" borderId="4" xfId="7" applyFont="1" applyFill="1" applyBorder="1" applyAlignment="1">
      <alignment horizontal="center" vertical="center"/>
    </xf>
    <xf numFmtId="0" fontId="6" fillId="2" borderId="5" xfId="7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29" fillId="2" borderId="29" xfId="1" applyNumberFormat="1" applyFont="1" applyFill="1" applyBorder="1" applyAlignment="1">
      <alignment horizontal="center" vertical="center"/>
    </xf>
    <xf numFmtId="49" fontId="29" fillId="2" borderId="5" xfId="1" applyNumberFormat="1" applyFont="1" applyFill="1" applyBorder="1" applyAlignment="1">
      <alignment horizontal="center" vertical="center"/>
    </xf>
    <xf numFmtId="0" fontId="0" fillId="19" borderId="24" xfId="0" applyFill="1" applyBorder="1" applyAlignment="1">
      <alignment vertical="center"/>
    </xf>
    <xf numFmtId="0" fontId="33" fillId="0" borderId="30" xfId="3" applyFont="1" applyBorder="1" applyAlignment="1">
      <alignment horizontal="center" vertical="center" shrinkToFit="1"/>
    </xf>
    <xf numFmtId="0" fontId="0" fillId="19" borderId="23" xfId="0" applyFill="1" applyBorder="1" applyAlignment="1">
      <alignment vertical="center"/>
    </xf>
    <xf numFmtId="0" fontId="33" fillId="2" borderId="5" xfId="7" applyFont="1" applyFill="1" applyBorder="1" applyAlignment="1" applyProtection="1">
      <alignment horizontal="center" vertical="center" wrapText="1"/>
      <protection locked="0"/>
    </xf>
    <xf numFmtId="0" fontId="29" fillId="0" borderId="9" xfId="7" applyFont="1" applyBorder="1" applyAlignment="1">
      <alignment horizontal="center" vertical="center"/>
    </xf>
    <xf numFmtId="0" fontId="33" fillId="2" borderId="10" xfId="7" applyFont="1" applyFill="1" applyBorder="1" applyAlignment="1">
      <alignment horizontal="center" vertical="center"/>
    </xf>
    <xf numFmtId="0" fontId="33" fillId="0" borderId="10" xfId="7" applyFont="1" applyBorder="1" applyAlignment="1">
      <alignment horizontal="center" vertical="center"/>
    </xf>
    <xf numFmtId="49" fontId="33" fillId="2" borderId="10" xfId="7" applyNumberFormat="1" applyFont="1" applyFill="1" applyBorder="1" applyAlignment="1" applyProtection="1">
      <alignment horizontal="left" vertical="center" shrinkToFit="1"/>
      <protection locked="0"/>
    </xf>
    <xf numFmtId="0" fontId="33" fillId="2" borderId="10" xfId="7" applyFont="1" applyFill="1" applyBorder="1" applyAlignment="1" applyProtection="1">
      <alignment horizontal="center" vertical="center" shrinkToFit="1"/>
      <protection locked="0"/>
    </xf>
    <xf numFmtId="49" fontId="33" fillId="2" borderId="10" xfId="7" applyNumberFormat="1" applyFont="1" applyFill="1" applyBorder="1" applyAlignment="1" applyProtection="1">
      <alignment horizontal="center" vertical="center" shrinkToFit="1"/>
      <protection locked="0"/>
    </xf>
    <xf numFmtId="0" fontId="33" fillId="2" borderId="5" xfId="7" applyFont="1" applyFill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center" vertical="center"/>
    </xf>
    <xf numFmtId="49" fontId="9" fillId="0" borderId="5" xfId="3" applyNumberFormat="1" applyFont="1" applyBorder="1" applyAlignment="1">
      <alignment horizontal="center" vertical="center" shrinkToFit="1"/>
    </xf>
    <xf numFmtId="49" fontId="9" fillId="2" borderId="5" xfId="7" applyNumberFormat="1" applyFont="1" applyFill="1" applyBorder="1" applyAlignment="1" applyProtection="1">
      <alignment horizontal="center" vertical="center" shrinkToFit="1"/>
      <protection locked="0"/>
    </xf>
    <xf numFmtId="3" fontId="9" fillId="20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3" fillId="0" borderId="5" xfId="3" applyFont="1" applyBorder="1" applyAlignment="1">
      <alignment horizontal="center" vertical="center" shrinkToFit="1"/>
    </xf>
    <xf numFmtId="0" fontId="5" fillId="0" borderId="33" xfId="3" applyFont="1" applyBorder="1" applyAlignment="1">
      <alignment vertical="center"/>
    </xf>
    <xf numFmtId="0" fontId="2" fillId="0" borderId="5" xfId="3" applyBorder="1" applyAlignment="1">
      <alignment horizontal="center" vertical="center" shrinkToFit="1"/>
    </xf>
    <xf numFmtId="0" fontId="5" fillId="0" borderId="0" xfId="3" applyFont="1" applyAlignment="1">
      <alignment horizontal="left" vertical="center"/>
    </xf>
    <xf numFmtId="9" fontId="12" fillId="0" borderId="0" xfId="3" applyNumberFormat="1" applyFont="1" applyAlignment="1">
      <alignment horizontal="center" vertical="center"/>
    </xf>
    <xf numFmtId="49" fontId="2" fillId="0" borderId="16" xfId="4" applyNumberFormat="1" applyBorder="1" applyAlignment="1">
      <alignment horizontal="center" vertical="center" shrinkToFit="1"/>
    </xf>
    <xf numFmtId="49" fontId="2" fillId="0" borderId="11" xfId="4" applyNumberFormat="1" applyBorder="1" applyAlignment="1">
      <alignment horizontal="center" vertical="center" shrinkToFit="1"/>
    </xf>
    <xf numFmtId="49" fontId="2" fillId="0" borderId="54" xfId="4" applyNumberFormat="1" applyBorder="1" applyAlignment="1">
      <alignment horizontal="center" vertical="center" shrinkToFit="1"/>
    </xf>
    <xf numFmtId="49" fontId="2" fillId="0" borderId="57" xfId="4" applyNumberFormat="1" applyBorder="1" applyAlignment="1">
      <alignment horizontal="center" vertical="center" shrinkToFit="1"/>
    </xf>
    <xf numFmtId="0" fontId="7" fillId="4" borderId="0" xfId="6" applyFill="1" applyAlignment="1">
      <alignment vertical="center"/>
    </xf>
    <xf numFmtId="0" fontId="38" fillId="0" borderId="10" xfId="3" applyFont="1" applyBorder="1" applyAlignment="1">
      <alignment horizontal="center" vertical="center" wrapText="1"/>
    </xf>
    <xf numFmtId="0" fontId="38" fillId="0" borderId="11" xfId="3" applyFont="1" applyBorder="1" applyAlignment="1">
      <alignment horizontal="center" vertical="center"/>
    </xf>
    <xf numFmtId="49" fontId="2" fillId="0" borderId="58" xfId="4" applyNumberFormat="1" applyBorder="1" applyAlignment="1">
      <alignment horizontal="center" vertical="center" shrinkToFit="1"/>
    </xf>
    <xf numFmtId="49" fontId="2" fillId="0" borderId="59" xfId="4" applyNumberFormat="1" applyBorder="1" applyAlignment="1">
      <alignment horizontal="center" vertical="center" shrinkToFit="1"/>
    </xf>
    <xf numFmtId="0" fontId="3" fillId="0" borderId="0" xfId="3" applyFont="1" applyAlignment="1">
      <alignment vertical="center"/>
    </xf>
    <xf numFmtId="0" fontId="39" fillId="0" borderId="10" xfId="3" applyFont="1" applyBorder="1" applyAlignment="1">
      <alignment horizontal="center" vertical="center" wrapText="1"/>
    </xf>
    <xf numFmtId="0" fontId="38" fillId="0" borderId="10" xfId="3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49" fontId="17" fillId="11" borderId="45" xfId="0" applyNumberFormat="1" applyFont="1" applyFill="1" applyBorder="1" applyAlignment="1">
      <alignment horizontal="center" vertical="center" wrapText="1"/>
    </xf>
    <xf numFmtId="49" fontId="17" fillId="6" borderId="39" xfId="0" applyNumberFormat="1" applyFont="1" applyFill="1" applyBorder="1" applyAlignment="1">
      <alignment horizontal="center" vertical="center" wrapText="1"/>
    </xf>
    <xf numFmtId="49" fontId="17" fillId="6" borderId="40" xfId="0" applyNumberFormat="1" applyFont="1" applyFill="1" applyBorder="1" applyAlignment="1">
      <alignment horizontal="center" vertical="center" wrapText="1"/>
    </xf>
    <xf numFmtId="49" fontId="17" fillId="6" borderId="44" xfId="0" applyNumberFormat="1" applyFont="1" applyFill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176" fontId="2" fillId="0" borderId="0" xfId="3" applyNumberFormat="1" applyAlignment="1">
      <alignment horizontal="center" vertical="center"/>
    </xf>
    <xf numFmtId="0" fontId="0" fillId="0" borderId="0" xfId="0" applyAlignment="1"/>
    <xf numFmtId="177" fontId="5" fillId="0" borderId="0" xfId="3" applyNumberFormat="1" applyFont="1" applyAlignment="1">
      <alignment horizontal="center" vertical="center"/>
    </xf>
    <xf numFmtId="177" fontId="5" fillId="0" borderId="0" xfId="3" applyNumberFormat="1" applyFont="1" applyAlignment="1">
      <alignment horizontal="right" vertical="center"/>
    </xf>
    <xf numFmtId="177" fontId="3" fillId="0" borderId="0" xfId="3" applyNumberFormat="1" applyFont="1" applyAlignment="1">
      <alignment vertical="center"/>
    </xf>
    <xf numFmtId="176" fontId="9" fillId="0" borderId="10" xfId="3" applyNumberFormat="1" applyFont="1" applyBorder="1" applyAlignment="1">
      <alignment horizontal="center" vertical="center" wrapText="1"/>
    </xf>
    <xf numFmtId="178" fontId="8" fillId="2" borderId="13" xfId="3" applyNumberFormat="1" applyFont="1" applyFill="1" applyBorder="1" applyAlignment="1">
      <alignment horizontal="center" vertical="center"/>
    </xf>
    <xf numFmtId="178" fontId="9" fillId="2" borderId="13" xfId="3" applyNumberFormat="1" applyFont="1" applyFill="1" applyBorder="1" applyAlignment="1">
      <alignment horizontal="center" vertical="center"/>
    </xf>
    <xf numFmtId="176" fontId="10" fillId="3" borderId="13" xfId="4" applyNumberFormat="1" applyFont="1" applyFill="1" applyBorder="1" applyAlignment="1">
      <alignment horizontal="center" vertical="center"/>
    </xf>
    <xf numFmtId="178" fontId="5" fillId="2" borderId="13" xfId="3" applyNumberFormat="1" applyFont="1" applyFill="1" applyBorder="1" applyAlignment="1">
      <alignment horizontal="center" vertical="center"/>
    </xf>
    <xf numFmtId="176" fontId="5" fillId="2" borderId="13" xfId="3" applyNumberFormat="1" applyFont="1" applyFill="1" applyBorder="1" applyAlignment="1">
      <alignment horizontal="center" vertical="center"/>
    </xf>
    <xf numFmtId="179" fontId="8" fillId="2" borderId="13" xfId="5" applyNumberFormat="1" applyFont="1" applyFill="1" applyBorder="1" applyAlignment="1">
      <alignment horizontal="center" vertical="center"/>
    </xf>
    <xf numFmtId="180" fontId="8" fillId="2" borderId="13" xfId="5" applyNumberFormat="1" applyFont="1" applyFill="1" applyBorder="1" applyAlignment="1">
      <alignment horizontal="center" vertical="center"/>
    </xf>
    <xf numFmtId="180" fontId="8" fillId="2" borderId="14" xfId="5" applyNumberFormat="1" applyFont="1" applyFill="1" applyBorder="1" applyAlignment="1">
      <alignment horizontal="center" vertical="center"/>
    </xf>
    <xf numFmtId="181" fontId="8" fillId="14" borderId="60" xfId="5" applyNumberFormat="1" applyFont="1" applyFill="1" applyBorder="1" applyAlignment="1">
      <alignment horizontal="center" vertical="center"/>
    </xf>
    <xf numFmtId="176" fontId="11" fillId="21" borderId="61" xfId="4" applyNumberFormat="1" applyFont="1" applyFill="1" applyBorder="1" applyAlignment="1">
      <alignment horizontal="center" vertical="center" shrinkToFit="1"/>
    </xf>
    <xf numFmtId="176" fontId="5" fillId="5" borderId="26" xfId="3" applyNumberFormat="1" applyFont="1" applyFill="1" applyBorder="1" applyAlignment="1">
      <alignment horizontal="center" vertical="center" shrinkToFit="1"/>
    </xf>
    <xf numFmtId="181" fontId="5" fillId="22" borderId="14" xfId="3" applyNumberFormat="1" applyFont="1" applyFill="1" applyBorder="1" applyAlignment="1">
      <alignment horizontal="center" vertical="center" shrinkToFit="1"/>
    </xf>
    <xf numFmtId="176" fontId="5" fillId="5" borderId="51" xfId="3" applyNumberFormat="1" applyFont="1" applyFill="1" applyBorder="1" applyAlignment="1">
      <alignment horizontal="center" vertical="center" shrinkToFit="1"/>
    </xf>
    <xf numFmtId="181" fontId="5" fillId="5" borderId="14" xfId="3" applyNumberFormat="1" applyFont="1" applyFill="1" applyBorder="1" applyAlignment="1">
      <alignment horizontal="center" vertical="center" shrinkToFit="1"/>
    </xf>
    <xf numFmtId="176" fontId="2" fillId="0" borderId="0" xfId="3" applyNumberFormat="1" applyAlignment="1">
      <alignment vertical="center"/>
    </xf>
    <xf numFmtId="176" fontId="11" fillId="17" borderId="2" xfId="4" applyNumberFormat="1" applyFont="1" applyFill="1" applyBorder="1" applyAlignment="1">
      <alignment horizontal="center" vertical="center"/>
    </xf>
    <xf numFmtId="176" fontId="5" fillId="0" borderId="2" xfId="4" applyNumberFormat="1" applyFont="1" applyBorder="1" applyAlignment="1">
      <alignment horizontal="center" vertical="center"/>
    </xf>
    <xf numFmtId="179" fontId="5" fillId="0" borderId="2" xfId="3" applyNumberFormat="1" applyFont="1" applyBorder="1" applyAlignment="1">
      <alignment horizontal="center" vertical="center"/>
    </xf>
    <xf numFmtId="181" fontId="5" fillId="0" borderId="1" xfId="3" applyNumberFormat="1" applyFont="1" applyBorder="1" applyAlignment="1">
      <alignment horizontal="center" vertical="center"/>
    </xf>
    <xf numFmtId="176" fontId="5" fillId="0" borderId="56" xfId="4" applyNumberFormat="1" applyFont="1" applyBorder="1" applyAlignment="1">
      <alignment horizontal="center" vertical="center" shrinkToFit="1"/>
    </xf>
    <xf numFmtId="176" fontId="5" fillId="0" borderId="28" xfId="4" applyNumberFormat="1" applyFont="1" applyBorder="1" applyAlignment="1">
      <alignment horizontal="center" vertical="center" shrinkToFit="1"/>
    </xf>
    <xf numFmtId="181" fontId="2" fillId="2" borderId="15" xfId="3" applyNumberFormat="1" applyFill="1" applyBorder="1" applyAlignment="1">
      <alignment horizontal="center" vertical="center" shrinkToFit="1"/>
    </xf>
    <xf numFmtId="176" fontId="6" fillId="17" borderId="5" xfId="4" applyNumberFormat="1" applyFont="1" applyFill="1" applyBorder="1" applyAlignment="1">
      <alignment horizontal="center" vertical="center"/>
    </xf>
    <xf numFmtId="176" fontId="0" fillId="0" borderId="5" xfId="4" applyNumberFormat="1" applyFont="1" applyBorder="1" applyAlignment="1">
      <alignment horizontal="center" vertical="center"/>
    </xf>
    <xf numFmtId="179" fontId="2" fillId="0" borderId="5" xfId="5" applyNumberFormat="1" applyBorder="1" applyAlignment="1">
      <alignment horizontal="center" vertical="center"/>
    </xf>
    <xf numFmtId="182" fontId="0" fillId="0" borderId="5" xfId="5" applyNumberFormat="1" applyFont="1" applyBorder="1" applyAlignment="1">
      <alignment horizontal="center" vertical="center"/>
    </xf>
    <xf numFmtId="182" fontId="0" fillId="0" borderId="16" xfId="5" applyNumberFormat="1" applyFont="1" applyBorder="1" applyAlignment="1">
      <alignment horizontal="center" vertical="center"/>
    </xf>
    <xf numFmtId="181" fontId="0" fillId="0" borderId="4" xfId="5" applyNumberFormat="1" applyFont="1" applyBorder="1" applyAlignment="1">
      <alignment horizontal="center" vertical="center"/>
    </xf>
    <xf numFmtId="176" fontId="2" fillId="0" borderId="53" xfId="4" applyNumberFormat="1" applyBorder="1" applyAlignment="1">
      <alignment horizontal="center" vertical="center" shrinkToFit="1"/>
    </xf>
    <xf numFmtId="176" fontId="2" fillId="0" borderId="29" xfId="4" applyNumberFormat="1" applyBorder="1" applyAlignment="1">
      <alignment horizontal="center" vertical="center" shrinkToFit="1"/>
    </xf>
    <xf numFmtId="181" fontId="2" fillId="2" borderId="16" xfId="3" applyNumberFormat="1" applyFill="1" applyBorder="1" applyAlignment="1">
      <alignment horizontal="center" vertical="center" shrinkToFit="1"/>
    </xf>
    <xf numFmtId="176" fontId="6" fillId="17" borderId="13" xfId="4" applyNumberFormat="1" applyFont="1" applyFill="1" applyBorder="1" applyAlignment="1">
      <alignment horizontal="center" vertical="center"/>
    </xf>
    <xf numFmtId="176" fontId="0" fillId="0" borderId="13" xfId="4" applyNumberFormat="1" applyFont="1" applyBorder="1" applyAlignment="1">
      <alignment horizontal="center" vertical="center"/>
    </xf>
    <xf numFmtId="179" fontId="2" fillId="0" borderId="13" xfId="5" applyNumberFormat="1" applyBorder="1" applyAlignment="1">
      <alignment horizontal="center" vertical="center"/>
    </xf>
    <xf numFmtId="182" fontId="0" fillId="0" borderId="13" xfId="5" applyNumberFormat="1" applyFont="1" applyBorder="1" applyAlignment="1">
      <alignment horizontal="center" vertical="center"/>
    </xf>
    <xf numFmtId="182" fontId="0" fillId="0" borderId="14" xfId="5" applyNumberFormat="1" applyFont="1" applyBorder="1" applyAlignment="1">
      <alignment horizontal="center" vertical="center"/>
    </xf>
    <xf numFmtId="181" fontId="0" fillId="0" borderId="9" xfId="5" applyNumberFormat="1" applyFont="1" applyBorder="1" applyAlignment="1">
      <alignment horizontal="center" vertical="center"/>
    </xf>
    <xf numFmtId="176" fontId="2" fillId="0" borderId="52" xfId="4" applyNumberFormat="1" applyBorder="1" applyAlignment="1">
      <alignment horizontal="center" vertical="center" shrinkToFit="1"/>
    </xf>
    <xf numFmtId="176" fontId="2" fillId="0" borderId="30" xfId="4" applyNumberFormat="1" applyBorder="1" applyAlignment="1">
      <alignment horizontal="center" vertical="center" shrinkToFit="1"/>
    </xf>
    <xf numFmtId="181" fontId="2" fillId="2" borderId="11" xfId="3" applyNumberFormat="1" applyFill="1" applyBorder="1" applyAlignment="1">
      <alignment horizontal="center" vertical="center" shrinkToFit="1"/>
    </xf>
    <xf numFmtId="176" fontId="5" fillId="0" borderId="2" xfId="3" applyNumberFormat="1" applyFont="1" applyBorder="1" applyAlignment="1">
      <alignment horizontal="center" vertical="center"/>
    </xf>
    <xf numFmtId="176" fontId="5" fillId="0" borderId="54" xfId="4" applyNumberFormat="1" applyFont="1" applyBorder="1" applyAlignment="1">
      <alignment horizontal="center" vertical="center" shrinkToFit="1"/>
    </xf>
    <xf numFmtId="176" fontId="5" fillId="0" borderId="31" xfId="4" applyNumberFormat="1" applyFont="1" applyBorder="1" applyAlignment="1">
      <alignment horizontal="center" vertical="center" shrinkToFit="1"/>
    </xf>
    <xf numFmtId="181" fontId="2" fillId="2" borderId="8" xfId="3" applyNumberFormat="1" applyFill="1" applyBorder="1" applyAlignment="1">
      <alignment horizontal="center" vertical="center" shrinkToFit="1"/>
    </xf>
    <xf numFmtId="176" fontId="2" fillId="0" borderId="55" xfId="4" quotePrefix="1" applyNumberFormat="1" applyBorder="1" applyAlignment="1">
      <alignment horizontal="center" vertical="center" shrinkToFit="1"/>
    </xf>
    <xf numFmtId="176" fontId="2" fillId="0" borderId="32" xfId="4" quotePrefix="1" applyNumberFormat="1" applyBorder="1" applyAlignment="1">
      <alignment horizontal="center" vertical="center" shrinkToFit="1"/>
    </xf>
    <xf numFmtId="176" fontId="6" fillId="17" borderId="10" xfId="4" applyNumberFormat="1" applyFont="1" applyFill="1" applyBorder="1" applyAlignment="1">
      <alignment horizontal="center" vertical="center"/>
    </xf>
    <xf numFmtId="176" fontId="2" fillId="0" borderId="20" xfId="2" applyNumberFormat="1" applyFont="1" applyBorder="1" applyAlignment="1">
      <alignment horizontal="center" vertical="center"/>
    </xf>
    <xf numFmtId="181" fontId="2" fillId="0" borderId="9" xfId="3" applyNumberFormat="1" applyBorder="1" applyAlignment="1">
      <alignment horizontal="center" vertical="center"/>
    </xf>
    <xf numFmtId="176" fontId="11" fillId="17" borderId="23" xfId="4" applyNumberFormat="1" applyFont="1" applyFill="1" applyBorder="1" applyAlignment="1">
      <alignment horizontal="center" vertical="center"/>
    </xf>
    <xf numFmtId="176" fontId="5" fillId="0" borderId="23" xfId="4" applyNumberFormat="1" applyFont="1" applyBorder="1" applyAlignment="1">
      <alignment horizontal="center" vertical="center"/>
    </xf>
    <xf numFmtId="179" fontId="5" fillId="0" borderId="23" xfId="5" applyNumberFormat="1" applyFont="1" applyBorder="1" applyAlignment="1">
      <alignment horizontal="center" vertical="center"/>
    </xf>
    <xf numFmtId="182" fontId="5" fillId="0" borderId="23" xfId="5" applyNumberFormat="1" applyFont="1" applyBorder="1" applyAlignment="1">
      <alignment horizontal="center" vertical="center"/>
    </xf>
    <xf numFmtId="182" fontId="5" fillId="0" borderId="8" xfId="5" applyNumberFormat="1" applyFont="1" applyBorder="1" applyAlignment="1">
      <alignment horizontal="center" vertical="center"/>
    </xf>
    <xf numFmtId="181" fontId="5" fillId="0" borderId="1" xfId="5" applyNumberFormat="1" applyFont="1" applyBorder="1" applyAlignment="1">
      <alignment horizontal="center" vertical="center"/>
    </xf>
    <xf numFmtId="176" fontId="6" fillId="17" borderId="24" xfId="4" applyNumberFormat="1" applyFont="1" applyFill="1" applyBorder="1" applyAlignment="1">
      <alignment horizontal="center" vertical="center"/>
    </xf>
    <xf numFmtId="176" fontId="0" fillId="0" borderId="24" xfId="4" applyNumberFormat="1" applyFont="1" applyBorder="1" applyAlignment="1">
      <alignment horizontal="center" vertical="center"/>
    </xf>
    <xf numFmtId="179" fontId="2" fillId="0" borderId="24" xfId="5" applyNumberFormat="1" applyBorder="1" applyAlignment="1">
      <alignment horizontal="center" vertical="center"/>
    </xf>
    <xf numFmtId="182" fontId="0" fillId="0" borderId="24" xfId="5" applyNumberFormat="1" applyFont="1" applyBorder="1" applyAlignment="1">
      <alignment horizontal="center" vertical="center"/>
    </xf>
    <xf numFmtId="182" fontId="0" fillId="0" borderId="25" xfId="5" applyNumberFormat="1" applyFont="1" applyBorder="1" applyAlignment="1">
      <alignment horizontal="center" vertical="center"/>
    </xf>
    <xf numFmtId="179" fontId="5" fillId="0" borderId="2" xfId="5" applyNumberFormat="1" applyFont="1" applyBorder="1" applyAlignment="1">
      <alignment horizontal="center" vertical="center"/>
    </xf>
    <xf numFmtId="182" fontId="5" fillId="0" borderId="2" xfId="5" applyNumberFormat="1" applyFont="1" applyBorder="1" applyAlignment="1">
      <alignment horizontal="center" vertical="center"/>
    </xf>
    <xf numFmtId="182" fontId="5" fillId="0" borderId="15" xfId="5" applyNumberFormat="1" applyFont="1" applyBorder="1" applyAlignment="1">
      <alignment horizontal="center" vertical="center"/>
    </xf>
    <xf numFmtId="176" fontId="0" fillId="0" borderId="10" xfId="4" applyNumberFormat="1" applyFont="1" applyBorder="1" applyAlignment="1">
      <alignment horizontal="center" vertical="center"/>
    </xf>
    <xf numFmtId="179" fontId="2" fillId="0" borderId="10" xfId="5" applyNumberFormat="1" applyBorder="1" applyAlignment="1">
      <alignment horizontal="center" vertical="center"/>
    </xf>
    <xf numFmtId="182" fontId="0" fillId="0" borderId="10" xfId="5" applyNumberFormat="1" applyFont="1" applyBorder="1" applyAlignment="1">
      <alignment horizontal="center" vertical="center"/>
    </xf>
    <xf numFmtId="182" fontId="0" fillId="0" borderId="11" xfId="5" applyNumberFormat="1" applyFont="1" applyBorder="1" applyAlignment="1">
      <alignment horizontal="center" vertical="center"/>
    </xf>
    <xf numFmtId="176" fontId="2" fillId="0" borderId="55" xfId="4" applyNumberFormat="1" applyBorder="1" applyAlignment="1">
      <alignment horizontal="center" vertical="center" shrinkToFit="1"/>
    </xf>
    <xf numFmtId="176" fontId="2" fillId="0" borderId="32" xfId="4" applyNumberFormat="1" applyBorder="1" applyAlignment="1">
      <alignment horizontal="center" vertical="center" shrinkToFit="1"/>
    </xf>
    <xf numFmtId="181" fontId="2" fillId="2" borderId="25" xfId="3" applyNumberFormat="1" applyFill="1" applyBorder="1" applyAlignment="1">
      <alignment horizontal="center" vertical="center" shrinkToFit="1"/>
    </xf>
    <xf numFmtId="176" fontId="6" fillId="17" borderId="20" xfId="4" applyNumberFormat="1" applyFont="1" applyFill="1" applyBorder="1" applyAlignment="1">
      <alignment horizontal="center" vertical="center"/>
    </xf>
    <xf numFmtId="176" fontId="0" fillId="0" borderId="20" xfId="4" applyNumberFormat="1" applyFont="1" applyBorder="1" applyAlignment="1">
      <alignment horizontal="center" vertical="center"/>
    </xf>
    <xf numFmtId="179" fontId="2" fillId="0" borderId="20" xfId="5" applyNumberFormat="1" applyBorder="1" applyAlignment="1">
      <alignment horizontal="center" vertical="center"/>
    </xf>
    <xf numFmtId="182" fontId="0" fillId="0" borderId="20" xfId="5" applyNumberFormat="1" applyFont="1" applyBorder="1" applyAlignment="1">
      <alignment horizontal="center" vertical="center"/>
    </xf>
    <xf numFmtId="182" fontId="0" fillId="0" borderId="21" xfId="5" applyNumberFormat="1" applyFont="1" applyBorder="1" applyAlignment="1">
      <alignment horizontal="center" vertical="center"/>
    </xf>
    <xf numFmtId="182" fontId="5" fillId="0" borderId="6" xfId="5" applyNumberFormat="1" applyFont="1" applyBorder="1" applyAlignment="1">
      <alignment horizontal="center" vertical="center"/>
    </xf>
    <xf numFmtId="182" fontId="0" fillId="0" borderId="49" xfId="5" applyNumberFormat="1" applyFont="1" applyBorder="1" applyAlignment="1">
      <alignment horizontal="center" vertical="center"/>
    </xf>
    <xf numFmtId="179" fontId="2" fillId="0" borderId="50" xfId="5" applyNumberFormat="1" applyBorder="1" applyAlignment="1">
      <alignment horizontal="center" vertical="center"/>
    </xf>
    <xf numFmtId="181" fontId="2" fillId="0" borderId="4" xfId="5" applyNumberFormat="1" applyBorder="1" applyAlignment="1">
      <alignment horizontal="center" vertical="center"/>
    </xf>
    <xf numFmtId="179" fontId="2" fillId="0" borderId="49" xfId="5" applyNumberFormat="1" applyBorder="1" applyAlignment="1">
      <alignment horizontal="center" vertical="center"/>
    </xf>
    <xf numFmtId="176" fontId="2" fillId="0" borderId="29" xfId="2" quotePrefix="1" applyNumberFormat="1" applyFont="1" applyBorder="1" applyAlignment="1">
      <alignment horizontal="center" vertical="center" shrinkToFit="1"/>
    </xf>
    <xf numFmtId="176" fontId="2" fillId="0" borderId="5" xfId="2" quotePrefix="1" applyNumberFormat="1" applyFont="1" applyBorder="1" applyAlignment="1">
      <alignment horizontal="center" vertical="center" shrinkToFit="1"/>
    </xf>
    <xf numFmtId="181" fontId="2" fillId="0" borderId="9" xfId="5" applyNumberFormat="1" applyBorder="1" applyAlignment="1">
      <alignment horizontal="center" vertical="center"/>
    </xf>
    <xf numFmtId="176" fontId="2" fillId="0" borderId="27" xfId="2" quotePrefix="1" applyNumberFormat="1" applyFont="1" applyBorder="1" applyAlignment="1">
      <alignment horizontal="center" vertical="center" shrinkToFit="1"/>
    </xf>
    <xf numFmtId="176" fontId="2" fillId="0" borderId="20" xfId="2" quotePrefix="1" applyNumberFormat="1" applyFont="1" applyBorder="1" applyAlignment="1">
      <alignment horizontal="center" vertical="center" shrinkToFit="1"/>
    </xf>
    <xf numFmtId="179" fontId="2" fillId="0" borderId="16" xfId="5" applyNumberFormat="1" applyBorder="1" applyAlignment="1">
      <alignment horizontal="center" vertical="center"/>
    </xf>
    <xf numFmtId="179" fontId="2" fillId="0" borderId="11" xfId="5" applyNumberFormat="1" applyBorder="1" applyAlignment="1">
      <alignment horizontal="center" vertical="center"/>
    </xf>
    <xf numFmtId="176" fontId="13" fillId="0" borderId="0" xfId="3" applyNumberFormat="1" applyFont="1" applyAlignment="1">
      <alignment horizontal="center" vertical="center"/>
    </xf>
    <xf numFmtId="178" fontId="30" fillId="0" borderId="10" xfId="0" applyNumberFormat="1" applyFont="1" applyBorder="1" applyAlignment="1">
      <alignment horizontal="center" vertical="center" wrapText="1"/>
    </xf>
    <xf numFmtId="180" fontId="30" fillId="0" borderId="10" xfId="0" applyNumberFormat="1" applyFont="1" applyBorder="1" applyAlignment="1">
      <alignment horizontal="center" vertical="center" wrapText="1"/>
    </xf>
    <xf numFmtId="180" fontId="30" fillId="0" borderId="11" xfId="0" applyNumberFormat="1" applyFont="1" applyBorder="1" applyAlignment="1">
      <alignment horizontal="center" vertical="center" wrapText="1"/>
    </xf>
    <xf numFmtId="176" fontId="36" fillId="19" borderId="20" xfId="0" applyNumberFormat="1" applyFont="1" applyFill="1" applyBorder="1" applyAlignment="1">
      <alignment horizontal="center" vertical="center"/>
    </xf>
    <xf numFmtId="176" fontId="30" fillId="19" borderId="20" xfId="0" applyNumberFormat="1" applyFont="1" applyFill="1" applyBorder="1" applyAlignment="1">
      <alignment horizontal="center" vertical="center"/>
    </xf>
    <xf numFmtId="176" fontId="8" fillId="5" borderId="23" xfId="0" applyNumberFormat="1" applyFont="1" applyFill="1" applyBorder="1" applyAlignment="1">
      <alignment horizontal="center" vertical="center"/>
    </xf>
    <xf numFmtId="176" fontId="30" fillId="5" borderId="23" xfId="0" applyNumberFormat="1" applyFont="1" applyFill="1" applyBorder="1" applyAlignment="1">
      <alignment horizontal="center" vertical="center"/>
    </xf>
    <xf numFmtId="41" fontId="0" fillId="0" borderId="0" xfId="1" applyFont="1" applyAlignment="1">
      <alignment vertical="center"/>
    </xf>
    <xf numFmtId="176" fontId="8" fillId="20" borderId="5" xfId="0" applyNumberFormat="1" applyFont="1" applyFill="1" applyBorder="1" applyAlignment="1">
      <alignment horizontal="center" vertical="center"/>
    </xf>
    <xf numFmtId="176" fontId="30" fillId="20" borderId="5" xfId="0" applyNumberFormat="1" applyFont="1" applyFill="1" applyBorder="1" applyAlignment="1">
      <alignment horizontal="center" vertical="center"/>
    </xf>
    <xf numFmtId="180" fontId="30" fillId="20" borderId="5" xfId="0" applyNumberFormat="1" applyFont="1" applyFill="1" applyBorder="1" applyAlignment="1">
      <alignment horizontal="center" vertical="center"/>
    </xf>
    <xf numFmtId="180" fontId="30" fillId="20" borderId="16" xfId="0" applyNumberFormat="1" applyFont="1" applyFill="1" applyBorder="1" applyAlignment="1">
      <alignment horizontal="center" vertical="center"/>
    </xf>
    <xf numFmtId="188" fontId="9" fillId="0" borderId="5" xfId="7" applyNumberFormat="1" applyFont="1" applyBorder="1" applyAlignment="1" applyProtection="1">
      <alignment horizontal="center" vertical="center" wrapText="1"/>
      <protection locked="0"/>
    </xf>
    <xf numFmtId="183" fontId="33" fillId="0" borderId="5" xfId="7" applyNumberFormat="1" applyFont="1" applyBorder="1" applyAlignment="1" applyProtection="1">
      <alignment horizontal="center" vertical="center" wrapText="1"/>
      <protection locked="0"/>
    </xf>
    <xf numFmtId="41" fontId="2" fillId="0" borderId="0" xfId="1" applyFont="1" applyAlignment="1">
      <alignment vertical="center"/>
    </xf>
    <xf numFmtId="188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83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188" fontId="9" fillId="0" borderId="5" xfId="3" applyNumberFormat="1" applyFont="1" applyBorder="1" applyAlignment="1">
      <alignment horizontal="center" vertical="center" shrinkToFit="1"/>
    </xf>
    <xf numFmtId="183" fontId="33" fillId="0" borderId="5" xfId="3" applyNumberFormat="1" applyFont="1" applyBorder="1" applyAlignment="1">
      <alignment horizontal="center" vertical="center" shrinkToFit="1"/>
    </xf>
    <xf numFmtId="176" fontId="9" fillId="20" borderId="5" xfId="0" applyNumberFormat="1" applyFont="1" applyFill="1" applyBorder="1" applyAlignment="1">
      <alignment horizontal="center" vertical="center"/>
    </xf>
    <xf numFmtId="176" fontId="34" fillId="20" borderId="5" xfId="0" applyNumberFormat="1" applyFont="1" applyFill="1" applyBorder="1" applyAlignment="1">
      <alignment horizontal="center" vertical="center"/>
    </xf>
    <xf numFmtId="184" fontId="33" fillId="0" borderId="5" xfId="7" applyNumberFormat="1" applyFont="1" applyBorder="1" applyAlignment="1" applyProtection="1">
      <alignment horizontal="left" vertical="center" wrapText="1"/>
      <protection locked="0"/>
    </xf>
    <xf numFmtId="184" fontId="33" fillId="0" borderId="5" xfId="7" applyNumberFormat="1" applyFont="1" applyBorder="1" applyAlignment="1" applyProtection="1">
      <alignment horizontal="center" vertical="center" wrapText="1"/>
      <protection locked="0"/>
    </xf>
    <xf numFmtId="189" fontId="9" fillId="0" borderId="5" xfId="7" applyNumberFormat="1" applyFont="1" applyBorder="1" applyAlignment="1" applyProtection="1">
      <alignment horizontal="center" vertical="center" wrapText="1"/>
      <protection locked="0"/>
    </xf>
    <xf numFmtId="184" fontId="33" fillId="0" borderId="16" xfId="7" applyNumberFormat="1" applyFont="1" applyBorder="1" applyAlignment="1" applyProtection="1">
      <alignment horizontal="center" vertical="center" wrapText="1"/>
      <protection locked="0"/>
    </xf>
    <xf numFmtId="189" fontId="9" fillId="0" borderId="5" xfId="3" applyNumberFormat="1" applyFont="1" applyBorder="1" applyAlignment="1">
      <alignment horizontal="center" vertical="center" shrinkToFit="1"/>
    </xf>
    <xf numFmtId="180" fontId="34" fillId="20" borderId="5" xfId="0" applyNumberFormat="1" applyFont="1" applyFill="1" applyBorder="1" applyAlignment="1">
      <alignment horizontal="center" vertical="center"/>
    </xf>
    <xf numFmtId="180" fontId="34" fillId="20" borderId="16" xfId="0" applyNumberFormat="1" applyFont="1" applyFill="1" applyBorder="1" applyAlignment="1">
      <alignment horizontal="center" vertical="center"/>
    </xf>
    <xf numFmtId="183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76" fontId="9" fillId="5" borderId="5" xfId="0" applyNumberFormat="1" applyFont="1" applyFill="1" applyBorder="1" applyAlignment="1">
      <alignment horizontal="center" vertical="center"/>
    </xf>
    <xf numFmtId="176" fontId="34" fillId="5" borderId="5" xfId="2" applyNumberFormat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85" fontId="9" fillId="20" borderId="5" xfId="0" applyNumberFormat="1" applyFont="1" applyFill="1" applyBorder="1" applyAlignment="1">
      <alignment horizontal="center" vertical="center"/>
    </xf>
    <xf numFmtId="185" fontId="34" fillId="20" borderId="5" xfId="0" applyNumberFormat="1" applyFont="1" applyFill="1" applyBorder="1" applyAlignment="1">
      <alignment horizontal="center" vertical="center"/>
    </xf>
    <xf numFmtId="183" fontId="9" fillId="0" borderId="5" xfId="3" applyNumberFormat="1" applyFont="1" applyBorder="1" applyAlignment="1">
      <alignment horizontal="center" vertical="center" shrinkToFit="1"/>
    </xf>
    <xf numFmtId="176" fontId="34" fillId="5" borderId="5" xfId="0" applyNumberFormat="1" applyFont="1" applyFill="1" applyBorder="1" applyAlignment="1">
      <alignment horizontal="center" vertical="center"/>
    </xf>
    <xf numFmtId="184" fontId="34" fillId="5" borderId="5" xfId="0" applyNumberFormat="1" applyFont="1" applyFill="1" applyBorder="1" applyAlignment="1">
      <alignment horizontal="center" vertical="center"/>
    </xf>
    <xf numFmtId="184" fontId="34" fillId="5" borderId="16" xfId="0" applyNumberFormat="1" applyFont="1" applyFill="1" applyBorder="1" applyAlignment="1">
      <alignment horizontal="center" vertical="center"/>
    </xf>
    <xf numFmtId="185" fontId="9" fillId="0" borderId="5" xfId="7" applyNumberFormat="1" applyFont="1" applyBorder="1" applyAlignment="1" applyProtection="1">
      <alignment horizontal="center" vertical="center" wrapText="1"/>
      <protection locked="0"/>
    </xf>
    <xf numFmtId="185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76" fontId="9" fillId="5" borderId="5" xfId="0" applyNumberFormat="1" applyFont="1" applyFill="1" applyBorder="1" applyAlignment="1">
      <alignment horizontal="center" vertical="center" shrinkToFit="1"/>
    </xf>
    <xf numFmtId="41" fontId="0" fillId="0" borderId="0" xfId="1" applyFont="1" applyAlignment="1">
      <alignment vertical="center" shrinkToFit="1"/>
    </xf>
    <xf numFmtId="176" fontId="9" fillId="20" borderId="5" xfId="0" applyNumberFormat="1" applyFont="1" applyFill="1" applyBorder="1" applyAlignment="1">
      <alignment horizontal="center" vertical="center" shrinkToFit="1"/>
    </xf>
    <xf numFmtId="176" fontId="34" fillId="20" borderId="5" xfId="0" applyNumberFormat="1" applyFont="1" applyFill="1" applyBorder="1" applyAlignment="1">
      <alignment horizontal="center" vertical="center" shrinkToFit="1"/>
    </xf>
    <xf numFmtId="180" fontId="34" fillId="20" borderId="5" xfId="0" applyNumberFormat="1" applyFont="1" applyFill="1" applyBorder="1" applyAlignment="1">
      <alignment horizontal="center" vertical="center" shrinkToFit="1"/>
    </xf>
    <xf numFmtId="180" fontId="34" fillId="20" borderId="16" xfId="0" applyNumberFormat="1" applyFont="1" applyFill="1" applyBorder="1" applyAlignment="1">
      <alignment horizontal="center" vertical="center" shrinkToFit="1"/>
    </xf>
    <xf numFmtId="183" fontId="9" fillId="2" borderId="5" xfId="7" applyNumberFormat="1" applyFont="1" applyFill="1" applyBorder="1" applyAlignment="1" applyProtection="1">
      <alignment horizontal="center" vertical="center" shrinkToFit="1"/>
      <protection locked="0"/>
    </xf>
    <xf numFmtId="183" fontId="33" fillId="2" borderId="5" xfId="7" applyNumberFormat="1" applyFont="1" applyFill="1" applyBorder="1" applyAlignment="1" applyProtection="1">
      <alignment horizontal="center" vertical="center" shrinkToFit="1"/>
      <protection locked="0"/>
    </xf>
    <xf numFmtId="188" fontId="9" fillId="2" borderId="5" xfId="7" applyNumberFormat="1" applyFont="1" applyFill="1" applyBorder="1" applyAlignment="1" applyProtection="1">
      <alignment horizontal="center" vertical="center" shrinkToFit="1"/>
      <protection locked="0"/>
    </xf>
    <xf numFmtId="184" fontId="33" fillId="0" borderId="5" xfId="7" applyNumberFormat="1" applyFont="1" applyBorder="1" applyAlignment="1" applyProtection="1">
      <alignment horizontal="left" vertical="center" shrinkToFit="1"/>
      <protection locked="0"/>
    </xf>
    <xf numFmtId="184" fontId="33" fillId="0" borderId="5" xfId="7" applyNumberFormat="1" applyFont="1" applyBorder="1" applyAlignment="1" applyProtection="1">
      <alignment horizontal="center" vertical="center" shrinkToFit="1"/>
      <protection locked="0"/>
    </xf>
    <xf numFmtId="183" fontId="9" fillId="0" borderId="5" xfId="7" applyNumberFormat="1" applyFont="1" applyBorder="1" applyAlignment="1" applyProtection="1">
      <alignment horizontal="center" vertical="center" shrinkToFit="1"/>
      <protection locked="0"/>
    </xf>
    <xf numFmtId="183" fontId="33" fillId="0" borderId="5" xfId="7" applyNumberFormat="1" applyFont="1" applyBorder="1" applyAlignment="1" applyProtection="1">
      <alignment horizontal="center" vertical="center" shrinkToFit="1"/>
      <protection locked="0"/>
    </xf>
    <xf numFmtId="184" fontId="33" fillId="0" borderId="16" xfId="7" applyNumberFormat="1" applyFont="1" applyBorder="1" applyAlignment="1" applyProtection="1">
      <alignment horizontal="center" vertical="center" shrinkToFit="1"/>
      <protection locked="0"/>
    </xf>
    <xf numFmtId="184" fontId="34" fillId="20" borderId="5" xfId="0" applyNumberFormat="1" applyFont="1" applyFill="1" applyBorder="1" applyAlignment="1">
      <alignment horizontal="center" vertical="center" shrinkToFit="1"/>
    </xf>
    <xf numFmtId="183" fontId="9" fillId="0" borderId="5" xfId="7" applyNumberFormat="1" applyFont="1" applyBorder="1" applyAlignment="1" applyProtection="1">
      <alignment horizontal="center" vertical="center" wrapText="1"/>
      <protection locked="0"/>
    </xf>
    <xf numFmtId="186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86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184" fontId="34" fillId="20" borderId="5" xfId="0" applyNumberFormat="1" applyFont="1" applyFill="1" applyBorder="1" applyAlignment="1">
      <alignment horizontal="center" vertical="center"/>
    </xf>
    <xf numFmtId="178" fontId="33" fillId="20" borderId="5" xfId="0" applyNumberFormat="1" applyFont="1" applyFill="1" applyBorder="1" applyAlignment="1">
      <alignment horizontal="center" vertical="center"/>
    </xf>
    <xf numFmtId="178" fontId="33" fillId="20" borderId="16" xfId="0" applyNumberFormat="1" applyFont="1" applyFill="1" applyBorder="1" applyAlignment="1">
      <alignment horizontal="center" vertical="center"/>
    </xf>
    <xf numFmtId="183" fontId="9" fillId="2" borderId="5" xfId="1" applyNumberFormat="1" applyFont="1" applyFill="1" applyBorder="1" applyAlignment="1">
      <alignment horizontal="center" vertical="center"/>
    </xf>
    <xf numFmtId="183" fontId="33" fillId="2" borderId="5" xfId="1" applyNumberFormat="1" applyFont="1" applyFill="1" applyBorder="1" applyAlignment="1">
      <alignment horizontal="center" vertical="center"/>
    </xf>
    <xf numFmtId="187" fontId="34" fillId="20" borderId="5" xfId="0" applyNumberFormat="1" applyFont="1" applyFill="1" applyBorder="1" applyAlignment="1">
      <alignment horizontal="center" vertical="center"/>
    </xf>
    <xf numFmtId="183" fontId="9" fillId="2" borderId="10" xfId="7" applyNumberFormat="1" applyFont="1" applyFill="1" applyBorder="1" applyAlignment="1" applyProtection="1">
      <alignment horizontal="center" vertical="center" shrinkToFit="1"/>
      <protection locked="0"/>
    </xf>
    <xf numFmtId="183" fontId="33" fillId="2" borderId="10" xfId="7" applyNumberFormat="1" applyFont="1" applyFill="1" applyBorder="1" applyAlignment="1" applyProtection="1">
      <alignment horizontal="center" vertical="center" shrinkToFit="1"/>
      <protection locked="0"/>
    </xf>
    <xf numFmtId="178" fontId="17" fillId="7" borderId="46" xfId="0" applyNumberFormat="1" applyFont="1" applyFill="1" applyBorder="1" applyAlignment="1">
      <alignment horizontal="center" vertical="center" wrapText="1"/>
    </xf>
    <xf numFmtId="178" fontId="17" fillId="7" borderId="45" xfId="0" applyNumberFormat="1" applyFont="1" applyFill="1" applyBorder="1" applyAlignment="1">
      <alignment horizontal="center" vertical="center" wrapText="1"/>
    </xf>
    <xf numFmtId="178" fontId="18" fillId="7" borderId="45" xfId="0" applyNumberFormat="1" applyFont="1" applyFill="1" applyBorder="1" applyAlignment="1">
      <alignment horizontal="center" vertical="center" wrapText="1"/>
    </xf>
    <xf numFmtId="183" fontId="21" fillId="8" borderId="45" xfId="0" applyNumberFormat="1" applyFont="1" applyFill="1" applyBorder="1" applyAlignment="1">
      <alignment horizontal="center" vertical="center" wrapText="1"/>
    </xf>
    <xf numFmtId="183" fontId="17" fillId="7" borderId="45" xfId="0" applyNumberFormat="1" applyFont="1" applyFill="1" applyBorder="1" applyAlignment="1">
      <alignment horizontal="center" vertical="center" wrapText="1"/>
    </xf>
    <xf numFmtId="178" fontId="17" fillId="9" borderId="46" xfId="0" applyNumberFormat="1" applyFont="1" applyFill="1" applyBorder="1" applyAlignment="1">
      <alignment horizontal="center" vertical="center" wrapText="1"/>
    </xf>
    <xf numFmtId="178" fontId="17" fillId="9" borderId="45" xfId="0" applyNumberFormat="1" applyFont="1" applyFill="1" applyBorder="1" applyAlignment="1">
      <alignment horizontal="center" vertical="center" wrapText="1"/>
    </xf>
    <xf numFmtId="183" fontId="21" fillId="10" borderId="45" xfId="0" applyNumberFormat="1" applyFont="1" applyFill="1" applyBorder="1" applyAlignment="1">
      <alignment horizontal="center" vertical="center" wrapText="1"/>
    </xf>
    <xf numFmtId="183" fontId="17" fillId="9" borderId="45" xfId="0" applyNumberFormat="1" applyFont="1" applyFill="1" applyBorder="1" applyAlignment="1">
      <alignment horizontal="center" vertical="center" wrapText="1"/>
    </xf>
    <xf numFmtId="178" fontId="17" fillId="11" borderId="46" xfId="0" applyNumberFormat="1" applyFont="1" applyFill="1" applyBorder="1" applyAlignment="1">
      <alignment horizontal="center" vertical="center" wrapText="1"/>
    </xf>
    <xf numFmtId="178" fontId="17" fillId="11" borderId="45" xfId="0" applyNumberFormat="1" applyFont="1" applyFill="1" applyBorder="1" applyAlignment="1">
      <alignment horizontal="center" vertical="center" wrapText="1"/>
    </xf>
    <xf numFmtId="183" fontId="21" fillId="12" borderId="45" xfId="0" applyNumberFormat="1" applyFont="1" applyFill="1" applyBorder="1" applyAlignment="1">
      <alignment horizontal="center" vertical="center" wrapText="1"/>
    </xf>
    <xf numFmtId="183" fontId="17" fillId="11" borderId="45" xfId="0" applyNumberFormat="1" applyFont="1" applyFill="1" applyBorder="1" applyAlignment="1">
      <alignment horizontal="center" vertical="center" wrapText="1"/>
    </xf>
    <xf numFmtId="178" fontId="19" fillId="0" borderId="45" xfId="0" applyNumberFormat="1" applyFont="1" applyBorder="1" applyAlignment="1">
      <alignment horizontal="center" vertical="center" wrapText="1"/>
    </xf>
    <xf numFmtId="183" fontId="22" fillId="13" borderId="45" xfId="0" applyNumberFormat="1" applyFont="1" applyFill="1" applyBorder="1" applyAlignment="1">
      <alignment horizontal="center" vertical="center" wrapText="1"/>
    </xf>
    <xf numFmtId="183" fontId="19" fillId="0" borderId="45" xfId="0" applyNumberFormat="1" applyFont="1" applyBorder="1" applyAlignment="1">
      <alignment horizontal="center" vertical="center" wrapText="1"/>
    </xf>
    <xf numFmtId="178" fontId="17" fillId="4" borderId="46" xfId="0" applyNumberFormat="1" applyFont="1" applyFill="1" applyBorder="1" applyAlignment="1">
      <alignment horizontal="center" vertical="center" wrapText="1"/>
    </xf>
    <xf numFmtId="178" fontId="17" fillId="4" borderId="45" xfId="0" applyNumberFormat="1" applyFont="1" applyFill="1" applyBorder="1" applyAlignment="1">
      <alignment horizontal="center" vertical="center" wrapText="1"/>
    </xf>
    <xf numFmtId="183" fontId="24" fillId="8" borderId="45" xfId="0" applyNumberFormat="1" applyFont="1" applyFill="1" applyBorder="1" applyAlignment="1">
      <alignment horizontal="center" vertical="center" wrapText="1"/>
    </xf>
    <xf numFmtId="183" fontId="24" fillId="10" borderId="45" xfId="0" applyNumberFormat="1" applyFont="1" applyFill="1" applyBorder="1" applyAlignment="1">
      <alignment horizontal="center" vertical="center" wrapText="1"/>
    </xf>
    <xf numFmtId="183" fontId="24" fillId="12" borderId="45" xfId="0" applyNumberFormat="1" applyFont="1" applyFill="1" applyBorder="1" applyAlignment="1">
      <alignment horizontal="center" vertical="center" wrapText="1"/>
    </xf>
    <xf numFmtId="178" fontId="19" fillId="4" borderId="45" xfId="0" applyNumberFormat="1" applyFont="1" applyFill="1" applyBorder="1" applyAlignment="1">
      <alignment horizontal="center" vertical="center" wrapText="1"/>
    </xf>
    <xf numFmtId="183" fontId="25" fillId="13" borderId="45" xfId="0" applyNumberFormat="1" applyFont="1" applyFill="1" applyBorder="1" applyAlignment="1">
      <alignment horizontal="center" vertical="center" wrapText="1"/>
    </xf>
    <xf numFmtId="178" fontId="37" fillId="7" borderId="46" xfId="0" applyNumberFormat="1" applyFont="1" applyFill="1" applyBorder="1" applyAlignment="1">
      <alignment horizontal="center" vertical="center" wrapText="1"/>
    </xf>
    <xf numFmtId="178" fontId="37" fillId="7" borderId="45" xfId="0" applyNumberFormat="1" applyFont="1" applyFill="1" applyBorder="1" applyAlignment="1">
      <alignment horizontal="center" vertical="center" wrapText="1"/>
    </xf>
    <xf numFmtId="178" fontId="37" fillId="16" borderId="46" xfId="0" applyNumberFormat="1" applyFont="1" applyFill="1" applyBorder="1" applyAlignment="1">
      <alignment horizontal="center" vertical="center" wrapText="1"/>
    </xf>
    <xf numFmtId="178" fontId="37" fillId="16" borderId="45" xfId="0" applyNumberFormat="1" applyFont="1" applyFill="1" applyBorder="1" applyAlignment="1">
      <alignment horizontal="center" vertical="center" wrapText="1"/>
    </xf>
    <xf numFmtId="183" fontId="37" fillId="13" borderId="45" xfId="0" applyNumberFormat="1" applyFont="1" applyFill="1" applyBorder="1" applyAlignment="1">
      <alignment horizontal="center" vertical="center" wrapText="1"/>
    </xf>
    <xf numFmtId="178" fontId="17" fillId="0" borderId="46" xfId="0" applyNumberFormat="1" applyFont="1" applyBorder="1" applyAlignment="1">
      <alignment horizontal="center" vertical="center" wrapText="1"/>
    </xf>
    <xf numFmtId="178" fontId="17" fillId="0" borderId="45" xfId="0" applyNumberFormat="1" applyFont="1" applyBorder="1" applyAlignment="1">
      <alignment horizontal="center" vertical="center" wrapText="1"/>
    </xf>
    <xf numFmtId="183" fontId="17" fillId="13" borderId="45" xfId="0" applyNumberFormat="1" applyFont="1" applyFill="1" applyBorder="1" applyAlignment="1">
      <alignment horizontal="center" vertical="center" wrapText="1"/>
    </xf>
    <xf numFmtId="178" fontId="17" fillId="16" borderId="46" xfId="0" applyNumberFormat="1" applyFont="1" applyFill="1" applyBorder="1" applyAlignment="1">
      <alignment horizontal="center" vertical="center" wrapText="1"/>
    </xf>
    <xf numFmtId="178" fontId="17" fillId="16" borderId="45" xfId="0" applyNumberFormat="1" applyFont="1" applyFill="1" applyBorder="1" applyAlignment="1">
      <alignment horizontal="center" vertical="center" wrapText="1"/>
    </xf>
    <xf numFmtId="183" fontId="19" fillId="13" borderId="45" xfId="0" applyNumberFormat="1" applyFont="1" applyFill="1" applyBorder="1" applyAlignment="1">
      <alignment horizontal="center" vertical="center" wrapText="1"/>
    </xf>
    <xf numFmtId="178" fontId="20" fillId="0" borderId="45" xfId="0" applyNumberFormat="1" applyFont="1" applyBorder="1" applyAlignment="1">
      <alignment horizontal="center" vertical="center" wrapText="1"/>
    </xf>
    <xf numFmtId="176" fontId="12" fillId="14" borderId="60" xfId="2" applyNumberFormat="1" applyFont="1" applyFill="1" applyBorder="1" applyAlignment="1">
      <alignment horizontal="center" vertical="center" wrapText="1" shrinkToFit="1"/>
    </xf>
    <xf numFmtId="0" fontId="0" fillId="0" borderId="18" xfId="0" applyBorder="1" applyAlignment="1"/>
    <xf numFmtId="0" fontId="0" fillId="0" borderId="19" xfId="0" applyBorder="1" applyAlignment="1"/>
    <xf numFmtId="176" fontId="40" fillId="0" borderId="15" xfId="2" applyNumberFormat="1" applyFont="1" applyBorder="1" applyAlignment="1">
      <alignment horizontal="center" vertical="center" shrinkToFit="1"/>
    </xf>
    <xf numFmtId="0" fontId="0" fillId="0" borderId="8" xfId="0" applyBorder="1" applyAlignment="1"/>
    <xf numFmtId="0" fontId="11" fillId="0" borderId="63" xfId="3" applyFont="1" applyBorder="1" applyAlignment="1">
      <alignment horizontal="center" vertical="center" wrapText="1"/>
    </xf>
    <xf numFmtId="0" fontId="0" fillId="0" borderId="14" xfId="0" applyBorder="1" applyAlignment="1"/>
    <xf numFmtId="0" fontId="0" fillId="0" borderId="21" xfId="0" applyBorder="1" applyAlignment="1"/>
    <xf numFmtId="0" fontId="2" fillId="0" borderId="60" xfId="3" applyBorder="1" applyAlignment="1">
      <alignment horizontal="center" vertical="center"/>
    </xf>
    <xf numFmtId="0" fontId="14" fillId="5" borderId="63" xfId="3" applyFont="1" applyFill="1" applyBorder="1" applyAlignment="1">
      <alignment horizontal="center" vertical="center" wrapText="1"/>
    </xf>
    <xf numFmtId="0" fontId="2" fillId="0" borderId="1" xfId="3" applyBorder="1" applyAlignment="1">
      <alignment horizontal="center" vertical="center"/>
    </xf>
    <xf numFmtId="0" fontId="0" fillId="0" borderId="22" xfId="0" applyBorder="1" applyAlignment="1"/>
    <xf numFmtId="0" fontId="2" fillId="0" borderId="22" xfId="3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0" fillId="0" borderId="12" xfId="0" applyBorder="1" applyAlignment="1"/>
    <xf numFmtId="176" fontId="39" fillId="0" borderId="2" xfId="3" applyNumberFormat="1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31" xfId="0" applyBorder="1" applyAlignment="1"/>
    <xf numFmtId="0" fontId="38" fillId="0" borderId="65" xfId="3" applyFont="1" applyBorder="1" applyAlignment="1">
      <alignment horizontal="center" vertical="center"/>
    </xf>
    <xf numFmtId="0" fontId="0" fillId="0" borderId="3" xfId="0" applyBorder="1" applyAlignment="1"/>
    <xf numFmtId="0" fontId="0" fillId="0" borderId="7" xfId="0" applyBorder="1" applyAlignment="1"/>
    <xf numFmtId="0" fontId="38" fillId="0" borderId="2" xfId="3" applyFont="1" applyBorder="1" applyAlignment="1">
      <alignment horizontal="center" vertical="center"/>
    </xf>
    <xf numFmtId="0" fontId="0" fillId="0" borderId="13" xfId="0" applyBorder="1" applyAlignment="1"/>
    <xf numFmtId="0" fontId="0" fillId="0" borderId="23" xfId="0" applyBorder="1" applyAlignment="1"/>
    <xf numFmtId="0" fontId="2" fillId="0" borderId="18" xfId="3" applyBorder="1" applyAlignment="1">
      <alignment horizontal="center" vertical="center"/>
    </xf>
    <xf numFmtId="0" fontId="39" fillId="0" borderId="2" xfId="3" applyFont="1" applyBorder="1" applyAlignment="1">
      <alignment horizontal="center" vertical="center" wrapText="1"/>
    </xf>
    <xf numFmtId="0" fontId="11" fillId="0" borderId="62" xfId="3" quotePrefix="1" applyFont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14" fillId="5" borderId="62" xfId="3" quotePrefix="1" applyFont="1" applyFill="1" applyBorder="1" applyAlignment="1">
      <alignment horizontal="center" vertical="center" wrapText="1"/>
    </xf>
    <xf numFmtId="0" fontId="15" fillId="21" borderId="64" xfId="3" quotePrefix="1" applyFont="1" applyFill="1" applyBorder="1" applyAlignment="1">
      <alignment horizontal="center" vertical="center" wrapText="1"/>
    </xf>
    <xf numFmtId="0" fontId="0" fillId="0" borderId="61" xfId="0" applyBorder="1" applyAlignment="1"/>
    <xf numFmtId="0" fontId="0" fillId="0" borderId="57" xfId="0" applyBorder="1" applyAlignment="1"/>
    <xf numFmtId="0" fontId="6" fillId="0" borderId="2" xfId="3" applyFont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/>
    </xf>
    <xf numFmtId="0" fontId="34" fillId="20" borderId="5" xfId="7" applyFont="1" applyFill="1" applyBorder="1" applyAlignment="1">
      <alignment horizontal="center" vertical="center"/>
    </xf>
    <xf numFmtId="0" fontId="0" fillId="0" borderId="29" xfId="0" applyBorder="1" applyAlignment="1"/>
    <xf numFmtId="0" fontId="34" fillId="20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4" fillId="20" borderId="5" xfId="7" applyFont="1" applyFill="1" applyBorder="1" applyAlignment="1">
      <alignment horizontal="center" vertical="center" shrinkToFit="1"/>
    </xf>
    <xf numFmtId="0" fontId="33" fillId="20" borderId="5" xfId="7" applyFont="1" applyFill="1" applyBorder="1" applyAlignment="1">
      <alignment horizontal="center" vertical="center" shrinkToFit="1"/>
    </xf>
    <xf numFmtId="0" fontId="33" fillId="5" borderId="5" xfId="7" applyFont="1" applyFill="1" applyBorder="1" applyAlignment="1">
      <alignment horizontal="center" vertical="center"/>
    </xf>
    <xf numFmtId="0" fontId="0" fillId="0" borderId="67" xfId="0" applyBorder="1" applyAlignment="1"/>
    <xf numFmtId="180" fontId="30" fillId="0" borderId="2" xfId="0" applyNumberFormat="1" applyFont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 wrapText="1"/>
    </xf>
    <xf numFmtId="180" fontId="5" fillId="14" borderId="0" xfId="0" applyNumberFormat="1" applyFont="1" applyFill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0" fillId="0" borderId="66" xfId="0" applyBorder="1" applyAlignment="1"/>
    <xf numFmtId="0" fontId="0" fillId="0" borderId="28" xfId="0" applyBorder="1" applyAlignment="1"/>
    <xf numFmtId="0" fontId="30" fillId="18" borderId="5" xfId="0" applyFont="1" applyFill="1" applyBorder="1" applyAlignment="1">
      <alignment horizontal="center" vertical="center" wrapText="1"/>
    </xf>
    <xf numFmtId="0" fontId="33" fillId="5" borderId="5" xfId="7" applyFont="1" applyFill="1" applyBorder="1" applyAlignment="1">
      <alignment horizontal="center" vertical="center" shrinkToFit="1"/>
    </xf>
    <xf numFmtId="0" fontId="30" fillId="20" borderId="5" xfId="7" applyFont="1" applyFill="1" applyBorder="1" applyAlignment="1">
      <alignment horizontal="center" vertical="center"/>
    </xf>
    <xf numFmtId="0" fontId="6" fillId="5" borderId="5" xfId="7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0" fontId="29" fillId="5" borderId="23" xfId="7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shrinkToFit="1"/>
    </xf>
    <xf numFmtId="0" fontId="34" fillId="5" borderId="5" xfId="7" applyFont="1" applyFill="1" applyBorder="1" applyAlignment="1">
      <alignment horizontal="center" vertical="center"/>
    </xf>
    <xf numFmtId="49" fontId="19" fillId="0" borderId="41" xfId="0" applyNumberFormat="1" applyFont="1" applyBorder="1" applyAlignment="1">
      <alignment horizontal="center" vertical="center" wrapText="1"/>
    </xf>
    <xf numFmtId="0" fontId="0" fillId="0" borderId="37" xfId="0" applyBorder="1" applyAlignment="1"/>
    <xf numFmtId="0" fontId="0" fillId="0" borderId="38" xfId="0" applyBorder="1" applyAlignment="1"/>
    <xf numFmtId="49" fontId="17" fillId="11" borderId="46" xfId="0" applyNumberFormat="1" applyFont="1" applyFill="1" applyBorder="1" applyAlignment="1">
      <alignment horizontal="center" vertical="center" wrapText="1"/>
    </xf>
    <xf numFmtId="0" fontId="0" fillId="0" borderId="45" xfId="0" applyBorder="1" applyAlignment="1"/>
    <xf numFmtId="49" fontId="17" fillId="9" borderId="46" xfId="0" applyNumberFormat="1" applyFont="1" applyFill="1" applyBorder="1" applyAlignment="1">
      <alignment horizontal="center" vertical="center" wrapText="1"/>
    </xf>
    <xf numFmtId="0" fontId="0" fillId="0" borderId="42" xfId="0" applyBorder="1" applyAlignment="1"/>
    <xf numFmtId="49" fontId="17" fillId="6" borderId="46" xfId="0" applyNumberFormat="1" applyFont="1" applyFill="1" applyBorder="1" applyAlignment="1">
      <alignment horizontal="center" vertical="center" wrapText="1"/>
    </xf>
    <xf numFmtId="0" fontId="0" fillId="0" borderId="44" xfId="0" applyBorder="1" applyAlignment="1"/>
    <xf numFmtId="49" fontId="19" fillId="0" borderId="46" xfId="0" applyNumberFormat="1" applyFont="1" applyBorder="1" applyAlignment="1">
      <alignment horizontal="center" vertical="center" wrapText="1"/>
    </xf>
    <xf numFmtId="0" fontId="0" fillId="0" borderId="48" xfId="0" applyBorder="1" applyAlignment="1"/>
    <xf numFmtId="49" fontId="17" fillId="6" borderId="41" xfId="0" applyNumberFormat="1" applyFont="1" applyFill="1" applyBorder="1" applyAlignment="1">
      <alignment horizontal="center" vertical="center" wrapText="1"/>
    </xf>
    <xf numFmtId="49" fontId="17" fillId="6" borderId="34" xfId="0" applyNumberFormat="1" applyFont="1" applyFill="1" applyBorder="1" applyAlignment="1">
      <alignment horizontal="center" vertical="center" wrapText="1"/>
    </xf>
    <xf numFmtId="0" fontId="0" fillId="0" borderId="35" xfId="0" applyBorder="1" applyAlignment="1"/>
    <xf numFmtId="0" fontId="0" fillId="0" borderId="36" xfId="0" applyBorder="1" applyAlignment="1"/>
    <xf numFmtId="0" fontId="0" fillId="0" borderId="39" xfId="0" applyBorder="1" applyAlignment="1"/>
    <xf numFmtId="0" fontId="0" fillId="0" borderId="40" xfId="0" applyBorder="1" applyAlignment="1"/>
    <xf numFmtId="49" fontId="19" fillId="0" borderId="45" xfId="0" applyNumberFormat="1" applyFont="1" applyBorder="1" applyAlignment="1">
      <alignment horizontal="center" vertical="center" wrapText="1"/>
    </xf>
    <xf numFmtId="0" fontId="0" fillId="0" borderId="47" xfId="0" applyBorder="1" applyAlignment="1"/>
    <xf numFmtId="49" fontId="19" fillId="0" borderId="34" xfId="0" applyNumberFormat="1" applyFont="1" applyBorder="1" applyAlignment="1">
      <alignment horizontal="center" vertical="center" wrapText="1"/>
    </xf>
    <xf numFmtId="49" fontId="19" fillId="0" borderId="43" xfId="0" applyNumberFormat="1" applyFont="1" applyBorder="1" applyAlignment="1">
      <alignment horizontal="center" vertical="center" wrapText="1"/>
    </xf>
    <xf numFmtId="49" fontId="17" fillId="11" borderId="45" xfId="0" applyNumberFormat="1" applyFont="1" applyFill="1" applyBorder="1" applyAlignment="1">
      <alignment horizontal="center" vertical="center" wrapText="1"/>
    </xf>
    <xf numFmtId="49" fontId="17" fillId="6" borderId="42" xfId="0" applyNumberFormat="1" applyFont="1" applyFill="1" applyBorder="1" applyAlignment="1">
      <alignment horizontal="center" vertical="center" wrapText="1"/>
    </xf>
    <xf numFmtId="49" fontId="17" fillId="7" borderId="46" xfId="0" applyNumberFormat="1" applyFont="1" applyFill="1" applyBorder="1" applyAlignment="1">
      <alignment horizontal="center" vertical="center" wrapText="1"/>
    </xf>
    <xf numFmtId="0" fontId="7" fillId="14" borderId="0" xfId="6" applyFill="1" applyAlignment="1">
      <alignment vertical="center"/>
    </xf>
    <xf numFmtId="49" fontId="19" fillId="15" borderId="46" xfId="0" applyNumberFormat="1" applyFont="1" applyFill="1" applyBorder="1" applyAlignment="1">
      <alignment horizontal="center" vertical="center" wrapText="1"/>
    </xf>
    <xf numFmtId="0" fontId="7" fillId="0" borderId="0" xfId="6" applyAlignment="1">
      <alignment vertical="center"/>
    </xf>
  </cellXfs>
  <cellStyles count="8">
    <cellStyle name="백분율" xfId="2" builtinId="5"/>
    <cellStyle name="백분율 2" xfId="4"/>
    <cellStyle name="쉼표 [0]" xfId="1" builtinId="6"/>
    <cellStyle name="쉼표 [0] 2" xfId="5"/>
    <cellStyle name="표준" xfId="0" builtinId="0"/>
    <cellStyle name="표준 2" xfId="7"/>
    <cellStyle name="표준 2 2" xfId="3"/>
    <cellStyle name="표준 4" xfId="6"/>
  </cellStyles>
  <dxfs count="2"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view="pageBreakPreview" zoomScale="85" zoomScaleNormal="85" zoomScaleSheetLayoutView="85" workbookViewId="0">
      <selection activeCell="S5" sqref="S5"/>
    </sheetView>
  </sheetViews>
  <sheetFormatPr defaultColWidth="9" defaultRowHeight="16.5"/>
  <cols>
    <col min="1" max="1" width="15.75" style="9" customWidth="1"/>
    <col min="2" max="2" width="11" style="9" bestFit="1" customWidth="1"/>
    <col min="3" max="3" width="7" style="9" bestFit="1" customWidth="1"/>
    <col min="4" max="4" width="7.875" style="9" bestFit="1" customWidth="1"/>
    <col min="5" max="6" width="7.875" style="27" bestFit="1" customWidth="1"/>
    <col min="7" max="7" width="9.5" style="27" bestFit="1" customWidth="1"/>
    <col min="8" max="8" width="7.875" style="9" bestFit="1" customWidth="1"/>
    <col min="9" max="9" width="8.375" style="174" bestFit="1" customWidth="1"/>
    <col min="10" max="11" width="5.875" style="9" bestFit="1" customWidth="1"/>
    <col min="12" max="12" width="6.5" style="9" bestFit="1" customWidth="1"/>
    <col min="13" max="13" width="11.875" style="9" bestFit="1" customWidth="1"/>
    <col min="14" max="14" width="25.5" style="9" bestFit="1" customWidth="1"/>
    <col min="15" max="15" width="9.25" style="9" bestFit="1" customWidth="1"/>
    <col min="16" max="16" width="10.125" style="9" bestFit="1" customWidth="1"/>
    <col min="17" max="17" width="7.25" style="9" bestFit="1" customWidth="1"/>
    <col min="18" max="18" width="10.125" style="9" bestFit="1" customWidth="1"/>
    <col min="19" max="19" width="9" style="2" customWidth="1"/>
    <col min="20" max="16384" width="9" style="2"/>
  </cols>
  <sheetData>
    <row r="1" spans="1:26" s="1" customFormat="1" ht="50.25" customHeight="1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</row>
    <row r="2" spans="1:26" ht="18" customHeight="1" thickBot="1">
      <c r="A2" s="152" t="s">
        <v>1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76"/>
      <c r="M2" s="176"/>
      <c r="N2" s="177" t="s">
        <v>2</v>
      </c>
      <c r="O2" s="178"/>
      <c r="P2" s="177"/>
      <c r="Q2" s="177"/>
      <c r="R2" s="177"/>
    </row>
    <row r="3" spans="1:26" ht="24.75" customHeight="1">
      <c r="A3" s="403" t="s">
        <v>3</v>
      </c>
      <c r="B3" s="390" t="s">
        <v>4</v>
      </c>
      <c r="C3" s="390" t="s">
        <v>5</v>
      </c>
      <c r="D3" s="394" t="s">
        <v>6</v>
      </c>
      <c r="E3" s="394" t="s">
        <v>7</v>
      </c>
      <c r="F3" s="402" t="s">
        <v>8</v>
      </c>
      <c r="G3" s="383"/>
      <c r="H3" s="384" t="s">
        <v>9</v>
      </c>
      <c r="I3" s="383"/>
      <c r="J3" s="387" t="s">
        <v>10</v>
      </c>
      <c r="K3" s="388"/>
      <c r="L3" s="372">
        <v>0</v>
      </c>
      <c r="M3" s="369" t="s">
        <v>11</v>
      </c>
      <c r="N3" s="399" t="s">
        <v>12</v>
      </c>
      <c r="O3" s="395" t="s">
        <v>13</v>
      </c>
      <c r="P3" s="374" t="s">
        <v>14</v>
      </c>
      <c r="Q3" s="398" t="s">
        <v>15</v>
      </c>
      <c r="R3" s="378" t="s">
        <v>16</v>
      </c>
    </row>
    <row r="4" spans="1:26" ht="19.5" customHeight="1">
      <c r="A4" s="370"/>
      <c r="B4" s="391"/>
      <c r="C4" s="391"/>
      <c r="D4" s="391"/>
      <c r="E4" s="391"/>
      <c r="F4" s="385"/>
      <c r="G4" s="386"/>
      <c r="H4" s="385"/>
      <c r="I4" s="386"/>
      <c r="J4" s="385"/>
      <c r="K4" s="389"/>
      <c r="L4" s="373"/>
      <c r="M4" s="370"/>
      <c r="N4" s="400"/>
      <c r="O4" s="396"/>
      <c r="P4" s="375"/>
      <c r="Q4" s="396"/>
      <c r="R4" s="375"/>
    </row>
    <row r="5" spans="1:26" ht="24" customHeight="1" thickBot="1">
      <c r="A5" s="380"/>
      <c r="B5" s="392"/>
      <c r="C5" s="392"/>
      <c r="D5" s="392"/>
      <c r="E5" s="392"/>
      <c r="F5" s="166" t="s">
        <v>17</v>
      </c>
      <c r="G5" s="166" t="s">
        <v>18</v>
      </c>
      <c r="H5" s="161" t="s">
        <v>17</v>
      </c>
      <c r="I5" s="179" t="s">
        <v>18</v>
      </c>
      <c r="J5" s="167" t="s">
        <v>19</v>
      </c>
      <c r="K5" s="167" t="s">
        <v>20</v>
      </c>
      <c r="L5" s="162" t="s">
        <v>21</v>
      </c>
      <c r="M5" s="371"/>
      <c r="N5" s="401"/>
      <c r="O5" s="397"/>
      <c r="P5" s="376"/>
      <c r="Q5" s="397"/>
      <c r="R5" s="376"/>
    </row>
    <row r="6" spans="1:26" ht="23.25" customHeight="1" thickBot="1">
      <c r="A6" s="382" t="s">
        <v>22</v>
      </c>
      <c r="B6" s="383"/>
      <c r="C6" s="10">
        <f>C7+C12+C16+C20+C25+C31+C36+C42</f>
        <v>7698</v>
      </c>
      <c r="D6" s="180">
        <f>D7+D12+D16+D20+D25+D31+D36+D42</f>
        <v>2029</v>
      </c>
      <c r="E6" s="181">
        <f>E7+E12+E16+E20+E25+E31+E36+E42</f>
        <v>2042</v>
      </c>
      <c r="F6" s="181">
        <f>F7+F12+F16+F20+F25+F31+F36+F42</f>
        <v>1625</v>
      </c>
      <c r="G6" s="182">
        <f>F6/E6</f>
        <v>0.79578844270323212</v>
      </c>
      <c r="H6" s="183">
        <f>SUM(H7,H12,H16,H20,H25,H31,H36,H42)</f>
        <v>2271</v>
      </c>
      <c r="I6" s="184">
        <f>H6/E6</f>
        <v>1.1121449559255632</v>
      </c>
      <c r="J6" s="185">
        <f>SUM(J7,J12,J16,J20,J25,J31,J36,J42)</f>
        <v>0</v>
      </c>
      <c r="K6" s="186">
        <f>SUM(K7,K12,K16,K20,K25,K31,K36,K42)</f>
        <v>0</v>
      </c>
      <c r="L6" s="187">
        <f>SUM(L7,L12,L16,L20,L25,L31,L36,L42)</f>
        <v>0</v>
      </c>
      <c r="M6" s="188">
        <f>G6-$C$47</f>
        <v>-3.4211557296767836E-2</v>
      </c>
      <c r="N6" s="189">
        <v>0.7847697944878127</v>
      </c>
      <c r="O6" s="190">
        <v>0.78041401273885347</v>
      </c>
      <c r="P6" s="191">
        <f>G6-N6</f>
        <v>1.1018648215419424E-2</v>
      </c>
      <c r="Q6" s="192">
        <v>0.76771033758964491</v>
      </c>
      <c r="R6" s="193">
        <f>G6-Q6</f>
        <v>2.8078105113587215E-2</v>
      </c>
      <c r="S6" s="194"/>
      <c r="T6" s="194"/>
      <c r="U6" s="194"/>
      <c r="V6" s="194"/>
      <c r="W6" s="194"/>
      <c r="X6" s="194"/>
      <c r="Y6" s="194"/>
      <c r="Z6" s="194"/>
    </row>
    <row r="7" spans="1:26" ht="18.600000000000001" customHeight="1">
      <c r="A7" s="379" t="s">
        <v>23</v>
      </c>
      <c r="B7" s="3" t="s">
        <v>24</v>
      </c>
      <c r="C7" s="11">
        <v>1273</v>
      </c>
      <c r="D7" s="11">
        <v>141</v>
      </c>
      <c r="E7" s="12">
        <v>119</v>
      </c>
      <c r="F7" s="12">
        <v>164</v>
      </c>
      <c r="G7" s="195"/>
      <c r="H7" s="11">
        <v>365</v>
      </c>
      <c r="I7" s="196"/>
      <c r="J7" s="197"/>
      <c r="K7" s="11"/>
      <c r="L7" s="13"/>
      <c r="M7" s="198">
        <v>68.5</v>
      </c>
      <c r="N7" s="199">
        <v>203</v>
      </c>
      <c r="O7" s="200"/>
      <c r="P7" s="201">
        <v>-3.8</v>
      </c>
      <c r="Q7" s="200"/>
      <c r="R7" s="201">
        <v>7.9</v>
      </c>
      <c r="S7" s="194"/>
      <c r="T7" s="194"/>
      <c r="U7" s="194"/>
      <c r="V7" s="194"/>
      <c r="W7" s="194"/>
      <c r="X7" s="194"/>
      <c r="Y7" s="194"/>
    </row>
    <row r="8" spans="1:26" ht="18.600000000000001" customHeight="1">
      <c r="A8" s="370"/>
      <c r="B8" s="4" t="s">
        <v>25</v>
      </c>
      <c r="C8" s="14">
        <v>601</v>
      </c>
      <c r="D8" s="14">
        <v>73</v>
      </c>
      <c r="E8" s="15">
        <v>124</v>
      </c>
      <c r="F8" s="15">
        <v>338</v>
      </c>
      <c r="G8" s="202"/>
      <c r="H8" s="14">
        <v>74</v>
      </c>
      <c r="I8" s="203"/>
      <c r="J8" s="204"/>
      <c r="K8" s="205"/>
      <c r="L8" s="206"/>
      <c r="M8" s="207">
        <v>77.599999999999994</v>
      </c>
      <c r="N8" s="208">
        <v>143</v>
      </c>
      <c r="O8" s="209"/>
      <c r="P8" s="210">
        <v>3.9</v>
      </c>
      <c r="Q8" s="209"/>
      <c r="R8" s="210">
        <v>-0.6</v>
      </c>
      <c r="S8" s="194"/>
      <c r="T8" s="194"/>
      <c r="U8" s="194"/>
      <c r="V8" s="194"/>
      <c r="W8" s="194"/>
      <c r="X8" s="194"/>
      <c r="Y8" s="194"/>
    </row>
    <row r="9" spans="1:26" ht="18.600000000000001" customHeight="1">
      <c r="A9" s="370"/>
      <c r="B9" s="4" t="s">
        <v>26</v>
      </c>
      <c r="C9" s="14">
        <v>276</v>
      </c>
      <c r="D9" s="14">
        <v>23</v>
      </c>
      <c r="E9" s="15">
        <v>256</v>
      </c>
      <c r="F9" s="15">
        <v>472</v>
      </c>
      <c r="G9" s="202"/>
      <c r="H9" s="14">
        <v>399</v>
      </c>
      <c r="I9" s="203"/>
      <c r="J9" s="204"/>
      <c r="K9" s="205"/>
      <c r="L9" s="206"/>
      <c r="M9" s="207">
        <v>86.6</v>
      </c>
      <c r="N9" s="208">
        <v>5</v>
      </c>
      <c r="O9" s="209"/>
      <c r="P9" s="210">
        <v>-1.5</v>
      </c>
      <c r="Q9" s="209"/>
      <c r="R9" s="210">
        <v>2.7</v>
      </c>
      <c r="S9" s="194"/>
      <c r="T9" s="194"/>
      <c r="U9" s="194"/>
      <c r="V9" s="194"/>
      <c r="W9" s="194"/>
      <c r="X9" s="194"/>
      <c r="Y9" s="194"/>
    </row>
    <row r="10" spans="1:26" ht="18.600000000000001" customHeight="1">
      <c r="A10" s="370"/>
      <c r="B10" s="4" t="s">
        <v>27</v>
      </c>
      <c r="C10" s="14">
        <v>371</v>
      </c>
      <c r="D10" s="14">
        <v>472</v>
      </c>
      <c r="E10" s="15">
        <v>211</v>
      </c>
      <c r="F10" s="15">
        <v>191</v>
      </c>
      <c r="G10" s="202"/>
      <c r="H10" s="14">
        <v>347</v>
      </c>
      <c r="I10" s="203"/>
      <c r="J10" s="204"/>
      <c r="K10" s="205"/>
      <c r="L10" s="206"/>
      <c r="M10" s="207">
        <v>66.099999999999994</v>
      </c>
      <c r="N10" s="208">
        <v>323</v>
      </c>
      <c r="O10" s="209"/>
      <c r="P10" s="210">
        <v>6.2</v>
      </c>
      <c r="Q10" s="209"/>
      <c r="R10" s="210">
        <v>5.5</v>
      </c>
      <c r="S10" s="194"/>
      <c r="T10" s="194"/>
      <c r="U10" s="194"/>
      <c r="V10" s="194"/>
      <c r="W10" s="194"/>
      <c r="X10" s="194"/>
      <c r="Y10" s="194"/>
    </row>
    <row r="11" spans="1:26" ht="18.600000000000001" customHeight="1" thickBot="1">
      <c r="A11" s="380"/>
      <c r="B11" s="5" t="s">
        <v>28</v>
      </c>
      <c r="C11" s="16">
        <v>25</v>
      </c>
      <c r="D11" s="16">
        <v>379</v>
      </c>
      <c r="E11" s="17">
        <v>215</v>
      </c>
      <c r="F11" s="17">
        <v>471</v>
      </c>
      <c r="G11" s="211"/>
      <c r="H11" s="16">
        <v>182</v>
      </c>
      <c r="I11" s="212"/>
      <c r="J11" s="213"/>
      <c r="K11" s="214"/>
      <c r="L11" s="215"/>
      <c r="M11" s="216">
        <v>93.9</v>
      </c>
      <c r="N11" s="217">
        <v>180</v>
      </c>
      <c r="O11" s="218"/>
      <c r="P11" s="219">
        <v>6</v>
      </c>
      <c r="Q11" s="218"/>
      <c r="R11" s="219">
        <v>-4.9000000000000004</v>
      </c>
      <c r="S11" s="194"/>
      <c r="T11" s="194"/>
      <c r="U11" s="194"/>
      <c r="V11" s="194"/>
      <c r="W11" s="194"/>
      <c r="X11" s="194"/>
      <c r="Y11" s="194"/>
    </row>
    <row r="12" spans="1:26" ht="18.600000000000001" customHeight="1">
      <c r="A12" s="377" t="s">
        <v>29</v>
      </c>
      <c r="B12" s="3" t="s">
        <v>24</v>
      </c>
      <c r="C12" s="11">
        <v>1097</v>
      </c>
      <c r="D12" s="11">
        <v>320</v>
      </c>
      <c r="E12" s="12">
        <v>405</v>
      </c>
      <c r="F12" s="12">
        <v>330</v>
      </c>
      <c r="G12" s="195"/>
      <c r="H12" s="11">
        <v>231</v>
      </c>
      <c r="I12" s="220"/>
      <c r="J12" s="11"/>
      <c r="K12" s="11"/>
      <c r="L12" s="13"/>
      <c r="M12" s="198">
        <v>71.3</v>
      </c>
      <c r="N12" s="221">
        <v>319</v>
      </c>
      <c r="O12" s="222"/>
      <c r="P12" s="223">
        <v>-4.0999999999999996</v>
      </c>
      <c r="Q12" s="222"/>
      <c r="R12" s="201">
        <v>5</v>
      </c>
      <c r="S12" s="194"/>
      <c r="T12" s="194"/>
      <c r="U12" s="194"/>
      <c r="V12" s="194"/>
      <c r="W12" s="194"/>
      <c r="X12" s="194"/>
      <c r="Y12" s="194"/>
    </row>
    <row r="13" spans="1:26" ht="18.600000000000001" customHeight="1">
      <c r="A13" s="370"/>
      <c r="B13" s="4" t="s">
        <v>30</v>
      </c>
      <c r="C13" s="14">
        <v>1031</v>
      </c>
      <c r="D13" s="14">
        <v>481</v>
      </c>
      <c r="E13" s="15">
        <v>80</v>
      </c>
      <c r="F13" s="15">
        <v>495</v>
      </c>
      <c r="G13" s="202"/>
      <c r="H13" s="14">
        <v>383</v>
      </c>
      <c r="I13" s="203"/>
      <c r="J13" s="204"/>
      <c r="K13" s="205"/>
      <c r="L13" s="206"/>
      <c r="M13" s="207">
        <v>92.7</v>
      </c>
      <c r="N13" s="208">
        <v>299</v>
      </c>
      <c r="O13" s="209"/>
      <c r="P13" s="210">
        <v>6.5</v>
      </c>
      <c r="Q13" s="209"/>
      <c r="R13" s="210">
        <v>3.2</v>
      </c>
      <c r="S13" s="194"/>
      <c r="T13" s="194"/>
      <c r="U13" s="194"/>
      <c r="V13" s="194"/>
      <c r="W13" s="194"/>
      <c r="X13" s="194"/>
      <c r="Y13" s="194"/>
    </row>
    <row r="14" spans="1:26" ht="18.600000000000001" customHeight="1">
      <c r="A14" s="370"/>
      <c r="B14" s="4" t="s">
        <v>31</v>
      </c>
      <c r="C14" s="14">
        <v>48</v>
      </c>
      <c r="D14" s="14">
        <v>232</v>
      </c>
      <c r="E14" s="15">
        <v>175</v>
      </c>
      <c r="F14" s="15">
        <v>136</v>
      </c>
      <c r="G14" s="202"/>
      <c r="H14" s="14">
        <v>41</v>
      </c>
      <c r="I14" s="203"/>
      <c r="J14" s="204"/>
      <c r="K14" s="205"/>
      <c r="L14" s="206"/>
      <c r="M14" s="207">
        <v>94.2</v>
      </c>
      <c r="N14" s="224">
        <v>36</v>
      </c>
      <c r="O14" s="225"/>
      <c r="P14" s="210">
        <v>-1.3</v>
      </c>
      <c r="Q14" s="225"/>
      <c r="R14" s="210">
        <v>4.5</v>
      </c>
      <c r="S14" s="194"/>
      <c r="T14" s="194"/>
      <c r="U14" s="194"/>
      <c r="V14" s="194"/>
      <c r="W14" s="194"/>
      <c r="X14" s="194"/>
      <c r="Y14" s="194"/>
    </row>
    <row r="15" spans="1:26" ht="18.600000000000001" customHeight="1" thickBot="1">
      <c r="A15" s="371"/>
      <c r="B15" s="6" t="s">
        <v>32</v>
      </c>
      <c r="C15" s="29">
        <v>18</v>
      </c>
      <c r="D15" s="29">
        <v>228</v>
      </c>
      <c r="E15" s="18">
        <v>64</v>
      </c>
      <c r="F15" s="29">
        <v>188</v>
      </c>
      <c r="G15" s="226"/>
      <c r="H15" s="29">
        <v>229</v>
      </c>
      <c r="I15" s="227"/>
      <c r="J15" s="29"/>
      <c r="K15" s="29"/>
      <c r="L15" s="30"/>
      <c r="M15" s="228">
        <v>69.3</v>
      </c>
      <c r="N15" s="224">
        <v>119</v>
      </c>
      <c r="O15" s="225"/>
      <c r="P15" s="210">
        <v>0.8</v>
      </c>
      <c r="Q15" s="225"/>
      <c r="R15" s="219">
        <v>-3.3</v>
      </c>
      <c r="S15" s="194"/>
      <c r="T15" s="194"/>
      <c r="U15" s="194"/>
      <c r="V15" s="194"/>
      <c r="W15" s="194"/>
      <c r="X15" s="194"/>
      <c r="Y15" s="194"/>
    </row>
    <row r="16" spans="1:26" ht="18.600000000000001" customHeight="1">
      <c r="A16" s="381" t="s">
        <v>33</v>
      </c>
      <c r="B16" s="7" t="s">
        <v>24</v>
      </c>
      <c r="C16" s="19">
        <v>268</v>
      </c>
      <c r="D16" s="19">
        <v>292</v>
      </c>
      <c r="E16" s="20">
        <v>119</v>
      </c>
      <c r="F16" s="20">
        <v>122</v>
      </c>
      <c r="G16" s="229"/>
      <c r="H16" s="19">
        <v>360</v>
      </c>
      <c r="I16" s="230"/>
      <c r="J16" s="231"/>
      <c r="K16" s="232"/>
      <c r="L16" s="233"/>
      <c r="M16" s="234">
        <v>91.4</v>
      </c>
      <c r="N16" s="199">
        <v>14</v>
      </c>
      <c r="O16" s="200"/>
      <c r="P16" s="201">
        <v>-4.3</v>
      </c>
      <c r="Q16" s="200"/>
      <c r="R16" s="201">
        <v>3.7</v>
      </c>
      <c r="S16" s="194"/>
      <c r="T16" s="194"/>
      <c r="U16" s="194"/>
      <c r="V16" s="194"/>
      <c r="W16" s="194"/>
      <c r="X16" s="194"/>
      <c r="Y16" s="194"/>
    </row>
    <row r="17" spans="1:25" ht="18.600000000000001" customHeight="1">
      <c r="A17" s="370"/>
      <c r="B17" s="4" t="s">
        <v>34</v>
      </c>
      <c r="C17" s="14">
        <v>134</v>
      </c>
      <c r="D17" s="14">
        <v>478</v>
      </c>
      <c r="E17" s="15">
        <v>474</v>
      </c>
      <c r="F17" s="15">
        <v>173</v>
      </c>
      <c r="G17" s="202"/>
      <c r="H17" s="14">
        <v>45</v>
      </c>
      <c r="I17" s="203"/>
      <c r="J17" s="204"/>
      <c r="K17" s="205"/>
      <c r="L17" s="206"/>
      <c r="M17" s="207">
        <v>93.9</v>
      </c>
      <c r="N17" s="208">
        <v>142</v>
      </c>
      <c r="O17" s="209"/>
      <c r="P17" s="210">
        <v>-2.7</v>
      </c>
      <c r="Q17" s="209"/>
      <c r="R17" s="210">
        <v>7.2</v>
      </c>
      <c r="S17" s="194"/>
      <c r="T17" s="194"/>
      <c r="U17" s="194"/>
      <c r="V17" s="194"/>
      <c r="W17" s="194"/>
      <c r="X17" s="194"/>
      <c r="Y17" s="194"/>
    </row>
    <row r="18" spans="1:25" ht="18.600000000000001" customHeight="1">
      <c r="A18" s="370"/>
      <c r="B18" s="4" t="s">
        <v>35</v>
      </c>
      <c r="C18" s="14">
        <v>74</v>
      </c>
      <c r="D18" s="14">
        <v>39</v>
      </c>
      <c r="E18" s="15">
        <v>481</v>
      </c>
      <c r="F18" s="15">
        <v>350</v>
      </c>
      <c r="G18" s="202"/>
      <c r="H18" s="14">
        <v>198</v>
      </c>
      <c r="I18" s="203"/>
      <c r="J18" s="204"/>
      <c r="K18" s="205"/>
      <c r="L18" s="206"/>
      <c r="M18" s="207">
        <v>63.2</v>
      </c>
      <c r="N18" s="208">
        <v>418</v>
      </c>
      <c r="O18" s="209"/>
      <c r="P18" s="210">
        <v>0.6</v>
      </c>
      <c r="Q18" s="209"/>
      <c r="R18" s="210">
        <v>6.4</v>
      </c>
      <c r="S18" s="194"/>
      <c r="T18" s="194"/>
      <c r="U18" s="194"/>
      <c r="V18" s="194"/>
      <c r="W18" s="194"/>
      <c r="X18" s="194"/>
      <c r="Y18" s="194"/>
    </row>
    <row r="19" spans="1:25" ht="18.600000000000001" customHeight="1" thickBot="1">
      <c r="A19" s="380"/>
      <c r="B19" s="8" t="s">
        <v>36</v>
      </c>
      <c r="C19" s="21">
        <v>60</v>
      </c>
      <c r="D19" s="21">
        <v>428</v>
      </c>
      <c r="E19" s="22">
        <v>247</v>
      </c>
      <c r="F19" s="22">
        <v>433</v>
      </c>
      <c r="G19" s="235"/>
      <c r="H19" s="21">
        <v>214</v>
      </c>
      <c r="I19" s="236"/>
      <c r="J19" s="237"/>
      <c r="K19" s="238"/>
      <c r="L19" s="239"/>
      <c r="M19" s="216">
        <v>83</v>
      </c>
      <c r="N19" s="217">
        <v>286</v>
      </c>
      <c r="O19" s="218"/>
      <c r="P19" s="219">
        <v>6.6</v>
      </c>
      <c r="Q19" s="218"/>
      <c r="R19" s="219">
        <v>1.1000000000000001</v>
      </c>
      <c r="S19" s="194"/>
      <c r="T19" s="194"/>
      <c r="U19" s="194"/>
      <c r="V19" s="194"/>
      <c r="W19" s="194"/>
      <c r="X19" s="194"/>
      <c r="Y19" s="194"/>
    </row>
    <row r="20" spans="1:25" ht="18.600000000000001" customHeight="1">
      <c r="A20" s="379" t="s">
        <v>37</v>
      </c>
      <c r="B20" s="3" t="s">
        <v>24</v>
      </c>
      <c r="C20" s="11">
        <v>1143</v>
      </c>
      <c r="D20" s="11">
        <v>238</v>
      </c>
      <c r="E20" s="12">
        <v>291</v>
      </c>
      <c r="F20" s="12">
        <v>462</v>
      </c>
      <c r="G20" s="195"/>
      <c r="H20" s="11">
        <v>188</v>
      </c>
      <c r="I20" s="196"/>
      <c r="J20" s="240"/>
      <c r="K20" s="241"/>
      <c r="L20" s="242"/>
      <c r="M20" s="234">
        <v>60.6</v>
      </c>
      <c r="N20" s="221">
        <v>217</v>
      </c>
      <c r="O20" s="222"/>
      <c r="P20" s="223">
        <v>0.5</v>
      </c>
      <c r="Q20" s="222"/>
      <c r="R20" s="201">
        <v>3</v>
      </c>
      <c r="S20" s="194"/>
      <c r="T20" s="194"/>
      <c r="U20" s="194"/>
      <c r="V20" s="194"/>
      <c r="W20" s="194"/>
      <c r="X20" s="194"/>
      <c r="Y20" s="194"/>
    </row>
    <row r="21" spans="1:25" ht="18.600000000000001" customHeight="1">
      <c r="A21" s="370"/>
      <c r="B21" s="4" t="s">
        <v>38</v>
      </c>
      <c r="C21" s="14">
        <v>421</v>
      </c>
      <c r="D21" s="14">
        <v>453</v>
      </c>
      <c r="E21" s="15">
        <v>266</v>
      </c>
      <c r="F21" s="15">
        <v>487</v>
      </c>
      <c r="G21" s="202"/>
      <c r="H21" s="14">
        <v>401</v>
      </c>
      <c r="I21" s="203"/>
      <c r="J21" s="204"/>
      <c r="K21" s="205"/>
      <c r="L21" s="206"/>
      <c r="M21" s="207">
        <v>92.9</v>
      </c>
      <c r="N21" s="208">
        <v>102</v>
      </c>
      <c r="O21" s="209"/>
      <c r="P21" s="210">
        <v>3</v>
      </c>
      <c r="Q21" s="209"/>
      <c r="R21" s="210">
        <v>1.1000000000000001</v>
      </c>
      <c r="S21" s="194"/>
      <c r="T21" s="194"/>
      <c r="U21" s="194"/>
      <c r="V21" s="194"/>
      <c r="W21" s="194"/>
      <c r="X21" s="194"/>
      <c r="Y21" s="194"/>
    </row>
    <row r="22" spans="1:25" ht="18.600000000000001" customHeight="1">
      <c r="A22" s="370"/>
      <c r="B22" s="4" t="s">
        <v>39</v>
      </c>
      <c r="C22" s="14">
        <v>360</v>
      </c>
      <c r="D22" s="14">
        <v>251</v>
      </c>
      <c r="E22" s="15">
        <v>24</v>
      </c>
      <c r="F22" s="15">
        <v>239</v>
      </c>
      <c r="G22" s="202"/>
      <c r="H22" s="14">
        <v>358</v>
      </c>
      <c r="I22" s="203"/>
      <c r="J22" s="204"/>
      <c r="K22" s="205"/>
      <c r="L22" s="206"/>
      <c r="M22" s="207">
        <v>58.8</v>
      </c>
      <c r="N22" s="208">
        <v>222</v>
      </c>
      <c r="O22" s="209"/>
      <c r="P22" s="210">
        <v>-4.5</v>
      </c>
      <c r="Q22" s="209"/>
      <c r="R22" s="210">
        <v>-1</v>
      </c>
      <c r="S22" s="194"/>
      <c r="T22" s="194"/>
      <c r="U22" s="194"/>
      <c r="V22" s="194"/>
      <c r="W22" s="194"/>
      <c r="X22" s="194"/>
      <c r="Y22" s="194"/>
    </row>
    <row r="23" spans="1:25" ht="18.600000000000001" customHeight="1">
      <c r="A23" s="370"/>
      <c r="B23" s="4" t="s">
        <v>40</v>
      </c>
      <c r="C23" s="14">
        <v>257</v>
      </c>
      <c r="D23" s="14">
        <v>75</v>
      </c>
      <c r="E23" s="15">
        <v>386</v>
      </c>
      <c r="F23" s="15">
        <v>466</v>
      </c>
      <c r="G23" s="202"/>
      <c r="H23" s="14">
        <v>15</v>
      </c>
      <c r="I23" s="203"/>
      <c r="J23" s="204"/>
      <c r="K23" s="205"/>
      <c r="L23" s="206"/>
      <c r="M23" s="207">
        <v>93.4</v>
      </c>
      <c r="N23" s="208">
        <v>248</v>
      </c>
      <c r="O23" s="209"/>
      <c r="P23" s="210">
        <v>-0.7</v>
      </c>
      <c r="Q23" s="209"/>
      <c r="R23" s="210">
        <v>-1.7</v>
      </c>
      <c r="S23" s="194"/>
      <c r="T23" s="194"/>
      <c r="U23" s="194"/>
      <c r="V23" s="194"/>
      <c r="W23" s="194"/>
      <c r="X23" s="194"/>
      <c r="Y23" s="194"/>
    </row>
    <row r="24" spans="1:25" ht="18.600000000000001" customHeight="1" thickBot="1">
      <c r="A24" s="380"/>
      <c r="B24" s="28" t="s">
        <v>41</v>
      </c>
      <c r="C24" s="23">
        <v>105</v>
      </c>
      <c r="D24" s="23">
        <v>26</v>
      </c>
      <c r="E24" s="24">
        <v>301</v>
      </c>
      <c r="F24" s="24">
        <v>391</v>
      </c>
      <c r="G24" s="226"/>
      <c r="H24" s="23">
        <v>31</v>
      </c>
      <c r="I24" s="243"/>
      <c r="J24" s="244"/>
      <c r="K24" s="245"/>
      <c r="L24" s="246"/>
      <c r="M24" s="216">
        <v>59.7</v>
      </c>
      <c r="N24" s="247">
        <v>113</v>
      </c>
      <c r="O24" s="248"/>
      <c r="P24" s="249">
        <v>5.6</v>
      </c>
      <c r="Q24" s="248"/>
      <c r="R24" s="219">
        <v>5.0999999999999996</v>
      </c>
      <c r="S24" s="194"/>
      <c r="T24" s="194"/>
      <c r="U24" s="194"/>
      <c r="V24" s="194"/>
      <c r="W24" s="194"/>
      <c r="X24" s="194"/>
      <c r="Y24" s="194"/>
    </row>
    <row r="25" spans="1:25" ht="18.600000000000001" customHeight="1">
      <c r="A25" s="393" t="s">
        <v>42</v>
      </c>
      <c r="B25" s="7" t="s">
        <v>24</v>
      </c>
      <c r="C25" s="19">
        <v>857</v>
      </c>
      <c r="D25" s="19">
        <v>446</v>
      </c>
      <c r="E25" s="20">
        <v>345</v>
      </c>
      <c r="F25" s="20">
        <v>96</v>
      </c>
      <c r="G25" s="229"/>
      <c r="H25" s="19">
        <v>325</v>
      </c>
      <c r="I25" s="230"/>
      <c r="J25" s="231"/>
      <c r="K25" s="232"/>
      <c r="L25" s="233"/>
      <c r="M25" s="234">
        <v>77.8</v>
      </c>
      <c r="N25" s="199">
        <v>141</v>
      </c>
      <c r="O25" s="200"/>
      <c r="P25" s="201">
        <v>0.7</v>
      </c>
      <c r="Q25" s="200"/>
      <c r="R25" s="201">
        <v>1.8</v>
      </c>
      <c r="S25" s="194"/>
      <c r="T25" s="194"/>
      <c r="U25" s="194"/>
      <c r="V25" s="194"/>
      <c r="W25" s="194"/>
      <c r="X25" s="194"/>
      <c r="Y25" s="194"/>
    </row>
    <row r="26" spans="1:25" ht="18.600000000000001" customHeight="1">
      <c r="A26" s="370"/>
      <c r="B26" s="4" t="s">
        <v>43</v>
      </c>
      <c r="C26" s="14">
        <v>422</v>
      </c>
      <c r="D26" s="14">
        <v>389</v>
      </c>
      <c r="E26" s="15">
        <v>175</v>
      </c>
      <c r="F26" s="15">
        <v>253</v>
      </c>
      <c r="G26" s="202"/>
      <c r="H26" s="14">
        <v>24</v>
      </c>
      <c r="I26" s="203"/>
      <c r="J26" s="204"/>
      <c r="K26" s="205"/>
      <c r="L26" s="206"/>
      <c r="M26" s="207">
        <v>57.2</v>
      </c>
      <c r="N26" s="208">
        <v>128</v>
      </c>
      <c r="O26" s="209"/>
      <c r="P26" s="210">
        <v>1.8</v>
      </c>
      <c r="Q26" s="209"/>
      <c r="R26" s="210">
        <v>6</v>
      </c>
      <c r="S26" s="194"/>
      <c r="T26" s="194"/>
      <c r="U26" s="194"/>
      <c r="V26" s="194"/>
      <c r="W26" s="194"/>
      <c r="X26" s="194"/>
      <c r="Y26" s="194"/>
    </row>
    <row r="27" spans="1:25" ht="18.600000000000001" customHeight="1">
      <c r="A27" s="370"/>
      <c r="B27" s="4" t="s">
        <v>44</v>
      </c>
      <c r="C27" s="14">
        <v>253</v>
      </c>
      <c r="D27" s="14">
        <v>191</v>
      </c>
      <c r="E27" s="15">
        <v>455</v>
      </c>
      <c r="F27" s="15">
        <v>105</v>
      </c>
      <c r="G27" s="202"/>
      <c r="H27" s="14">
        <v>438</v>
      </c>
      <c r="I27" s="203"/>
      <c r="J27" s="204"/>
      <c r="K27" s="205"/>
      <c r="L27" s="206"/>
      <c r="M27" s="207">
        <v>71.3</v>
      </c>
      <c r="N27" s="208">
        <v>79</v>
      </c>
      <c r="O27" s="209"/>
      <c r="P27" s="210">
        <v>1.9</v>
      </c>
      <c r="Q27" s="209"/>
      <c r="R27" s="210">
        <v>-2.9</v>
      </c>
      <c r="S27" s="194"/>
      <c r="T27" s="194"/>
      <c r="U27" s="194"/>
      <c r="V27" s="194"/>
      <c r="W27" s="194"/>
      <c r="X27" s="194"/>
      <c r="Y27" s="194"/>
    </row>
    <row r="28" spans="1:25" ht="18.600000000000001" customHeight="1">
      <c r="A28" s="370"/>
      <c r="B28" s="4" t="s">
        <v>45</v>
      </c>
      <c r="C28" s="14">
        <v>111</v>
      </c>
      <c r="D28" s="14">
        <v>240</v>
      </c>
      <c r="E28" s="15">
        <v>426</v>
      </c>
      <c r="F28" s="15">
        <v>263</v>
      </c>
      <c r="G28" s="202"/>
      <c r="H28" s="14">
        <v>405</v>
      </c>
      <c r="I28" s="203"/>
      <c r="J28" s="204"/>
      <c r="K28" s="205"/>
      <c r="L28" s="206"/>
      <c r="M28" s="207">
        <v>86.8</v>
      </c>
      <c r="N28" s="208">
        <v>134</v>
      </c>
      <c r="O28" s="209"/>
      <c r="P28" s="210">
        <v>-3.9</v>
      </c>
      <c r="Q28" s="209"/>
      <c r="R28" s="210">
        <v>7.5</v>
      </c>
      <c r="S28" s="194"/>
      <c r="T28" s="194"/>
      <c r="U28" s="194"/>
      <c r="V28" s="194"/>
      <c r="W28" s="194"/>
      <c r="X28" s="194"/>
      <c r="Y28" s="194"/>
    </row>
    <row r="29" spans="1:25" ht="18.600000000000001" customHeight="1">
      <c r="A29" s="370"/>
      <c r="B29" s="4" t="s">
        <v>46</v>
      </c>
      <c r="C29" s="14">
        <v>69</v>
      </c>
      <c r="D29" s="14">
        <v>414</v>
      </c>
      <c r="E29" s="15">
        <v>282</v>
      </c>
      <c r="F29" s="15">
        <v>263</v>
      </c>
      <c r="G29" s="202"/>
      <c r="H29" s="14">
        <v>80</v>
      </c>
      <c r="I29" s="203"/>
      <c r="J29" s="204"/>
      <c r="K29" s="205"/>
      <c r="L29" s="206"/>
      <c r="M29" s="207">
        <v>80.099999999999994</v>
      </c>
      <c r="N29" s="208">
        <v>21</v>
      </c>
      <c r="O29" s="209"/>
      <c r="P29" s="210">
        <v>-2.8</v>
      </c>
      <c r="Q29" s="209"/>
      <c r="R29" s="210">
        <v>0.8</v>
      </c>
      <c r="S29" s="194"/>
      <c r="T29" s="194"/>
      <c r="U29" s="194"/>
      <c r="V29" s="194"/>
      <c r="W29" s="194"/>
      <c r="X29" s="194"/>
      <c r="Y29" s="194"/>
    </row>
    <row r="30" spans="1:25" ht="18.600000000000001" customHeight="1" thickBot="1">
      <c r="A30" s="370"/>
      <c r="B30" s="5" t="s">
        <v>47</v>
      </c>
      <c r="C30" s="21">
        <v>2</v>
      </c>
      <c r="D30" s="21">
        <v>149</v>
      </c>
      <c r="E30" s="22">
        <v>201</v>
      </c>
      <c r="F30" s="22">
        <v>397</v>
      </c>
      <c r="G30" s="235"/>
      <c r="H30" s="21">
        <v>270</v>
      </c>
      <c r="I30" s="236"/>
      <c r="J30" s="237"/>
      <c r="K30" s="238"/>
      <c r="L30" s="239"/>
      <c r="M30" s="216">
        <v>86.6</v>
      </c>
      <c r="N30" s="217">
        <v>225</v>
      </c>
      <c r="O30" s="218"/>
      <c r="P30" s="219">
        <v>2.7</v>
      </c>
      <c r="Q30" s="218"/>
      <c r="R30" s="219">
        <v>0.3</v>
      </c>
      <c r="S30" s="194"/>
      <c r="T30" s="194"/>
      <c r="U30" s="194"/>
      <c r="V30" s="194"/>
      <c r="W30" s="194"/>
      <c r="X30" s="194"/>
      <c r="Y30" s="194"/>
    </row>
    <row r="31" spans="1:25" ht="18.600000000000001" customHeight="1">
      <c r="A31" s="379" t="s">
        <v>48</v>
      </c>
      <c r="B31" s="3" t="s">
        <v>24</v>
      </c>
      <c r="C31" s="11">
        <v>732</v>
      </c>
      <c r="D31" s="11">
        <v>216</v>
      </c>
      <c r="E31" s="12">
        <v>12</v>
      </c>
      <c r="F31" s="12">
        <v>104</v>
      </c>
      <c r="G31" s="195"/>
      <c r="H31" s="11">
        <v>16</v>
      </c>
      <c r="I31" s="196"/>
      <c r="J31" s="240"/>
      <c r="K31" s="241"/>
      <c r="L31" s="242"/>
      <c r="M31" s="234">
        <v>58.1</v>
      </c>
      <c r="N31" s="221">
        <v>228</v>
      </c>
      <c r="O31" s="222"/>
      <c r="P31" s="223">
        <v>-3.4</v>
      </c>
      <c r="Q31" s="222"/>
      <c r="R31" s="201">
        <v>6.1</v>
      </c>
      <c r="S31" s="194"/>
      <c r="T31" s="194"/>
      <c r="U31" s="194"/>
      <c r="V31" s="194"/>
      <c r="W31" s="194"/>
      <c r="X31" s="194"/>
      <c r="Y31" s="194"/>
    </row>
    <row r="32" spans="1:25" ht="18.600000000000001" customHeight="1">
      <c r="A32" s="370"/>
      <c r="B32" s="4" t="s">
        <v>49</v>
      </c>
      <c r="C32" s="14">
        <v>290</v>
      </c>
      <c r="D32" s="14">
        <v>42</v>
      </c>
      <c r="E32" s="15">
        <v>222</v>
      </c>
      <c r="F32" s="15">
        <v>401</v>
      </c>
      <c r="G32" s="202"/>
      <c r="H32" s="14">
        <v>449</v>
      </c>
      <c r="I32" s="203"/>
      <c r="J32" s="204"/>
      <c r="K32" s="205"/>
      <c r="L32" s="206"/>
      <c r="M32" s="207">
        <v>93</v>
      </c>
      <c r="N32" s="208">
        <v>128</v>
      </c>
      <c r="O32" s="209"/>
      <c r="P32" s="210">
        <v>3.2</v>
      </c>
      <c r="Q32" s="209"/>
      <c r="R32" s="210">
        <v>2.1</v>
      </c>
      <c r="S32" s="194"/>
      <c r="T32" s="194"/>
      <c r="U32" s="194"/>
      <c r="V32" s="194"/>
      <c r="W32" s="194"/>
      <c r="X32" s="194"/>
      <c r="Y32" s="194"/>
    </row>
    <row r="33" spans="1:25" ht="18.600000000000001" customHeight="1">
      <c r="A33" s="370"/>
      <c r="B33" s="4" t="s">
        <v>50</v>
      </c>
      <c r="C33" s="14">
        <v>256</v>
      </c>
      <c r="D33" s="14">
        <v>20</v>
      </c>
      <c r="E33" s="15">
        <v>178</v>
      </c>
      <c r="F33" s="15">
        <v>495</v>
      </c>
      <c r="G33" s="202"/>
      <c r="H33" s="14">
        <v>375</v>
      </c>
      <c r="I33" s="203"/>
      <c r="J33" s="204"/>
      <c r="K33" s="205"/>
      <c r="L33" s="206"/>
      <c r="M33" s="207">
        <v>93.9</v>
      </c>
      <c r="N33" s="208">
        <v>175</v>
      </c>
      <c r="O33" s="209"/>
      <c r="P33" s="210">
        <v>-2.2999999999999998</v>
      </c>
      <c r="Q33" s="209"/>
      <c r="R33" s="210">
        <v>-2.5</v>
      </c>
      <c r="S33" s="194"/>
      <c r="T33" s="194"/>
      <c r="U33" s="194"/>
      <c r="V33" s="194"/>
      <c r="W33" s="194"/>
      <c r="X33" s="194"/>
      <c r="Y33" s="194"/>
    </row>
    <row r="34" spans="1:25" ht="18.600000000000001" customHeight="1">
      <c r="A34" s="370"/>
      <c r="B34" s="4" t="s">
        <v>51</v>
      </c>
      <c r="C34" s="14">
        <v>25</v>
      </c>
      <c r="D34" s="14">
        <v>72</v>
      </c>
      <c r="E34" s="15">
        <v>156</v>
      </c>
      <c r="F34" s="15">
        <v>208</v>
      </c>
      <c r="G34" s="202"/>
      <c r="H34" s="14">
        <v>82</v>
      </c>
      <c r="I34" s="203"/>
      <c r="J34" s="204"/>
      <c r="K34" s="205"/>
      <c r="L34" s="206"/>
      <c r="M34" s="207">
        <v>74.8</v>
      </c>
      <c r="N34" s="208">
        <v>481</v>
      </c>
      <c r="O34" s="209"/>
      <c r="P34" s="210">
        <v>-2</v>
      </c>
      <c r="Q34" s="209"/>
      <c r="R34" s="210">
        <v>4.8</v>
      </c>
      <c r="S34" s="194"/>
      <c r="T34" s="194"/>
      <c r="U34" s="194"/>
      <c r="V34" s="194"/>
      <c r="W34" s="194"/>
      <c r="X34" s="194"/>
      <c r="Y34" s="194"/>
    </row>
    <row r="35" spans="1:25" ht="18.600000000000001" customHeight="1" thickBot="1">
      <c r="A35" s="380"/>
      <c r="B35" s="6" t="s">
        <v>52</v>
      </c>
      <c r="C35" s="29">
        <v>161</v>
      </c>
      <c r="D35" s="29">
        <v>31</v>
      </c>
      <c r="E35" s="24">
        <v>337</v>
      </c>
      <c r="F35" s="24">
        <v>433</v>
      </c>
      <c r="G35" s="250"/>
      <c r="H35" s="29">
        <v>318</v>
      </c>
      <c r="I35" s="251"/>
      <c r="J35" s="252"/>
      <c r="K35" s="253"/>
      <c r="L35" s="254"/>
      <c r="M35" s="216">
        <v>77.2</v>
      </c>
      <c r="N35" s="247">
        <v>264</v>
      </c>
      <c r="O35" s="248"/>
      <c r="P35" s="249">
        <v>-1.3</v>
      </c>
      <c r="Q35" s="248"/>
      <c r="R35" s="219">
        <v>-0.4</v>
      </c>
      <c r="S35" s="194"/>
      <c r="T35" s="194"/>
      <c r="U35" s="194"/>
      <c r="V35" s="194"/>
      <c r="W35" s="194"/>
      <c r="X35" s="194"/>
      <c r="Y35" s="194"/>
    </row>
    <row r="36" spans="1:25" ht="18.600000000000001" customHeight="1">
      <c r="A36" s="381" t="s">
        <v>53</v>
      </c>
      <c r="B36" s="7" t="s">
        <v>24</v>
      </c>
      <c r="C36" s="19">
        <v>1441</v>
      </c>
      <c r="D36" s="19">
        <v>238</v>
      </c>
      <c r="E36" s="20">
        <v>388</v>
      </c>
      <c r="F36" s="20">
        <v>107</v>
      </c>
      <c r="G36" s="229"/>
      <c r="H36" s="19">
        <v>417</v>
      </c>
      <c r="I36" s="230"/>
      <c r="J36" s="231"/>
      <c r="K36" s="232"/>
      <c r="L36" s="255"/>
      <c r="M36" s="234">
        <v>89.8</v>
      </c>
      <c r="N36" s="199">
        <v>412</v>
      </c>
      <c r="O36" s="200"/>
      <c r="P36" s="201">
        <v>-2.2000000000000002</v>
      </c>
      <c r="Q36" s="200"/>
      <c r="R36" s="201">
        <v>4.4000000000000004</v>
      </c>
      <c r="S36" s="194"/>
      <c r="T36" s="194"/>
      <c r="U36" s="194"/>
      <c r="V36" s="194"/>
      <c r="W36" s="194"/>
      <c r="X36" s="194"/>
      <c r="Y36" s="194"/>
    </row>
    <row r="37" spans="1:25" ht="18.600000000000001" customHeight="1">
      <c r="A37" s="370"/>
      <c r="B37" s="4" t="s">
        <v>54</v>
      </c>
      <c r="C37" s="14">
        <v>696</v>
      </c>
      <c r="D37" s="14">
        <v>70</v>
      </c>
      <c r="E37" s="15">
        <v>28</v>
      </c>
      <c r="F37" s="15">
        <v>101</v>
      </c>
      <c r="G37" s="202"/>
      <c r="H37" s="14">
        <v>98</v>
      </c>
      <c r="I37" s="203"/>
      <c r="J37" s="204"/>
      <c r="K37" s="205"/>
      <c r="L37" s="256"/>
      <c r="M37" s="207">
        <v>61.5</v>
      </c>
      <c r="N37" s="208">
        <v>336</v>
      </c>
      <c r="O37" s="209"/>
      <c r="P37" s="210">
        <v>1.3</v>
      </c>
      <c r="Q37" s="209"/>
      <c r="R37" s="210">
        <v>-3.6</v>
      </c>
      <c r="S37" s="194"/>
      <c r="T37" s="194"/>
      <c r="U37" s="194"/>
      <c r="V37" s="194"/>
      <c r="W37" s="194"/>
      <c r="X37" s="194"/>
      <c r="Y37" s="194"/>
    </row>
    <row r="38" spans="1:25" ht="18.600000000000001" customHeight="1">
      <c r="A38" s="370"/>
      <c r="B38" s="4" t="s">
        <v>55</v>
      </c>
      <c r="C38" s="14">
        <v>407</v>
      </c>
      <c r="D38" s="14">
        <v>426</v>
      </c>
      <c r="E38" s="15">
        <v>476</v>
      </c>
      <c r="F38" s="15">
        <v>259</v>
      </c>
      <c r="G38" s="202"/>
      <c r="H38" s="14">
        <v>436</v>
      </c>
      <c r="I38" s="203"/>
      <c r="J38" s="204"/>
      <c r="K38" s="205"/>
      <c r="L38" s="256"/>
      <c r="M38" s="207">
        <v>83.2</v>
      </c>
      <c r="N38" s="208">
        <v>311</v>
      </c>
      <c r="O38" s="209"/>
      <c r="P38" s="210">
        <v>-2.7</v>
      </c>
      <c r="Q38" s="209"/>
      <c r="R38" s="210">
        <v>-3.6</v>
      </c>
      <c r="S38" s="194"/>
      <c r="T38" s="194"/>
      <c r="U38" s="194"/>
      <c r="V38" s="194"/>
      <c r="W38" s="194"/>
      <c r="X38" s="194"/>
      <c r="Y38" s="194"/>
    </row>
    <row r="39" spans="1:25" ht="18.600000000000001" customHeight="1">
      <c r="A39" s="370"/>
      <c r="B39" s="8" t="s">
        <v>56</v>
      </c>
      <c r="C39" s="21">
        <v>325</v>
      </c>
      <c r="D39" s="21">
        <v>111</v>
      </c>
      <c r="E39" s="15">
        <v>24</v>
      </c>
      <c r="F39" s="15">
        <v>426</v>
      </c>
      <c r="G39" s="202"/>
      <c r="H39" s="14">
        <v>461</v>
      </c>
      <c r="I39" s="236"/>
      <c r="J39" s="237"/>
      <c r="K39" s="237"/>
      <c r="L39" s="257"/>
      <c r="M39" s="258">
        <v>82.1</v>
      </c>
      <c r="N39" s="208">
        <v>193</v>
      </c>
      <c r="O39" s="209"/>
      <c r="P39" s="210">
        <v>4.3</v>
      </c>
      <c r="Q39" s="209"/>
      <c r="R39" s="210">
        <v>7.7</v>
      </c>
      <c r="S39" s="194"/>
      <c r="T39" s="194"/>
      <c r="U39" s="194"/>
      <c r="V39" s="194"/>
      <c r="W39" s="194"/>
      <c r="X39" s="194"/>
      <c r="Y39" s="194"/>
    </row>
    <row r="40" spans="1:25" ht="18.600000000000001" customHeight="1">
      <c r="A40" s="370"/>
      <c r="B40" s="8" t="s">
        <v>57</v>
      </c>
      <c r="C40" s="21">
        <v>5</v>
      </c>
      <c r="D40" s="21">
        <v>278</v>
      </c>
      <c r="E40" s="15">
        <v>114</v>
      </c>
      <c r="F40" s="15">
        <v>307</v>
      </c>
      <c r="G40" s="202"/>
      <c r="H40" s="14">
        <v>36</v>
      </c>
      <c r="I40" s="203"/>
      <c r="J40" s="204"/>
      <c r="K40" s="204"/>
      <c r="L40" s="259"/>
      <c r="M40" s="258">
        <v>62.2</v>
      </c>
      <c r="N40" s="158">
        <v>42</v>
      </c>
      <c r="O40" s="260"/>
      <c r="P40" s="163">
        <v>4.8</v>
      </c>
      <c r="Q40" s="261"/>
      <c r="R40" s="156">
        <v>7.4</v>
      </c>
      <c r="S40" s="194"/>
      <c r="T40" s="194"/>
      <c r="U40" s="194"/>
      <c r="V40" s="194"/>
      <c r="W40" s="194"/>
      <c r="X40" s="194"/>
      <c r="Y40" s="194"/>
    </row>
    <row r="41" spans="1:25" ht="18.600000000000001" customHeight="1" thickBot="1">
      <c r="A41" s="380"/>
      <c r="B41" s="8" t="s">
        <v>58</v>
      </c>
      <c r="C41" s="21">
        <v>8</v>
      </c>
      <c r="D41" s="21">
        <v>122</v>
      </c>
      <c r="E41" s="15">
        <v>326</v>
      </c>
      <c r="F41" s="15">
        <v>362</v>
      </c>
      <c r="G41" s="202"/>
      <c r="H41" s="14">
        <v>265</v>
      </c>
      <c r="I41" s="203"/>
      <c r="J41" s="204"/>
      <c r="K41" s="204"/>
      <c r="L41" s="259"/>
      <c r="M41" s="262">
        <v>90.2</v>
      </c>
      <c r="N41" s="159">
        <v>486</v>
      </c>
      <c r="O41" s="263"/>
      <c r="P41" s="164">
        <v>-0.5</v>
      </c>
      <c r="Q41" s="264"/>
      <c r="R41" s="157">
        <v>-4.7</v>
      </c>
      <c r="S41" s="194"/>
      <c r="T41" s="194"/>
      <c r="U41" s="194"/>
      <c r="V41" s="194"/>
      <c r="W41" s="194"/>
      <c r="X41" s="194"/>
      <c r="Y41" s="194"/>
    </row>
    <row r="42" spans="1:25" ht="18.600000000000001" customHeight="1">
      <c r="A42" s="377" t="s">
        <v>59</v>
      </c>
      <c r="B42" s="3" t="s">
        <v>24</v>
      </c>
      <c r="C42" s="11">
        <v>887</v>
      </c>
      <c r="D42" s="11">
        <v>138</v>
      </c>
      <c r="E42" s="11">
        <v>363</v>
      </c>
      <c r="F42" s="11">
        <v>240</v>
      </c>
      <c r="G42" s="195"/>
      <c r="H42" s="11">
        <v>369</v>
      </c>
      <c r="I42" s="196"/>
      <c r="J42" s="240"/>
      <c r="K42" s="241"/>
      <c r="L42" s="242"/>
      <c r="M42" s="234">
        <v>94.4</v>
      </c>
      <c r="N42" s="221">
        <v>248</v>
      </c>
      <c r="O42" s="222"/>
      <c r="P42" s="223">
        <v>2.8</v>
      </c>
      <c r="Q42" s="222"/>
      <c r="R42" s="201">
        <v>-1.9</v>
      </c>
      <c r="S42" s="194"/>
      <c r="T42" s="194"/>
      <c r="U42" s="194"/>
      <c r="V42" s="194"/>
      <c r="W42" s="194"/>
      <c r="X42" s="194"/>
      <c r="Y42" s="194"/>
    </row>
    <row r="43" spans="1:25" ht="18.600000000000001" customHeight="1">
      <c r="A43" s="370"/>
      <c r="B43" s="4" t="s">
        <v>60</v>
      </c>
      <c r="C43" s="14">
        <v>180</v>
      </c>
      <c r="D43" s="14">
        <v>422</v>
      </c>
      <c r="E43" s="15">
        <v>226</v>
      </c>
      <c r="F43" s="15">
        <v>361</v>
      </c>
      <c r="G43" s="202"/>
      <c r="H43" s="14">
        <v>424</v>
      </c>
      <c r="I43" s="203"/>
      <c r="J43" s="204"/>
      <c r="K43" s="205"/>
      <c r="L43" s="206"/>
      <c r="M43" s="207">
        <v>61.9</v>
      </c>
      <c r="N43" s="208">
        <v>233</v>
      </c>
      <c r="O43" s="209"/>
      <c r="P43" s="210">
        <v>7</v>
      </c>
      <c r="Q43" s="209"/>
      <c r="R43" s="210">
        <v>5</v>
      </c>
      <c r="S43" s="194"/>
      <c r="T43" s="194"/>
      <c r="U43" s="194"/>
      <c r="V43" s="194"/>
      <c r="W43" s="194"/>
      <c r="X43" s="194"/>
      <c r="Y43" s="194"/>
    </row>
    <row r="44" spans="1:25" ht="18.600000000000001" customHeight="1">
      <c r="A44" s="370"/>
      <c r="B44" s="4" t="s">
        <v>61</v>
      </c>
      <c r="C44" s="14">
        <v>259</v>
      </c>
      <c r="D44" s="14">
        <v>389</v>
      </c>
      <c r="E44" s="15">
        <v>480</v>
      </c>
      <c r="F44" s="15">
        <v>182</v>
      </c>
      <c r="G44" s="202"/>
      <c r="H44" s="14">
        <v>192</v>
      </c>
      <c r="I44" s="203"/>
      <c r="J44" s="204"/>
      <c r="K44" s="204"/>
      <c r="L44" s="265"/>
      <c r="M44" s="258">
        <v>90.4</v>
      </c>
      <c r="N44" s="208">
        <v>166</v>
      </c>
      <c r="O44" s="209"/>
      <c r="P44" s="210">
        <v>2.9</v>
      </c>
      <c r="Q44" s="209"/>
      <c r="R44" s="210">
        <v>-4.5</v>
      </c>
      <c r="S44" s="194"/>
      <c r="T44" s="194"/>
      <c r="U44" s="194"/>
      <c r="V44" s="194"/>
      <c r="W44" s="194"/>
      <c r="X44" s="194"/>
      <c r="Y44" s="194"/>
    </row>
    <row r="45" spans="1:25" ht="18.600000000000001" customHeight="1">
      <c r="A45" s="370"/>
      <c r="B45" s="153" t="s">
        <v>62</v>
      </c>
      <c r="C45" s="14">
        <v>348</v>
      </c>
      <c r="D45" s="14">
        <v>429</v>
      </c>
      <c r="E45" s="15">
        <v>352</v>
      </c>
      <c r="F45" s="15">
        <v>96</v>
      </c>
      <c r="G45" s="202"/>
      <c r="H45" s="14">
        <v>388</v>
      </c>
      <c r="I45" s="203"/>
      <c r="J45" s="204"/>
      <c r="K45" s="204"/>
      <c r="L45" s="265"/>
      <c r="M45" s="258">
        <v>80.2</v>
      </c>
      <c r="N45" s="247">
        <v>421</v>
      </c>
      <c r="O45" s="248"/>
      <c r="P45" s="210">
        <v>5.8</v>
      </c>
      <c r="Q45" s="248"/>
      <c r="R45" s="210">
        <v>-1.2</v>
      </c>
      <c r="S45" s="194"/>
      <c r="T45" s="194"/>
      <c r="U45" s="194"/>
      <c r="V45" s="194"/>
      <c r="W45" s="194"/>
      <c r="X45" s="194"/>
      <c r="Y45" s="194"/>
    </row>
    <row r="46" spans="1:25" ht="18.600000000000001" customHeight="1" thickBot="1">
      <c r="A46" s="371"/>
      <c r="B46" s="28" t="s">
        <v>63</v>
      </c>
      <c r="C46" s="23">
        <v>100</v>
      </c>
      <c r="D46" s="23">
        <v>322</v>
      </c>
      <c r="E46" s="24">
        <v>404</v>
      </c>
      <c r="F46" s="24">
        <v>323</v>
      </c>
      <c r="G46" s="226"/>
      <c r="H46" s="23">
        <v>420</v>
      </c>
      <c r="I46" s="243"/>
      <c r="J46" s="244"/>
      <c r="K46" s="244"/>
      <c r="L46" s="266"/>
      <c r="M46" s="262">
        <v>90.3</v>
      </c>
      <c r="N46" s="217">
        <v>344</v>
      </c>
      <c r="O46" s="218"/>
      <c r="P46" s="219">
        <v>-3.2</v>
      </c>
      <c r="Q46" s="218"/>
      <c r="R46" s="219">
        <v>4.3</v>
      </c>
      <c r="S46" s="194"/>
      <c r="T46" s="194"/>
      <c r="U46" s="194"/>
      <c r="V46" s="194"/>
      <c r="W46" s="194"/>
      <c r="X46" s="194"/>
      <c r="Y46" s="194"/>
    </row>
    <row r="47" spans="1:25" ht="24.75" customHeight="1">
      <c r="A47" s="154" t="s">
        <v>64</v>
      </c>
      <c r="B47" s="25"/>
      <c r="C47" s="155">
        <v>0.83</v>
      </c>
      <c r="D47" s="25">
        <v>7</v>
      </c>
      <c r="E47" s="26">
        <v>161</v>
      </c>
      <c r="F47" s="26">
        <v>75</v>
      </c>
      <c r="G47" s="26"/>
      <c r="H47" s="25">
        <v>297</v>
      </c>
      <c r="I47" s="267"/>
      <c r="M47">
        <v>62.4</v>
      </c>
      <c r="N47">
        <v>23</v>
      </c>
      <c r="P47">
        <v>-1.1000000000000001</v>
      </c>
      <c r="R47">
        <v>5.9</v>
      </c>
    </row>
  </sheetData>
  <mergeCells count="24">
    <mergeCell ref="A31:A35"/>
    <mergeCell ref="O3:O5"/>
    <mergeCell ref="Q3:Q5"/>
    <mergeCell ref="N3:N5"/>
    <mergeCell ref="A7:A11"/>
    <mergeCell ref="F3:G4"/>
    <mergeCell ref="A3:A5"/>
    <mergeCell ref="D3:D5"/>
    <mergeCell ref="M3:M5"/>
    <mergeCell ref="L3:L4"/>
    <mergeCell ref="P3:P5"/>
    <mergeCell ref="A42:A46"/>
    <mergeCell ref="R3:R5"/>
    <mergeCell ref="A20:A24"/>
    <mergeCell ref="A36:A41"/>
    <mergeCell ref="A16:A19"/>
    <mergeCell ref="A6:B6"/>
    <mergeCell ref="H3:I4"/>
    <mergeCell ref="J3:K4"/>
    <mergeCell ref="C3:C5"/>
    <mergeCell ref="A12:A15"/>
    <mergeCell ref="A25:A30"/>
    <mergeCell ref="E3:E5"/>
    <mergeCell ref="B3:B5"/>
  </mergeCells>
  <phoneticPr fontId="4" type="noConversion"/>
  <printOptions horizontalCentered="1"/>
  <pageMargins left="3.937007874015748E-2" right="3.937007874015748E-2" top="3.937007874015748E-2" bottom="3.937007874015748E-2" header="0.31496062992125978" footer="0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246"/>
  <sheetViews>
    <sheetView tabSelected="1" zoomScale="85" zoomScaleNormal="85" workbookViewId="0">
      <pane xSplit="5" ySplit="5" topLeftCell="O6" activePane="bottomRight" state="frozen"/>
      <selection pane="topRight" activeCell="F1" sqref="F1"/>
      <selection pane="bottomLeft" activeCell="A6" sqref="A6"/>
      <selection pane="bottomRight" activeCell="X238" sqref="X238"/>
    </sheetView>
  </sheetViews>
  <sheetFormatPr defaultRowHeight="17.25"/>
  <cols>
    <col min="3" max="3" width="13.875" style="175" customWidth="1"/>
    <col min="4" max="4" width="22.125" style="102" customWidth="1"/>
    <col min="5" max="6" width="7.625" style="175" customWidth="1"/>
    <col min="7" max="12" width="5.125" style="175" customWidth="1"/>
    <col min="13" max="13" width="7.625" style="175" customWidth="1"/>
    <col min="14" max="14" width="5.625" style="175" customWidth="1"/>
    <col min="15" max="15" width="6.125" style="175" customWidth="1"/>
    <col min="16" max="20" width="5.125" style="175" customWidth="1"/>
    <col min="21" max="21" width="7.625" style="150" customWidth="1"/>
    <col min="22" max="22" width="6.5" style="175" customWidth="1"/>
    <col min="23" max="26" width="4.125" style="175" customWidth="1"/>
    <col min="27" max="27" width="10.625" style="175" bestFit="1" customWidth="1"/>
    <col min="28" max="28" width="5.375" style="175" customWidth="1"/>
    <col min="29" max="29" width="6.5" style="175" bestFit="1" customWidth="1"/>
    <col min="30" max="30" width="4.125" style="175" customWidth="1"/>
    <col min="31" max="31" width="8.625" style="175" customWidth="1"/>
    <col min="32" max="39" width="4.125" style="175" customWidth="1"/>
    <col min="40" max="41" width="5.25" style="175" bestFit="1" customWidth="1"/>
    <col min="42" max="42" width="3.625" style="175" customWidth="1"/>
    <col min="43" max="43" width="8.375" style="175" hidden="1" customWidth="1"/>
    <col min="44" max="44" width="7" style="175" hidden="1" customWidth="1"/>
  </cols>
  <sheetData>
    <row r="1" spans="1:44" ht="27.75" customHeight="1">
      <c r="A1" s="407" t="s">
        <v>65</v>
      </c>
      <c r="B1" s="408"/>
      <c r="C1" s="409"/>
      <c r="D1" s="410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11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</row>
    <row r="2" spans="1:44" ht="18" customHeight="1" thickBot="1">
      <c r="A2" s="44" t="s">
        <v>66</v>
      </c>
      <c r="D2" s="45"/>
      <c r="E2" s="89"/>
      <c r="U2" s="146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420" t="s">
        <v>67</v>
      </c>
      <c r="AO2" s="409"/>
      <c r="AP2" s="409"/>
    </row>
    <row r="3" spans="1:44" ht="16.5" customHeight="1">
      <c r="A3" s="432" t="s">
        <v>3</v>
      </c>
      <c r="B3" s="421" t="s">
        <v>4</v>
      </c>
      <c r="C3" s="421" t="s">
        <v>68</v>
      </c>
      <c r="D3" s="433" t="s">
        <v>69</v>
      </c>
      <c r="E3" s="421" t="s">
        <v>5</v>
      </c>
      <c r="F3" s="412" t="s">
        <v>70</v>
      </c>
      <c r="G3" s="429" t="s">
        <v>71</v>
      </c>
      <c r="H3" s="388"/>
      <c r="I3" s="388"/>
      <c r="J3" s="388"/>
      <c r="K3" s="388"/>
      <c r="L3" s="383"/>
      <c r="M3" s="412" t="s">
        <v>72</v>
      </c>
      <c r="N3" s="422" t="s">
        <v>73</v>
      </c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4"/>
      <c r="AB3" s="429" t="s">
        <v>74</v>
      </c>
      <c r="AC3" s="423"/>
      <c r="AD3" s="423"/>
      <c r="AE3" s="423"/>
      <c r="AF3" s="423"/>
      <c r="AG3" s="423"/>
      <c r="AH3" s="423"/>
      <c r="AI3" s="423"/>
      <c r="AJ3" s="423"/>
      <c r="AK3" s="423"/>
      <c r="AL3" s="423"/>
      <c r="AM3" s="424"/>
      <c r="AN3" s="418" t="s">
        <v>75</v>
      </c>
      <c r="AO3" s="388"/>
      <c r="AP3" s="383"/>
    </row>
    <row r="4" spans="1:44" ht="16.5" customHeight="1">
      <c r="A4" s="370"/>
      <c r="B4" s="391"/>
      <c r="C4" s="391"/>
      <c r="D4" s="391"/>
      <c r="E4" s="391"/>
      <c r="F4" s="391"/>
      <c r="G4" s="385"/>
      <c r="H4" s="389"/>
      <c r="I4" s="389"/>
      <c r="J4" s="389"/>
      <c r="K4" s="389"/>
      <c r="L4" s="386"/>
      <c r="M4" s="391"/>
      <c r="N4" s="419" t="s">
        <v>76</v>
      </c>
      <c r="O4" s="417"/>
      <c r="P4" s="417"/>
      <c r="Q4" s="417"/>
      <c r="R4" s="417"/>
      <c r="S4" s="417"/>
      <c r="T4" s="405"/>
      <c r="U4" s="430" t="s">
        <v>77</v>
      </c>
      <c r="V4" s="419" t="s">
        <v>78</v>
      </c>
      <c r="W4" s="417"/>
      <c r="X4" s="417"/>
      <c r="Y4" s="417"/>
      <c r="Z4" s="405"/>
      <c r="AA4" s="425" t="s">
        <v>79</v>
      </c>
      <c r="AB4" s="413" t="s">
        <v>80</v>
      </c>
      <c r="AC4" s="413" t="s">
        <v>81</v>
      </c>
      <c r="AD4" s="413" t="s">
        <v>82</v>
      </c>
      <c r="AE4" s="413" t="s">
        <v>83</v>
      </c>
      <c r="AF4" s="413" t="s">
        <v>84</v>
      </c>
      <c r="AG4" s="413" t="s">
        <v>85</v>
      </c>
      <c r="AH4" s="413" t="s">
        <v>86</v>
      </c>
      <c r="AI4" s="413" t="s">
        <v>87</v>
      </c>
      <c r="AJ4" s="413" t="s">
        <v>88</v>
      </c>
      <c r="AK4" s="413" t="s">
        <v>89</v>
      </c>
      <c r="AL4" s="413" t="s">
        <v>90</v>
      </c>
      <c r="AM4" s="413" t="s">
        <v>91</v>
      </c>
      <c r="AN4" s="385"/>
      <c r="AO4" s="389"/>
      <c r="AP4" s="386"/>
    </row>
    <row r="5" spans="1:44" ht="123" customHeight="1" thickBot="1">
      <c r="A5" s="380"/>
      <c r="B5" s="392"/>
      <c r="C5" s="392"/>
      <c r="D5" s="392"/>
      <c r="E5" s="392"/>
      <c r="F5" s="392"/>
      <c r="G5" s="168" t="s">
        <v>92</v>
      </c>
      <c r="H5" s="168" t="s">
        <v>93</v>
      </c>
      <c r="I5" s="168" t="s">
        <v>94</v>
      </c>
      <c r="J5" s="168" t="s">
        <v>95</v>
      </c>
      <c r="K5" s="168" t="s">
        <v>96</v>
      </c>
      <c r="L5" s="168" t="s">
        <v>97</v>
      </c>
      <c r="M5" s="392"/>
      <c r="N5" s="168" t="s">
        <v>98</v>
      </c>
      <c r="O5" s="168" t="s">
        <v>99</v>
      </c>
      <c r="P5" s="168" t="s">
        <v>100</v>
      </c>
      <c r="Q5" s="168" t="s">
        <v>101</v>
      </c>
      <c r="R5" s="46" t="s">
        <v>102</v>
      </c>
      <c r="S5" s="46" t="s">
        <v>103</v>
      </c>
      <c r="T5" s="168" t="s">
        <v>104</v>
      </c>
      <c r="U5" s="392"/>
      <c r="V5" s="168" t="s">
        <v>105</v>
      </c>
      <c r="W5" s="168" t="s">
        <v>106</v>
      </c>
      <c r="X5" s="168" t="s">
        <v>107</v>
      </c>
      <c r="Y5" s="168" t="s">
        <v>108</v>
      </c>
      <c r="Z5" s="168" t="s">
        <v>109</v>
      </c>
      <c r="AA5" s="392"/>
      <c r="AB5" s="392"/>
      <c r="AC5" s="392"/>
      <c r="AD5" s="392"/>
      <c r="AE5" s="392"/>
      <c r="AF5" s="392"/>
      <c r="AG5" s="392"/>
      <c r="AH5" s="392"/>
      <c r="AI5" s="392"/>
      <c r="AJ5" s="392"/>
      <c r="AK5" s="392"/>
      <c r="AL5" s="392"/>
      <c r="AM5" s="392"/>
      <c r="AN5" s="268" t="s">
        <v>19</v>
      </c>
      <c r="AO5" s="269" t="s">
        <v>110</v>
      </c>
      <c r="AP5" s="270" t="s">
        <v>111</v>
      </c>
      <c r="AR5" s="47">
        <f>COUNTIF(AR6:AR232,FALSE)</f>
        <v>164</v>
      </c>
    </row>
    <row r="6" spans="1:44" ht="16.5" customHeight="1" thickBot="1">
      <c r="A6" s="48" t="s">
        <v>3</v>
      </c>
      <c r="B6" s="49" t="s">
        <v>112</v>
      </c>
      <c r="C6" s="49"/>
      <c r="D6" s="50"/>
      <c r="E6" s="51">
        <v>7698</v>
      </c>
      <c r="F6" s="51">
        <v>6107</v>
      </c>
      <c r="G6" s="52">
        <v>389</v>
      </c>
      <c r="H6" s="52">
        <v>166</v>
      </c>
      <c r="I6" s="52">
        <v>216</v>
      </c>
      <c r="J6" s="52">
        <v>5</v>
      </c>
      <c r="K6" s="52">
        <v>2</v>
      </c>
      <c r="L6" s="52">
        <v>10</v>
      </c>
      <c r="M6" s="51">
        <v>5718</v>
      </c>
      <c r="N6" s="51">
        <v>4394</v>
      </c>
      <c r="O6" s="52">
        <v>4189</v>
      </c>
      <c r="P6" s="52">
        <v>11</v>
      </c>
      <c r="Q6" s="52">
        <v>3</v>
      </c>
      <c r="R6" s="52">
        <v>103</v>
      </c>
      <c r="S6" s="52">
        <v>52</v>
      </c>
      <c r="T6" s="52">
        <v>39</v>
      </c>
      <c r="U6" s="271">
        <v>0.76845050717033925</v>
      </c>
      <c r="V6" s="52">
        <v>28</v>
      </c>
      <c r="W6" s="52">
        <v>16</v>
      </c>
      <c r="X6" s="52">
        <v>5</v>
      </c>
      <c r="Y6" s="52">
        <v>4</v>
      </c>
      <c r="Z6" s="52">
        <v>3</v>
      </c>
      <c r="AA6" s="272">
        <v>0.77334732423924446</v>
      </c>
      <c r="AB6" s="52">
        <v>1296</v>
      </c>
      <c r="AC6" s="52">
        <v>1263</v>
      </c>
      <c r="AD6" s="52">
        <v>5</v>
      </c>
      <c r="AE6" s="52">
        <v>0</v>
      </c>
      <c r="AF6" s="52">
        <v>2</v>
      </c>
      <c r="AG6" s="52">
        <v>5</v>
      </c>
      <c r="AH6" s="52">
        <v>0</v>
      </c>
      <c r="AI6" s="52">
        <v>4</v>
      </c>
      <c r="AJ6" s="52">
        <v>2</v>
      </c>
      <c r="AK6" s="52">
        <v>2</v>
      </c>
      <c r="AL6" s="52">
        <v>1</v>
      </c>
      <c r="AM6" s="52">
        <v>12</v>
      </c>
      <c r="AN6" s="52">
        <v>-2</v>
      </c>
      <c r="AO6" s="52">
        <v>19</v>
      </c>
      <c r="AP6" s="53">
        <v>21</v>
      </c>
      <c r="AQ6" s="54">
        <f>SUM(AQ7,AQ45,AQ78,AQ92,AQ126,AQ157,AQ182,AQ219)</f>
        <v>6971</v>
      </c>
      <c r="AR6" s="52">
        <f>SUM(AR7,AR45,AR78,AR92,AR126,AR157,AR182,AR219)</f>
        <v>0</v>
      </c>
    </row>
    <row r="7" spans="1:44" ht="16.5" customHeight="1">
      <c r="A7" s="55" t="s">
        <v>23</v>
      </c>
      <c r="B7" s="431" t="s">
        <v>113</v>
      </c>
      <c r="C7" s="389"/>
      <c r="D7" s="386"/>
      <c r="E7" s="56">
        <v>1273</v>
      </c>
      <c r="F7" s="56">
        <v>1014</v>
      </c>
      <c r="G7" s="56">
        <v>86</v>
      </c>
      <c r="H7" s="56">
        <v>34</v>
      </c>
      <c r="I7" s="56">
        <v>51</v>
      </c>
      <c r="J7" s="56">
        <v>0</v>
      </c>
      <c r="K7" s="56">
        <v>0</v>
      </c>
      <c r="L7" s="56">
        <v>1</v>
      </c>
      <c r="M7" s="56">
        <v>928</v>
      </c>
      <c r="N7" s="56">
        <v>715</v>
      </c>
      <c r="O7" s="56">
        <v>623</v>
      </c>
      <c r="P7" s="56"/>
      <c r="Q7" s="56"/>
      <c r="R7" s="56"/>
      <c r="S7" s="56"/>
      <c r="T7" s="56"/>
      <c r="U7" s="273"/>
      <c r="V7" s="56"/>
      <c r="W7" s="56"/>
      <c r="X7" s="56"/>
      <c r="Y7" s="56"/>
      <c r="Z7" s="56"/>
      <c r="AA7" s="274"/>
      <c r="AB7" s="56">
        <v>82</v>
      </c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>
        <v>-4.7</v>
      </c>
      <c r="AO7" s="56"/>
      <c r="AP7" s="57"/>
      <c r="AQ7" s="275">
        <v>1106</v>
      </c>
      <c r="AR7" s="58" t="b">
        <f t="shared" ref="AR7:AR16" si="0">EXACT(F7,AQ7)</f>
        <v>0</v>
      </c>
    </row>
    <row r="8" spans="1:44">
      <c r="A8" s="59" t="s">
        <v>23</v>
      </c>
      <c r="B8" s="427" t="s">
        <v>25</v>
      </c>
      <c r="C8" s="405"/>
      <c r="D8" s="60" t="s">
        <v>114</v>
      </c>
      <c r="E8" s="61">
        <v>601</v>
      </c>
      <c r="F8" s="61">
        <v>492</v>
      </c>
      <c r="G8" s="61">
        <v>35</v>
      </c>
      <c r="H8" s="61">
        <v>6</v>
      </c>
      <c r="I8" s="61">
        <v>28</v>
      </c>
      <c r="J8" s="61">
        <v>0</v>
      </c>
      <c r="K8" s="61">
        <v>0</v>
      </c>
      <c r="L8" s="61">
        <v>1</v>
      </c>
      <c r="M8" s="61">
        <v>457</v>
      </c>
      <c r="N8" s="61">
        <v>347</v>
      </c>
      <c r="O8" s="61">
        <v>304</v>
      </c>
      <c r="P8" s="61"/>
      <c r="Q8" s="61"/>
      <c r="R8" s="61"/>
      <c r="S8" s="61"/>
      <c r="T8" s="61"/>
      <c r="U8" s="276"/>
      <c r="V8" s="61"/>
      <c r="W8" s="61"/>
      <c r="X8" s="61"/>
      <c r="Y8" s="61"/>
      <c r="Z8" s="61"/>
      <c r="AA8" s="277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278"/>
      <c r="AO8" s="278"/>
      <c r="AP8" s="279"/>
      <c r="AQ8" s="275">
        <v>568</v>
      </c>
      <c r="AR8" s="58" t="b">
        <f t="shared" si="0"/>
        <v>0</v>
      </c>
    </row>
    <row r="9" spans="1:44" s="66" customFormat="1" ht="16.5" customHeight="1">
      <c r="A9" s="62" t="s">
        <v>23</v>
      </c>
      <c r="B9" s="76" t="s">
        <v>25</v>
      </c>
      <c r="C9" s="76" t="s">
        <v>115</v>
      </c>
      <c r="D9" s="63" t="s">
        <v>116</v>
      </c>
      <c r="E9" s="64">
        <v>60</v>
      </c>
      <c r="F9" s="64">
        <v>61</v>
      </c>
      <c r="G9" s="64">
        <v>3</v>
      </c>
      <c r="H9" s="64">
        <v>0</v>
      </c>
      <c r="I9" s="64">
        <v>3</v>
      </c>
      <c r="J9" s="64">
        <v>0</v>
      </c>
      <c r="K9" s="64">
        <v>0</v>
      </c>
      <c r="L9" s="64">
        <v>0</v>
      </c>
      <c r="M9" s="64">
        <v>58</v>
      </c>
      <c r="N9" s="64">
        <v>43</v>
      </c>
      <c r="O9" s="64">
        <v>43</v>
      </c>
      <c r="P9" s="64"/>
      <c r="Q9" s="64"/>
      <c r="R9" s="64"/>
      <c r="S9" s="64"/>
      <c r="T9" s="64"/>
      <c r="U9" s="280"/>
      <c r="V9" s="64"/>
      <c r="W9" s="64"/>
      <c r="X9" s="64"/>
      <c r="Y9" s="64"/>
      <c r="Z9" s="64"/>
      <c r="AA9" s="281"/>
      <c r="AB9" s="64">
        <v>421</v>
      </c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>
        <v>-2</v>
      </c>
      <c r="AO9" s="64"/>
      <c r="AP9" s="65"/>
      <c r="AQ9" s="282">
        <v>85</v>
      </c>
      <c r="AR9" s="58" t="b">
        <f t="shared" si="0"/>
        <v>0</v>
      </c>
    </row>
    <row r="10" spans="1:44" s="66" customFormat="1" ht="16.5" customHeight="1">
      <c r="A10" s="62" t="s">
        <v>23</v>
      </c>
      <c r="B10" s="76" t="s">
        <v>25</v>
      </c>
      <c r="C10" s="76" t="s">
        <v>115</v>
      </c>
      <c r="D10" s="63" t="s">
        <v>117</v>
      </c>
      <c r="E10" s="64">
        <v>60</v>
      </c>
      <c r="F10" s="64">
        <v>55</v>
      </c>
      <c r="G10" s="64">
        <v>7</v>
      </c>
      <c r="H10" s="64">
        <v>3</v>
      </c>
      <c r="I10" s="64">
        <v>4</v>
      </c>
      <c r="J10" s="64">
        <v>0</v>
      </c>
      <c r="K10" s="64">
        <v>0</v>
      </c>
      <c r="L10" s="64">
        <v>0</v>
      </c>
      <c r="M10" s="64">
        <v>48</v>
      </c>
      <c r="N10" s="64">
        <v>39</v>
      </c>
      <c r="O10" s="64">
        <v>33</v>
      </c>
      <c r="P10" s="64"/>
      <c r="Q10" s="64"/>
      <c r="R10" s="64"/>
      <c r="S10" s="64"/>
      <c r="T10" s="64"/>
      <c r="U10" s="280"/>
      <c r="V10" s="64"/>
      <c r="W10" s="64"/>
      <c r="X10" s="64"/>
      <c r="Y10" s="64"/>
      <c r="Z10" s="64"/>
      <c r="AA10" s="281"/>
      <c r="AB10" s="64">
        <v>112</v>
      </c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>
        <v>6.4</v>
      </c>
      <c r="AO10" s="64"/>
      <c r="AP10" s="65"/>
      <c r="AQ10" s="282">
        <v>54</v>
      </c>
      <c r="AR10" s="58" t="b">
        <f t="shared" si="0"/>
        <v>0</v>
      </c>
    </row>
    <row r="11" spans="1:44" s="66" customFormat="1" ht="16.5" customHeight="1">
      <c r="A11" s="62" t="s">
        <v>23</v>
      </c>
      <c r="B11" s="76" t="s">
        <v>25</v>
      </c>
      <c r="C11" s="76" t="s">
        <v>115</v>
      </c>
      <c r="D11" s="63" t="s">
        <v>118</v>
      </c>
      <c r="E11" s="64">
        <v>60</v>
      </c>
      <c r="F11" s="64">
        <v>54</v>
      </c>
      <c r="G11" s="64">
        <v>3</v>
      </c>
      <c r="H11" s="64">
        <v>1</v>
      </c>
      <c r="I11" s="64">
        <v>2</v>
      </c>
      <c r="J11" s="64">
        <v>0</v>
      </c>
      <c r="K11" s="64">
        <v>0</v>
      </c>
      <c r="L11" s="64">
        <v>0</v>
      </c>
      <c r="M11" s="64">
        <v>51</v>
      </c>
      <c r="N11" s="64">
        <v>44</v>
      </c>
      <c r="O11" s="64">
        <v>21</v>
      </c>
      <c r="P11" s="64"/>
      <c r="Q11" s="64"/>
      <c r="R11" s="64"/>
      <c r="S11" s="64"/>
      <c r="T11" s="64"/>
      <c r="U11" s="280"/>
      <c r="V11" s="64"/>
      <c r="W11" s="64"/>
      <c r="X11" s="64"/>
      <c r="Y11" s="64"/>
      <c r="Z11" s="64"/>
      <c r="AA11" s="281"/>
      <c r="AB11" s="64">
        <v>234</v>
      </c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>
        <v>1.2</v>
      </c>
      <c r="AO11" s="64"/>
      <c r="AP11" s="65"/>
      <c r="AQ11" s="282">
        <v>46</v>
      </c>
      <c r="AR11" s="58" t="b">
        <f t="shared" si="0"/>
        <v>0</v>
      </c>
    </row>
    <row r="12" spans="1:44" ht="16.5" customHeight="1">
      <c r="A12" s="62" t="s">
        <v>23</v>
      </c>
      <c r="B12" s="76" t="s">
        <v>25</v>
      </c>
      <c r="C12" s="76" t="s">
        <v>115</v>
      </c>
      <c r="D12" s="63" t="s">
        <v>119</v>
      </c>
      <c r="E12" s="64">
        <v>60</v>
      </c>
      <c r="F12" s="64">
        <v>52</v>
      </c>
      <c r="G12" s="64">
        <v>2</v>
      </c>
      <c r="H12" s="64">
        <v>0</v>
      </c>
      <c r="I12" s="64">
        <v>1</v>
      </c>
      <c r="J12" s="64">
        <v>0</v>
      </c>
      <c r="K12" s="64">
        <v>0</v>
      </c>
      <c r="L12" s="64">
        <v>1</v>
      </c>
      <c r="M12" s="64">
        <v>50</v>
      </c>
      <c r="N12" s="64">
        <v>32</v>
      </c>
      <c r="O12" s="64">
        <v>30</v>
      </c>
      <c r="P12" s="64"/>
      <c r="Q12" s="64"/>
      <c r="R12" s="64"/>
      <c r="S12" s="64"/>
      <c r="T12" s="64"/>
      <c r="U12" s="280"/>
      <c r="V12" s="64"/>
      <c r="W12" s="64"/>
      <c r="X12" s="64"/>
      <c r="Y12" s="64"/>
      <c r="Z12" s="64"/>
      <c r="AA12" s="281"/>
      <c r="AB12" s="64">
        <v>223</v>
      </c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>
        <v>-2.1</v>
      </c>
      <c r="AO12" s="64"/>
      <c r="AP12" s="65"/>
      <c r="AQ12" s="275">
        <v>53</v>
      </c>
      <c r="AR12" s="58" t="b">
        <f t="shared" si="0"/>
        <v>0</v>
      </c>
    </row>
    <row r="13" spans="1:44" ht="16.5" customHeight="1">
      <c r="A13" s="67" t="s">
        <v>23</v>
      </c>
      <c r="B13" s="76" t="s">
        <v>25</v>
      </c>
      <c r="C13" s="76" t="s">
        <v>115</v>
      </c>
      <c r="D13" s="63" t="s">
        <v>120</v>
      </c>
      <c r="E13" s="64">
        <v>0</v>
      </c>
      <c r="F13" s="64">
        <v>1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1</v>
      </c>
      <c r="N13" s="64">
        <v>1</v>
      </c>
      <c r="O13" s="64">
        <v>1</v>
      </c>
      <c r="P13" s="64"/>
      <c r="Q13" s="64"/>
      <c r="R13" s="64"/>
      <c r="S13" s="64"/>
      <c r="T13" s="64"/>
      <c r="U13" s="280"/>
      <c r="V13" s="64"/>
      <c r="W13" s="64"/>
      <c r="X13" s="64"/>
      <c r="Y13" s="64"/>
      <c r="Z13" s="64"/>
      <c r="AA13" s="281"/>
      <c r="AB13" s="64">
        <v>353</v>
      </c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>
        <v>1.6</v>
      </c>
      <c r="AO13" s="64"/>
      <c r="AP13" s="64"/>
      <c r="AQ13" s="275">
        <v>40</v>
      </c>
      <c r="AR13" s="58" t="b">
        <f t="shared" si="0"/>
        <v>0</v>
      </c>
    </row>
    <row r="14" spans="1:44" ht="16.5" customHeight="1">
      <c r="A14" s="62" t="s">
        <v>23</v>
      </c>
      <c r="B14" s="76" t="s">
        <v>25</v>
      </c>
      <c r="C14" s="76" t="s">
        <v>115</v>
      </c>
      <c r="D14" s="63" t="s">
        <v>121</v>
      </c>
      <c r="E14" s="64">
        <v>85</v>
      </c>
      <c r="F14" s="64">
        <v>70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70</v>
      </c>
      <c r="N14" s="64">
        <v>54</v>
      </c>
      <c r="O14" s="64">
        <v>54</v>
      </c>
      <c r="P14" s="64"/>
      <c r="Q14" s="64"/>
      <c r="R14" s="64"/>
      <c r="S14" s="64"/>
      <c r="T14" s="64"/>
      <c r="U14" s="280"/>
      <c r="V14" s="64"/>
      <c r="W14" s="64"/>
      <c r="X14" s="64"/>
      <c r="Y14" s="64"/>
      <c r="Z14" s="64"/>
      <c r="AA14" s="281"/>
      <c r="AB14" s="64">
        <v>190</v>
      </c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>
        <v>5</v>
      </c>
      <c r="AO14" s="64"/>
      <c r="AP14" s="64"/>
      <c r="AQ14" s="275">
        <v>69</v>
      </c>
      <c r="AR14" s="58" t="b">
        <f t="shared" si="0"/>
        <v>0</v>
      </c>
    </row>
    <row r="15" spans="1:44" ht="16.5" customHeight="1">
      <c r="A15" s="67" t="s">
        <v>23</v>
      </c>
      <c r="B15" s="76" t="s">
        <v>25</v>
      </c>
      <c r="C15" s="76" t="s">
        <v>115</v>
      </c>
      <c r="D15" s="63" t="s">
        <v>122</v>
      </c>
      <c r="E15" s="64">
        <v>60</v>
      </c>
      <c r="F15" s="64">
        <v>50</v>
      </c>
      <c r="G15" s="64">
        <v>2</v>
      </c>
      <c r="H15" s="64">
        <v>1</v>
      </c>
      <c r="I15" s="64">
        <v>1</v>
      </c>
      <c r="J15" s="64">
        <v>0</v>
      </c>
      <c r="K15" s="64">
        <v>0</v>
      </c>
      <c r="L15" s="64">
        <v>0</v>
      </c>
      <c r="M15" s="64">
        <v>48</v>
      </c>
      <c r="N15" s="64">
        <v>35</v>
      </c>
      <c r="O15" s="64">
        <v>33</v>
      </c>
      <c r="P15" s="64"/>
      <c r="Q15" s="64"/>
      <c r="R15" s="64"/>
      <c r="S15" s="64"/>
      <c r="T15" s="64"/>
      <c r="U15" s="280"/>
      <c r="V15" s="64"/>
      <c r="W15" s="64"/>
      <c r="X15" s="64"/>
      <c r="Y15" s="64"/>
      <c r="Z15" s="64"/>
      <c r="AA15" s="281"/>
      <c r="AB15" s="64">
        <v>326</v>
      </c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>
        <v>1.1000000000000001</v>
      </c>
      <c r="AO15" s="64"/>
      <c r="AP15" s="64"/>
      <c r="AQ15" s="275">
        <v>61</v>
      </c>
      <c r="AR15" s="58" t="b">
        <f t="shared" si="0"/>
        <v>0</v>
      </c>
    </row>
    <row r="16" spans="1:44" ht="16.5" customHeight="1">
      <c r="A16" s="62" t="s">
        <v>23</v>
      </c>
      <c r="B16" s="76" t="s">
        <v>25</v>
      </c>
      <c r="C16" s="76" t="s">
        <v>115</v>
      </c>
      <c r="D16" s="63" t="s">
        <v>123</v>
      </c>
      <c r="E16" s="64">
        <v>0</v>
      </c>
      <c r="F16" s="64">
        <v>1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1</v>
      </c>
      <c r="N16" s="64">
        <v>1</v>
      </c>
      <c r="O16" s="64">
        <v>1</v>
      </c>
      <c r="P16" s="64"/>
      <c r="Q16" s="64"/>
      <c r="R16" s="64"/>
      <c r="S16" s="64"/>
      <c r="T16" s="64"/>
      <c r="U16" s="280"/>
      <c r="V16" s="64"/>
      <c r="W16" s="64"/>
      <c r="X16" s="64"/>
      <c r="Y16" s="64"/>
      <c r="Z16" s="64"/>
      <c r="AA16" s="281"/>
      <c r="AB16" s="64">
        <v>416</v>
      </c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>
        <v>1.5</v>
      </c>
      <c r="AO16" s="64"/>
      <c r="AP16" s="64"/>
      <c r="AQ16" s="275">
        <v>34</v>
      </c>
      <c r="AR16" s="58" t="b">
        <f t="shared" si="0"/>
        <v>0</v>
      </c>
    </row>
    <row r="17" spans="1:44" ht="16.5" customHeight="1">
      <c r="A17" s="62" t="s">
        <v>23</v>
      </c>
      <c r="B17" s="76" t="s">
        <v>25</v>
      </c>
      <c r="C17" s="76" t="s">
        <v>115</v>
      </c>
      <c r="D17" s="63" t="s">
        <v>124</v>
      </c>
      <c r="E17" s="64">
        <v>0</v>
      </c>
      <c r="F17" s="64">
        <v>1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1</v>
      </c>
      <c r="N17" s="64">
        <v>0</v>
      </c>
      <c r="O17" s="64">
        <v>0</v>
      </c>
      <c r="P17" s="64"/>
      <c r="Q17" s="64"/>
      <c r="R17" s="64"/>
      <c r="S17" s="64"/>
      <c r="T17" s="64"/>
      <c r="U17" s="280"/>
      <c r="V17" s="64"/>
      <c r="W17" s="64"/>
      <c r="X17" s="64"/>
      <c r="Y17" s="64"/>
      <c r="Z17" s="64"/>
      <c r="AA17" s="281"/>
      <c r="AB17" s="64">
        <v>267</v>
      </c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>
        <v>4.7</v>
      </c>
      <c r="AO17" s="64"/>
      <c r="AP17" s="64"/>
      <c r="AQ17" s="275"/>
      <c r="AR17" s="58"/>
    </row>
    <row r="18" spans="1:44" ht="16.5" customHeight="1">
      <c r="A18" s="67" t="s">
        <v>23</v>
      </c>
      <c r="B18" s="76" t="s">
        <v>25</v>
      </c>
      <c r="C18" s="76" t="s">
        <v>115</v>
      </c>
      <c r="D18" s="63" t="s">
        <v>125</v>
      </c>
      <c r="E18" s="64">
        <v>25</v>
      </c>
      <c r="F18" s="64">
        <v>16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16</v>
      </c>
      <c r="N18" s="64">
        <v>14</v>
      </c>
      <c r="O18" s="64">
        <v>14</v>
      </c>
      <c r="P18" s="64"/>
      <c r="Q18" s="64"/>
      <c r="R18" s="64"/>
      <c r="S18" s="64"/>
      <c r="T18" s="64"/>
      <c r="U18" s="280"/>
      <c r="V18" s="64"/>
      <c r="W18" s="64"/>
      <c r="X18" s="64"/>
      <c r="Y18" s="64"/>
      <c r="Z18" s="64"/>
      <c r="AA18" s="281"/>
      <c r="AB18" s="64">
        <v>239</v>
      </c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>
        <v>3.3</v>
      </c>
      <c r="AO18" s="64"/>
      <c r="AP18" s="64"/>
      <c r="AQ18" s="275">
        <v>45</v>
      </c>
      <c r="AR18" s="58" t="b">
        <f>EXACT(F18,AQ18)</f>
        <v>0</v>
      </c>
    </row>
    <row r="19" spans="1:44" ht="16.5" customHeight="1">
      <c r="A19" s="67" t="s">
        <v>23</v>
      </c>
      <c r="B19" s="76" t="s">
        <v>25</v>
      </c>
      <c r="C19" s="76" t="s">
        <v>115</v>
      </c>
      <c r="D19" s="63" t="s">
        <v>126</v>
      </c>
      <c r="E19" s="64">
        <v>90</v>
      </c>
      <c r="F19" s="64">
        <v>89</v>
      </c>
      <c r="G19" s="64">
        <v>7</v>
      </c>
      <c r="H19" s="64">
        <v>1</v>
      </c>
      <c r="I19" s="64">
        <v>6</v>
      </c>
      <c r="J19" s="64">
        <v>0</v>
      </c>
      <c r="K19" s="64">
        <v>0</v>
      </c>
      <c r="L19" s="64">
        <v>0</v>
      </c>
      <c r="M19" s="64">
        <v>82</v>
      </c>
      <c r="N19" s="64">
        <v>59</v>
      </c>
      <c r="O19" s="64">
        <v>50</v>
      </c>
      <c r="P19" s="64"/>
      <c r="Q19" s="64"/>
      <c r="R19" s="64"/>
      <c r="S19" s="64"/>
      <c r="T19" s="64"/>
      <c r="U19" s="280"/>
      <c r="V19" s="64"/>
      <c r="W19" s="64"/>
      <c r="X19" s="64"/>
      <c r="Y19" s="64"/>
      <c r="Z19" s="64"/>
      <c r="AA19" s="281"/>
      <c r="AB19" s="64">
        <v>403</v>
      </c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>
        <v>-4.4000000000000004</v>
      </c>
      <c r="AO19" s="64"/>
      <c r="AP19" s="64"/>
      <c r="AQ19" s="275"/>
      <c r="AR19" s="58"/>
    </row>
    <row r="20" spans="1:44" ht="16.5" customHeight="1">
      <c r="A20" s="62" t="s">
        <v>23</v>
      </c>
      <c r="B20" s="76" t="s">
        <v>25</v>
      </c>
      <c r="C20" s="76" t="s">
        <v>127</v>
      </c>
      <c r="D20" s="68" t="s">
        <v>128</v>
      </c>
      <c r="E20" s="69">
        <v>25</v>
      </c>
      <c r="F20" s="69">
        <v>7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7</v>
      </c>
      <c r="N20" s="69">
        <v>5</v>
      </c>
      <c r="O20" s="69">
        <v>5</v>
      </c>
      <c r="P20" s="69"/>
      <c r="Q20" s="69"/>
      <c r="R20" s="69"/>
      <c r="S20" s="69"/>
      <c r="T20" s="69"/>
      <c r="U20" s="283"/>
      <c r="V20" s="69"/>
      <c r="W20" s="69"/>
      <c r="X20" s="69"/>
      <c r="Y20" s="69"/>
      <c r="Z20" s="69"/>
      <c r="AA20" s="284"/>
      <c r="AB20" s="69">
        <v>394</v>
      </c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>
        <v>5.2</v>
      </c>
      <c r="AO20" s="69"/>
      <c r="AP20" s="70"/>
      <c r="AQ20" s="275">
        <v>14</v>
      </c>
      <c r="AR20" s="58" t="b">
        <f>EXACT(F20,AQ20)</f>
        <v>0</v>
      </c>
    </row>
    <row r="21" spans="1:44" ht="16.5" customHeight="1">
      <c r="A21" s="62" t="s">
        <v>23</v>
      </c>
      <c r="B21" s="76" t="s">
        <v>25</v>
      </c>
      <c r="C21" s="76" t="s">
        <v>127</v>
      </c>
      <c r="D21" s="68" t="s">
        <v>129</v>
      </c>
      <c r="E21" s="69">
        <v>25</v>
      </c>
      <c r="F21" s="69">
        <v>6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6</v>
      </c>
      <c r="N21" s="69">
        <v>6</v>
      </c>
      <c r="O21" s="69">
        <v>5</v>
      </c>
      <c r="P21" s="69"/>
      <c r="Q21" s="69"/>
      <c r="R21" s="69"/>
      <c r="S21" s="69"/>
      <c r="T21" s="69"/>
      <c r="U21" s="283"/>
      <c r="V21" s="69"/>
      <c r="W21" s="69"/>
      <c r="X21" s="69"/>
      <c r="Y21" s="69"/>
      <c r="Z21" s="69"/>
      <c r="AA21" s="284"/>
      <c r="AB21" s="69">
        <v>134</v>
      </c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>
        <v>-2.8</v>
      </c>
      <c r="AO21" s="69"/>
      <c r="AP21" s="70"/>
      <c r="AQ21" s="275">
        <v>19</v>
      </c>
      <c r="AR21" s="58" t="b">
        <v>1</v>
      </c>
    </row>
    <row r="22" spans="1:44" ht="16.5" customHeight="1">
      <c r="A22" s="67" t="s">
        <v>23</v>
      </c>
      <c r="B22" s="76" t="s">
        <v>25</v>
      </c>
      <c r="C22" s="76" t="s">
        <v>130</v>
      </c>
      <c r="D22" s="94" t="s">
        <v>131</v>
      </c>
      <c r="E22" s="151">
        <v>20</v>
      </c>
      <c r="F22" s="151">
        <v>11</v>
      </c>
      <c r="G22" s="151">
        <v>10</v>
      </c>
      <c r="H22" s="151">
        <v>0</v>
      </c>
      <c r="I22" s="151">
        <v>10</v>
      </c>
      <c r="J22" s="151">
        <v>0</v>
      </c>
      <c r="K22" s="151">
        <v>0</v>
      </c>
      <c r="L22" s="151">
        <v>0</v>
      </c>
      <c r="M22" s="151">
        <v>1</v>
      </c>
      <c r="N22" s="151">
        <v>1</v>
      </c>
      <c r="O22" s="151">
        <v>1</v>
      </c>
      <c r="P22" s="151"/>
      <c r="Q22" s="151"/>
      <c r="R22" s="151"/>
      <c r="S22" s="151"/>
      <c r="T22" s="151"/>
      <c r="U22" s="285"/>
      <c r="V22" s="151"/>
      <c r="W22" s="151"/>
      <c r="X22" s="151"/>
      <c r="Y22" s="151"/>
      <c r="Z22" s="151"/>
      <c r="AA22" s="286"/>
      <c r="AB22" s="151">
        <v>495</v>
      </c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>
        <v>7.1</v>
      </c>
      <c r="AO22" s="151"/>
      <c r="AP22" s="71"/>
      <c r="AQ22" s="275">
        <v>24</v>
      </c>
      <c r="AR22" s="58" t="b">
        <f>EXACT(F22,AQ22)</f>
        <v>0</v>
      </c>
    </row>
    <row r="23" spans="1:44" ht="16.5" customHeight="1">
      <c r="A23" s="67" t="s">
        <v>23</v>
      </c>
      <c r="B23" s="76" t="s">
        <v>25</v>
      </c>
      <c r="C23" s="76" t="s">
        <v>130</v>
      </c>
      <c r="D23" s="72" t="s">
        <v>132</v>
      </c>
      <c r="E23" s="151">
        <v>10</v>
      </c>
      <c r="F23" s="151">
        <v>8</v>
      </c>
      <c r="G23" s="151">
        <v>0</v>
      </c>
      <c r="H23" s="151">
        <v>0</v>
      </c>
      <c r="I23" s="151">
        <v>0</v>
      </c>
      <c r="J23" s="151">
        <v>0</v>
      </c>
      <c r="K23" s="151">
        <v>0</v>
      </c>
      <c r="L23" s="151">
        <v>0</v>
      </c>
      <c r="M23" s="151">
        <v>8</v>
      </c>
      <c r="N23" s="151">
        <v>8</v>
      </c>
      <c r="O23" s="151">
        <v>8</v>
      </c>
      <c r="P23" s="151"/>
      <c r="Q23" s="151"/>
      <c r="R23" s="151"/>
      <c r="S23" s="151"/>
      <c r="T23" s="151"/>
      <c r="U23" s="285"/>
      <c r="V23" s="151"/>
      <c r="W23" s="151"/>
      <c r="X23" s="151"/>
      <c r="Y23" s="151"/>
      <c r="Z23" s="151"/>
      <c r="AA23" s="286"/>
      <c r="AB23" s="151">
        <v>140</v>
      </c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>
        <v>-2.1</v>
      </c>
      <c r="AO23" s="151"/>
      <c r="AP23" s="151"/>
      <c r="AQ23" s="275"/>
      <c r="AR23" s="58"/>
    </row>
    <row r="24" spans="1:44" ht="16.5" customHeight="1">
      <c r="A24" s="67" t="s">
        <v>23</v>
      </c>
      <c r="B24" s="76" t="s">
        <v>25</v>
      </c>
      <c r="C24" s="76" t="s">
        <v>130</v>
      </c>
      <c r="D24" s="72" t="s">
        <v>133</v>
      </c>
      <c r="E24" s="151">
        <v>0</v>
      </c>
      <c r="F24" s="151">
        <v>5</v>
      </c>
      <c r="G24" s="151">
        <v>1</v>
      </c>
      <c r="H24" s="151">
        <v>0</v>
      </c>
      <c r="I24" s="151">
        <v>1</v>
      </c>
      <c r="J24" s="151">
        <v>0</v>
      </c>
      <c r="K24" s="151">
        <v>0</v>
      </c>
      <c r="L24" s="151">
        <v>0</v>
      </c>
      <c r="M24" s="151">
        <v>4</v>
      </c>
      <c r="N24" s="151">
        <v>2</v>
      </c>
      <c r="O24" s="151">
        <v>2</v>
      </c>
      <c r="P24" s="151"/>
      <c r="Q24" s="151"/>
      <c r="R24" s="151"/>
      <c r="S24" s="151"/>
      <c r="T24" s="151"/>
      <c r="U24" s="285"/>
      <c r="V24" s="151"/>
      <c r="W24" s="151"/>
      <c r="X24" s="151"/>
      <c r="Y24" s="151"/>
      <c r="Z24" s="151"/>
      <c r="AA24" s="286"/>
      <c r="AB24" s="151">
        <v>396</v>
      </c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>
        <v>0.3</v>
      </c>
      <c r="AO24" s="151"/>
      <c r="AP24" s="151"/>
      <c r="AQ24" s="275">
        <v>25</v>
      </c>
      <c r="AR24" s="58" t="b">
        <f t="shared" ref="AR24:AR32" si="1">EXACT(F24,AQ24)</f>
        <v>0</v>
      </c>
    </row>
    <row r="25" spans="1:44" ht="16.5" customHeight="1">
      <c r="A25" s="62" t="s">
        <v>23</v>
      </c>
      <c r="B25" s="76" t="s">
        <v>25</v>
      </c>
      <c r="C25" s="76" t="s">
        <v>130</v>
      </c>
      <c r="D25" s="72" t="s">
        <v>134</v>
      </c>
      <c r="E25" s="151">
        <v>21</v>
      </c>
      <c r="F25" s="151">
        <v>5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51">
        <v>5</v>
      </c>
      <c r="N25" s="151">
        <v>3</v>
      </c>
      <c r="O25" s="151">
        <v>3</v>
      </c>
      <c r="P25" s="151"/>
      <c r="Q25" s="151"/>
      <c r="R25" s="151"/>
      <c r="S25" s="151"/>
      <c r="T25" s="151"/>
      <c r="U25" s="285"/>
      <c r="V25" s="151"/>
      <c r="W25" s="151"/>
      <c r="X25" s="151"/>
      <c r="Y25" s="151"/>
      <c r="Z25" s="151"/>
      <c r="AA25" s="286"/>
      <c r="AB25" s="151">
        <v>80</v>
      </c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>
        <v>5.6</v>
      </c>
      <c r="AO25" s="151"/>
      <c r="AP25" s="71"/>
      <c r="AQ25" s="275">
        <v>19</v>
      </c>
      <c r="AR25" s="58" t="b">
        <f t="shared" si="1"/>
        <v>0</v>
      </c>
    </row>
    <row r="26" spans="1:44">
      <c r="A26" s="59" t="s">
        <v>23</v>
      </c>
      <c r="B26" s="404" t="s">
        <v>26</v>
      </c>
      <c r="C26" s="405"/>
      <c r="D26" s="73" t="s">
        <v>114</v>
      </c>
      <c r="E26" s="74">
        <v>276</v>
      </c>
      <c r="F26" s="74">
        <v>207</v>
      </c>
      <c r="G26" s="74">
        <v>28</v>
      </c>
      <c r="H26" s="74">
        <v>17</v>
      </c>
      <c r="I26" s="74">
        <v>11</v>
      </c>
      <c r="J26" s="74">
        <v>0</v>
      </c>
      <c r="K26" s="74">
        <v>0</v>
      </c>
      <c r="L26" s="74">
        <v>0</v>
      </c>
      <c r="M26" s="74">
        <v>179</v>
      </c>
      <c r="N26" s="74">
        <v>138</v>
      </c>
      <c r="O26" s="74">
        <v>106</v>
      </c>
      <c r="P26" s="74"/>
      <c r="Q26" s="74"/>
      <c r="R26" s="74"/>
      <c r="S26" s="74"/>
      <c r="T26" s="74"/>
      <c r="U26" s="287"/>
      <c r="V26" s="74"/>
      <c r="W26" s="74"/>
      <c r="X26" s="74"/>
      <c r="Y26" s="74"/>
      <c r="Z26" s="74"/>
      <c r="AA26" s="288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275">
        <v>171</v>
      </c>
      <c r="AR26" s="58" t="b">
        <f t="shared" si="1"/>
        <v>0</v>
      </c>
    </row>
    <row r="27" spans="1:44" ht="16.5" customHeight="1">
      <c r="A27" s="62" t="s">
        <v>23</v>
      </c>
      <c r="B27" s="75" t="s">
        <v>26</v>
      </c>
      <c r="C27" s="76" t="s">
        <v>115</v>
      </c>
      <c r="D27" s="289" t="s">
        <v>135</v>
      </c>
      <c r="E27" s="290">
        <v>30</v>
      </c>
      <c r="F27" s="290">
        <v>19</v>
      </c>
      <c r="G27" s="290">
        <v>8</v>
      </c>
      <c r="H27" s="290">
        <v>8</v>
      </c>
      <c r="I27" s="290">
        <v>0</v>
      </c>
      <c r="J27" s="290">
        <v>0</v>
      </c>
      <c r="K27" s="290">
        <v>0</v>
      </c>
      <c r="L27" s="290">
        <v>0</v>
      </c>
      <c r="M27" s="290">
        <v>11</v>
      </c>
      <c r="N27" s="290">
        <v>11</v>
      </c>
      <c r="O27" s="290">
        <v>10</v>
      </c>
      <c r="P27" s="290"/>
      <c r="Q27" s="290"/>
      <c r="R27" s="290"/>
      <c r="S27" s="290"/>
      <c r="T27" s="290"/>
      <c r="U27" s="291"/>
      <c r="V27" s="290"/>
      <c r="W27" s="290"/>
      <c r="X27" s="290"/>
      <c r="Y27" s="290"/>
      <c r="Z27" s="290"/>
      <c r="AA27" s="281"/>
      <c r="AB27" s="290">
        <v>182</v>
      </c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>
        <v>6.2</v>
      </c>
      <c r="AO27" s="290"/>
      <c r="AP27" s="292"/>
      <c r="AQ27" s="275">
        <v>5</v>
      </c>
      <c r="AR27" s="58" t="b">
        <f t="shared" si="1"/>
        <v>0</v>
      </c>
    </row>
    <row r="28" spans="1:44" ht="16.5" customHeight="1">
      <c r="A28" s="62" t="s">
        <v>23</v>
      </c>
      <c r="B28" s="75" t="s">
        <v>26</v>
      </c>
      <c r="C28" s="76" t="s">
        <v>115</v>
      </c>
      <c r="D28" s="289" t="s">
        <v>136</v>
      </c>
      <c r="E28" s="290">
        <v>60</v>
      </c>
      <c r="F28" s="290">
        <v>52</v>
      </c>
      <c r="G28" s="290">
        <v>10</v>
      </c>
      <c r="H28" s="290">
        <v>4</v>
      </c>
      <c r="I28" s="290">
        <v>6</v>
      </c>
      <c r="J28" s="290">
        <v>0</v>
      </c>
      <c r="K28" s="290">
        <v>0</v>
      </c>
      <c r="L28" s="290">
        <v>0</v>
      </c>
      <c r="M28" s="290">
        <v>42</v>
      </c>
      <c r="N28" s="290">
        <v>34</v>
      </c>
      <c r="O28" s="290">
        <v>25</v>
      </c>
      <c r="P28" s="290"/>
      <c r="Q28" s="290"/>
      <c r="R28" s="290"/>
      <c r="S28" s="290"/>
      <c r="T28" s="290"/>
      <c r="U28" s="291"/>
      <c r="V28" s="290"/>
      <c r="W28" s="290"/>
      <c r="X28" s="290"/>
      <c r="Y28" s="290"/>
      <c r="Z28" s="290"/>
      <c r="AA28" s="281"/>
      <c r="AB28" s="290">
        <v>230</v>
      </c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>
        <v>5.0999999999999996</v>
      </c>
      <c r="AO28" s="290"/>
      <c r="AP28" s="292"/>
      <c r="AQ28" s="275">
        <v>57</v>
      </c>
      <c r="AR28" s="58" t="b">
        <f t="shared" si="1"/>
        <v>0</v>
      </c>
    </row>
    <row r="29" spans="1:44" ht="16.5" customHeight="1">
      <c r="A29" s="62" t="s">
        <v>23</v>
      </c>
      <c r="B29" s="75" t="s">
        <v>26</v>
      </c>
      <c r="C29" s="76" t="s">
        <v>115</v>
      </c>
      <c r="D29" s="289" t="s">
        <v>137</v>
      </c>
      <c r="E29" s="290">
        <v>30</v>
      </c>
      <c r="F29" s="290">
        <v>22</v>
      </c>
      <c r="G29" s="290">
        <v>0</v>
      </c>
      <c r="H29" s="290">
        <v>0</v>
      </c>
      <c r="I29" s="290">
        <v>0</v>
      </c>
      <c r="J29" s="290">
        <v>0</v>
      </c>
      <c r="K29" s="290">
        <v>0</v>
      </c>
      <c r="L29" s="290">
        <v>0</v>
      </c>
      <c r="M29" s="290">
        <v>22</v>
      </c>
      <c r="N29" s="290">
        <v>16</v>
      </c>
      <c r="O29" s="290">
        <v>16</v>
      </c>
      <c r="P29" s="290"/>
      <c r="Q29" s="290"/>
      <c r="R29" s="290"/>
      <c r="S29" s="290"/>
      <c r="T29" s="290"/>
      <c r="U29" s="291"/>
      <c r="V29" s="290"/>
      <c r="W29" s="290"/>
      <c r="X29" s="290"/>
      <c r="Y29" s="290"/>
      <c r="Z29" s="290"/>
      <c r="AA29" s="281"/>
      <c r="AB29" s="290">
        <v>210</v>
      </c>
      <c r="AC29" s="290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>
        <v>-3.4</v>
      </c>
      <c r="AO29" s="290"/>
      <c r="AP29" s="292"/>
      <c r="AQ29" s="275">
        <v>22</v>
      </c>
      <c r="AR29" s="58" t="b">
        <f t="shared" si="1"/>
        <v>1</v>
      </c>
    </row>
    <row r="30" spans="1:44" ht="16.5" customHeight="1">
      <c r="A30" s="62" t="s">
        <v>23</v>
      </c>
      <c r="B30" s="75" t="s">
        <v>26</v>
      </c>
      <c r="C30" s="76" t="s">
        <v>115</v>
      </c>
      <c r="D30" s="289" t="s">
        <v>138</v>
      </c>
      <c r="E30" s="290">
        <v>25</v>
      </c>
      <c r="F30" s="290">
        <v>10</v>
      </c>
      <c r="G30" s="290">
        <v>0</v>
      </c>
      <c r="H30" s="290">
        <v>0</v>
      </c>
      <c r="I30" s="290">
        <v>0</v>
      </c>
      <c r="J30" s="290">
        <v>0</v>
      </c>
      <c r="K30" s="290">
        <v>0</v>
      </c>
      <c r="L30" s="290">
        <v>0</v>
      </c>
      <c r="M30" s="290">
        <v>10</v>
      </c>
      <c r="N30" s="290">
        <v>8</v>
      </c>
      <c r="O30" s="290">
        <v>8</v>
      </c>
      <c r="P30" s="290"/>
      <c r="Q30" s="290"/>
      <c r="R30" s="290"/>
      <c r="S30" s="290"/>
      <c r="T30" s="290"/>
      <c r="U30" s="291"/>
      <c r="V30" s="290"/>
      <c r="W30" s="290"/>
      <c r="X30" s="290"/>
      <c r="Y30" s="290"/>
      <c r="Z30" s="290"/>
      <c r="AA30" s="281"/>
      <c r="AB30" s="290">
        <v>267</v>
      </c>
      <c r="AC30" s="290"/>
      <c r="AD30" s="290"/>
      <c r="AE30" s="290"/>
      <c r="AF30" s="290"/>
      <c r="AG30" s="290"/>
      <c r="AH30" s="290"/>
      <c r="AI30" s="290"/>
      <c r="AJ30" s="290"/>
      <c r="AK30" s="290"/>
      <c r="AL30" s="290"/>
      <c r="AM30" s="290"/>
      <c r="AN30" s="290">
        <v>7.7</v>
      </c>
      <c r="AO30" s="290"/>
      <c r="AP30" s="292"/>
      <c r="AQ30" s="275">
        <v>34</v>
      </c>
      <c r="AR30" s="58" t="b">
        <f t="shared" si="1"/>
        <v>0</v>
      </c>
    </row>
    <row r="31" spans="1:44" ht="16.5" customHeight="1">
      <c r="A31" s="62" t="s">
        <v>23</v>
      </c>
      <c r="B31" s="75" t="s">
        <v>26</v>
      </c>
      <c r="C31" s="76" t="s">
        <v>115</v>
      </c>
      <c r="D31" s="289" t="s">
        <v>139</v>
      </c>
      <c r="E31" s="290">
        <v>50</v>
      </c>
      <c r="F31" s="290">
        <v>42</v>
      </c>
      <c r="G31" s="290">
        <v>2</v>
      </c>
      <c r="H31" s="290">
        <v>1</v>
      </c>
      <c r="I31" s="290">
        <v>1</v>
      </c>
      <c r="J31" s="290">
        <v>0</v>
      </c>
      <c r="K31" s="290">
        <v>0</v>
      </c>
      <c r="L31" s="290">
        <v>0</v>
      </c>
      <c r="M31" s="290">
        <v>40</v>
      </c>
      <c r="N31" s="290">
        <v>25</v>
      </c>
      <c r="O31" s="290">
        <v>15</v>
      </c>
      <c r="P31" s="290"/>
      <c r="Q31" s="290"/>
      <c r="R31" s="290"/>
      <c r="S31" s="290"/>
      <c r="T31" s="290"/>
      <c r="U31" s="291"/>
      <c r="V31" s="290"/>
      <c r="W31" s="290"/>
      <c r="X31" s="290"/>
      <c r="Y31" s="290"/>
      <c r="Z31" s="290"/>
      <c r="AA31" s="281"/>
      <c r="AB31" s="290">
        <v>214</v>
      </c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>
        <v>-4</v>
      </c>
      <c r="AO31" s="290"/>
      <c r="AP31" s="292"/>
      <c r="AQ31" s="275">
        <v>19</v>
      </c>
      <c r="AR31" s="58" t="b">
        <f t="shared" si="1"/>
        <v>0</v>
      </c>
    </row>
    <row r="32" spans="1:44" ht="16.5" customHeight="1">
      <c r="A32" s="62" t="s">
        <v>23</v>
      </c>
      <c r="B32" s="75" t="s">
        <v>26</v>
      </c>
      <c r="C32" s="76" t="s">
        <v>115</v>
      </c>
      <c r="D32" s="289" t="s">
        <v>140</v>
      </c>
      <c r="E32" s="290">
        <v>60</v>
      </c>
      <c r="F32" s="290">
        <v>47</v>
      </c>
      <c r="G32" s="290">
        <v>7</v>
      </c>
      <c r="H32" s="290">
        <v>3</v>
      </c>
      <c r="I32" s="290">
        <v>4</v>
      </c>
      <c r="J32" s="290">
        <v>0</v>
      </c>
      <c r="K32" s="290">
        <v>0</v>
      </c>
      <c r="L32" s="290">
        <v>0</v>
      </c>
      <c r="M32" s="290">
        <v>40</v>
      </c>
      <c r="N32" s="290">
        <v>33</v>
      </c>
      <c r="O32" s="290">
        <v>21</v>
      </c>
      <c r="P32" s="290"/>
      <c r="Q32" s="290"/>
      <c r="R32" s="290"/>
      <c r="S32" s="290"/>
      <c r="T32" s="290"/>
      <c r="U32" s="291"/>
      <c r="V32" s="290"/>
      <c r="W32" s="290"/>
      <c r="X32" s="290"/>
      <c r="Y32" s="290"/>
      <c r="Z32" s="290"/>
      <c r="AA32" s="281"/>
      <c r="AB32" s="290">
        <v>101</v>
      </c>
      <c r="AC32" s="290"/>
      <c r="AD32" s="290"/>
      <c r="AE32" s="290"/>
      <c r="AF32" s="290"/>
      <c r="AG32" s="290"/>
      <c r="AH32" s="290"/>
      <c r="AI32" s="290"/>
      <c r="AJ32" s="290"/>
      <c r="AK32" s="290"/>
      <c r="AL32" s="290"/>
      <c r="AM32" s="290"/>
      <c r="AN32" s="290">
        <v>-3.6</v>
      </c>
      <c r="AO32" s="290"/>
      <c r="AP32" s="292"/>
      <c r="AQ32" s="275">
        <v>34</v>
      </c>
      <c r="AR32" s="58" t="b">
        <f t="shared" si="1"/>
        <v>0</v>
      </c>
    </row>
    <row r="33" spans="1:44" ht="16.5" customHeight="1">
      <c r="A33" s="62" t="s">
        <v>23</v>
      </c>
      <c r="B33" s="76" t="s">
        <v>26</v>
      </c>
      <c r="C33" s="76" t="s">
        <v>130</v>
      </c>
      <c r="D33" s="94" t="s">
        <v>141</v>
      </c>
      <c r="E33" s="82">
        <v>21</v>
      </c>
      <c r="F33" s="82">
        <v>15</v>
      </c>
      <c r="G33" s="82">
        <v>1</v>
      </c>
      <c r="H33" s="82">
        <v>1</v>
      </c>
      <c r="I33" s="82">
        <v>0</v>
      </c>
      <c r="J33" s="82">
        <v>0</v>
      </c>
      <c r="K33" s="82">
        <v>0</v>
      </c>
      <c r="L33" s="82">
        <v>0</v>
      </c>
      <c r="M33" s="82">
        <v>14</v>
      </c>
      <c r="N33" s="82">
        <v>11</v>
      </c>
      <c r="O33" s="82">
        <v>11</v>
      </c>
      <c r="P33" s="82"/>
      <c r="Q33" s="82"/>
      <c r="R33" s="82"/>
      <c r="S33" s="82"/>
      <c r="T33" s="82"/>
      <c r="U33" s="293"/>
      <c r="V33" s="82"/>
      <c r="W33" s="82"/>
      <c r="X33" s="82"/>
      <c r="Y33" s="82"/>
      <c r="Z33" s="82"/>
      <c r="AA33" s="286"/>
      <c r="AB33" s="82">
        <v>477</v>
      </c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>
        <v>-1.3</v>
      </c>
      <c r="AO33" s="82"/>
      <c r="AP33" s="82"/>
      <c r="AQ33" s="275"/>
      <c r="AR33" s="58"/>
    </row>
    <row r="34" spans="1:44">
      <c r="A34" s="59" t="s">
        <v>23</v>
      </c>
      <c r="B34" s="404" t="s">
        <v>27</v>
      </c>
      <c r="C34" s="405"/>
      <c r="D34" s="73" t="s">
        <v>114</v>
      </c>
      <c r="E34" s="74">
        <v>371</v>
      </c>
      <c r="F34" s="74">
        <v>298</v>
      </c>
      <c r="G34" s="74">
        <v>19</v>
      </c>
      <c r="H34" s="74">
        <v>8</v>
      </c>
      <c r="I34" s="74">
        <v>11</v>
      </c>
      <c r="J34" s="74">
        <v>0</v>
      </c>
      <c r="K34" s="74">
        <v>0</v>
      </c>
      <c r="L34" s="74">
        <v>0</v>
      </c>
      <c r="M34" s="74">
        <v>279</v>
      </c>
      <c r="N34" s="74">
        <v>220</v>
      </c>
      <c r="O34" s="74">
        <v>204</v>
      </c>
      <c r="P34" s="74"/>
      <c r="Q34" s="74"/>
      <c r="R34" s="74"/>
      <c r="S34" s="74"/>
      <c r="T34" s="74"/>
      <c r="U34" s="287"/>
      <c r="V34" s="74"/>
      <c r="W34" s="74"/>
      <c r="X34" s="74"/>
      <c r="Y34" s="74"/>
      <c r="Z34" s="74"/>
      <c r="AA34" s="288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294"/>
      <c r="AO34" s="294"/>
      <c r="AP34" s="295"/>
      <c r="AQ34" s="275">
        <v>355</v>
      </c>
      <c r="AR34" s="58" t="b">
        <f t="shared" ref="AR34:AR39" si="2">EXACT(F34,AQ34)</f>
        <v>0</v>
      </c>
    </row>
    <row r="35" spans="1:44" ht="15.75" customHeight="1">
      <c r="A35" s="62" t="s">
        <v>23</v>
      </c>
      <c r="B35" s="76" t="s">
        <v>27</v>
      </c>
      <c r="C35" s="76" t="s">
        <v>115</v>
      </c>
      <c r="D35" s="68" t="s">
        <v>142</v>
      </c>
      <c r="E35" s="69">
        <v>30</v>
      </c>
      <c r="F35" s="69">
        <v>28</v>
      </c>
      <c r="G35" s="69">
        <v>1</v>
      </c>
      <c r="H35" s="69">
        <v>0</v>
      </c>
      <c r="I35" s="69">
        <v>1</v>
      </c>
      <c r="J35" s="69">
        <v>0</v>
      </c>
      <c r="K35" s="69">
        <v>0</v>
      </c>
      <c r="L35" s="69">
        <v>0</v>
      </c>
      <c r="M35" s="69">
        <v>27</v>
      </c>
      <c r="N35" s="69">
        <v>24</v>
      </c>
      <c r="O35" s="69">
        <v>24</v>
      </c>
      <c r="P35" s="69"/>
      <c r="Q35" s="69"/>
      <c r="R35" s="69"/>
      <c r="S35" s="69"/>
      <c r="T35" s="69"/>
      <c r="U35" s="296"/>
      <c r="V35" s="69"/>
      <c r="W35" s="69"/>
      <c r="X35" s="69"/>
      <c r="Y35" s="69"/>
      <c r="Z35" s="69"/>
      <c r="AA35" s="284"/>
      <c r="AB35" s="69">
        <v>202</v>
      </c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>
        <v>-2.2000000000000002</v>
      </c>
      <c r="AO35" s="69"/>
      <c r="AP35" s="70"/>
      <c r="AQ35" s="275">
        <v>39</v>
      </c>
      <c r="AR35" s="58" t="b">
        <f t="shared" si="2"/>
        <v>0</v>
      </c>
    </row>
    <row r="36" spans="1:44" ht="16.5" customHeight="1">
      <c r="A36" s="62" t="s">
        <v>23</v>
      </c>
      <c r="B36" s="76" t="s">
        <v>27</v>
      </c>
      <c r="C36" s="76" t="s">
        <v>115</v>
      </c>
      <c r="D36" s="68" t="s">
        <v>143</v>
      </c>
      <c r="E36" s="69">
        <v>85</v>
      </c>
      <c r="F36" s="69">
        <v>107</v>
      </c>
      <c r="G36" s="69">
        <v>4</v>
      </c>
      <c r="H36" s="69">
        <v>3</v>
      </c>
      <c r="I36" s="69">
        <v>1</v>
      </c>
      <c r="J36" s="69">
        <v>0</v>
      </c>
      <c r="K36" s="69">
        <v>0</v>
      </c>
      <c r="L36" s="69">
        <v>0</v>
      </c>
      <c r="M36" s="69">
        <v>103</v>
      </c>
      <c r="N36" s="69">
        <v>82</v>
      </c>
      <c r="O36" s="69">
        <v>76</v>
      </c>
      <c r="P36" s="69"/>
      <c r="Q36" s="69"/>
      <c r="R36" s="69"/>
      <c r="S36" s="69"/>
      <c r="T36" s="69"/>
      <c r="U36" s="296"/>
      <c r="V36" s="69"/>
      <c r="W36" s="69"/>
      <c r="X36" s="69"/>
      <c r="Y36" s="69"/>
      <c r="Z36" s="69"/>
      <c r="AA36" s="284"/>
      <c r="AB36" s="69">
        <v>440</v>
      </c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>
        <v>-3.6</v>
      </c>
      <c r="AO36" s="69"/>
      <c r="AP36" s="70"/>
      <c r="AQ36" s="275">
        <v>49</v>
      </c>
      <c r="AR36" s="58" t="b">
        <f t="shared" si="2"/>
        <v>0</v>
      </c>
    </row>
    <row r="37" spans="1:44" ht="16.5" customHeight="1">
      <c r="A37" s="62" t="s">
        <v>23</v>
      </c>
      <c r="B37" s="76" t="s">
        <v>27</v>
      </c>
      <c r="C37" s="76" t="s">
        <v>115</v>
      </c>
      <c r="D37" s="68" t="s">
        <v>144</v>
      </c>
      <c r="E37" s="69">
        <v>60</v>
      </c>
      <c r="F37" s="69">
        <v>42</v>
      </c>
      <c r="G37" s="69">
        <v>1</v>
      </c>
      <c r="H37" s="69">
        <v>1</v>
      </c>
      <c r="I37" s="69">
        <v>0</v>
      </c>
      <c r="J37" s="69">
        <v>0</v>
      </c>
      <c r="K37" s="69">
        <v>0</v>
      </c>
      <c r="L37" s="69">
        <v>0</v>
      </c>
      <c r="M37" s="69">
        <v>41</v>
      </c>
      <c r="N37" s="69">
        <v>33</v>
      </c>
      <c r="O37" s="69">
        <v>31</v>
      </c>
      <c r="P37" s="69"/>
      <c r="Q37" s="69"/>
      <c r="R37" s="69"/>
      <c r="S37" s="69"/>
      <c r="T37" s="69"/>
      <c r="U37" s="296"/>
      <c r="V37" s="69"/>
      <c r="W37" s="69"/>
      <c r="X37" s="69"/>
      <c r="Y37" s="69"/>
      <c r="Z37" s="69"/>
      <c r="AA37" s="284"/>
      <c r="AB37" s="69">
        <v>367</v>
      </c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>
        <v>7.1</v>
      </c>
      <c r="AO37" s="69"/>
      <c r="AP37" s="70"/>
      <c r="AQ37" s="275">
        <v>95</v>
      </c>
      <c r="AR37" s="58" t="b">
        <f t="shared" si="2"/>
        <v>0</v>
      </c>
    </row>
    <row r="38" spans="1:44" ht="16.5" customHeight="1">
      <c r="A38" s="62" t="s">
        <v>23</v>
      </c>
      <c r="B38" s="76" t="s">
        <v>27</v>
      </c>
      <c r="C38" s="76" t="s">
        <v>115</v>
      </c>
      <c r="D38" s="68" t="s">
        <v>145</v>
      </c>
      <c r="E38" s="69">
        <v>60</v>
      </c>
      <c r="F38" s="69">
        <v>37</v>
      </c>
      <c r="G38" s="69">
        <v>3</v>
      </c>
      <c r="H38" s="69">
        <v>1</v>
      </c>
      <c r="I38" s="69">
        <v>2</v>
      </c>
      <c r="J38" s="69">
        <v>0</v>
      </c>
      <c r="K38" s="69">
        <v>0</v>
      </c>
      <c r="L38" s="69">
        <v>0</v>
      </c>
      <c r="M38" s="69">
        <v>34</v>
      </c>
      <c r="N38" s="69">
        <v>27</v>
      </c>
      <c r="O38" s="69">
        <v>25</v>
      </c>
      <c r="P38" s="69"/>
      <c r="Q38" s="69"/>
      <c r="R38" s="69"/>
      <c r="S38" s="69"/>
      <c r="T38" s="69"/>
      <c r="U38" s="296"/>
      <c r="V38" s="69"/>
      <c r="W38" s="69"/>
      <c r="X38" s="69"/>
      <c r="Y38" s="69"/>
      <c r="Z38" s="69"/>
      <c r="AA38" s="284"/>
      <c r="AB38" s="69">
        <v>388</v>
      </c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>
        <v>5.4</v>
      </c>
      <c r="AO38" s="69"/>
      <c r="AP38" s="70"/>
      <c r="AQ38" s="275">
        <v>51</v>
      </c>
      <c r="AR38" s="58" t="b">
        <f t="shared" si="2"/>
        <v>0</v>
      </c>
    </row>
    <row r="39" spans="1:44" ht="16.5" customHeight="1">
      <c r="A39" s="62" t="s">
        <v>23</v>
      </c>
      <c r="B39" s="76" t="s">
        <v>27</v>
      </c>
      <c r="C39" s="76" t="s">
        <v>115</v>
      </c>
      <c r="D39" s="68" t="s">
        <v>146</v>
      </c>
      <c r="E39" s="69">
        <v>60</v>
      </c>
      <c r="F39" s="69">
        <v>39</v>
      </c>
      <c r="G39" s="69">
        <v>5</v>
      </c>
      <c r="H39" s="69">
        <v>2</v>
      </c>
      <c r="I39" s="69">
        <v>3</v>
      </c>
      <c r="J39" s="69">
        <v>0</v>
      </c>
      <c r="K39" s="69">
        <v>0</v>
      </c>
      <c r="L39" s="69">
        <v>0</v>
      </c>
      <c r="M39" s="69">
        <v>34</v>
      </c>
      <c r="N39" s="69">
        <v>24</v>
      </c>
      <c r="O39" s="69">
        <v>20</v>
      </c>
      <c r="P39" s="69"/>
      <c r="Q39" s="69"/>
      <c r="R39" s="69"/>
      <c r="S39" s="69"/>
      <c r="T39" s="69"/>
      <c r="U39" s="296"/>
      <c r="V39" s="69"/>
      <c r="W39" s="69"/>
      <c r="X39" s="69"/>
      <c r="Y39" s="69"/>
      <c r="Z39" s="69"/>
      <c r="AA39" s="284"/>
      <c r="AB39" s="69">
        <v>413</v>
      </c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>
        <v>2.2999999999999998</v>
      </c>
      <c r="AO39" s="69"/>
      <c r="AP39" s="70"/>
      <c r="AQ39" s="275">
        <v>47</v>
      </c>
      <c r="AR39" s="58" t="b">
        <f t="shared" si="2"/>
        <v>0</v>
      </c>
    </row>
    <row r="40" spans="1:44" ht="16.5" customHeight="1">
      <c r="A40" s="62" t="s">
        <v>23</v>
      </c>
      <c r="B40" s="76" t="s">
        <v>27</v>
      </c>
      <c r="C40" s="76" t="s">
        <v>115</v>
      </c>
      <c r="D40" s="68" t="s">
        <v>147</v>
      </c>
      <c r="E40" s="69">
        <v>60</v>
      </c>
      <c r="F40" s="69">
        <v>32</v>
      </c>
      <c r="G40" s="69">
        <v>2</v>
      </c>
      <c r="H40" s="69">
        <v>1</v>
      </c>
      <c r="I40" s="69">
        <v>1</v>
      </c>
      <c r="J40" s="69">
        <v>0</v>
      </c>
      <c r="K40" s="69">
        <v>0</v>
      </c>
      <c r="L40" s="69">
        <v>0</v>
      </c>
      <c r="M40" s="69">
        <v>30</v>
      </c>
      <c r="N40" s="69">
        <v>20</v>
      </c>
      <c r="O40" s="69">
        <v>18</v>
      </c>
      <c r="P40" s="69"/>
      <c r="Q40" s="69"/>
      <c r="R40" s="69"/>
      <c r="S40" s="69"/>
      <c r="T40" s="69"/>
      <c r="U40" s="296"/>
      <c r="V40" s="69"/>
      <c r="W40" s="69"/>
      <c r="X40" s="69"/>
      <c r="Y40" s="69"/>
      <c r="Z40" s="69"/>
      <c r="AA40" s="284"/>
      <c r="AB40" s="69">
        <v>134</v>
      </c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>
        <v>-0.3</v>
      </c>
      <c r="AO40" s="69"/>
      <c r="AP40" s="69"/>
      <c r="AQ40" s="275"/>
      <c r="AR40" s="58"/>
    </row>
    <row r="41" spans="1:44" ht="16.5" customHeight="1">
      <c r="A41" s="62" t="s">
        <v>23</v>
      </c>
      <c r="B41" s="76" t="s">
        <v>27</v>
      </c>
      <c r="C41" s="76" t="s">
        <v>130</v>
      </c>
      <c r="D41" s="68" t="s">
        <v>148</v>
      </c>
      <c r="E41" s="69">
        <v>0</v>
      </c>
      <c r="F41" s="69">
        <v>1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1</v>
      </c>
      <c r="N41" s="69">
        <v>1</v>
      </c>
      <c r="O41" s="69">
        <v>1</v>
      </c>
      <c r="P41" s="69"/>
      <c r="Q41" s="69"/>
      <c r="R41" s="69"/>
      <c r="S41" s="69"/>
      <c r="T41" s="69"/>
      <c r="U41" s="296"/>
      <c r="V41" s="69"/>
      <c r="W41" s="69"/>
      <c r="X41" s="69"/>
      <c r="Y41" s="69"/>
      <c r="Z41" s="69"/>
      <c r="AA41" s="284"/>
      <c r="AB41" s="69">
        <v>263</v>
      </c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>
        <v>3.4</v>
      </c>
      <c r="AO41" s="69"/>
      <c r="AP41" s="69"/>
      <c r="AQ41" s="275"/>
      <c r="AR41" s="58"/>
    </row>
    <row r="42" spans="1:44" ht="16.5" customHeight="1">
      <c r="A42" s="62" t="s">
        <v>23</v>
      </c>
      <c r="B42" s="76" t="s">
        <v>27</v>
      </c>
      <c r="C42" s="76" t="s">
        <v>130</v>
      </c>
      <c r="D42" s="68" t="s">
        <v>149</v>
      </c>
      <c r="E42" s="69">
        <v>16</v>
      </c>
      <c r="F42" s="69">
        <v>12</v>
      </c>
      <c r="G42" s="69">
        <v>3</v>
      </c>
      <c r="H42" s="69">
        <v>0</v>
      </c>
      <c r="I42" s="69">
        <v>3</v>
      </c>
      <c r="J42" s="69">
        <v>0</v>
      </c>
      <c r="K42" s="69">
        <v>0</v>
      </c>
      <c r="L42" s="69">
        <v>0</v>
      </c>
      <c r="M42" s="69">
        <v>9</v>
      </c>
      <c r="N42" s="69">
        <v>9</v>
      </c>
      <c r="O42" s="69">
        <v>9</v>
      </c>
      <c r="P42" s="69"/>
      <c r="Q42" s="69"/>
      <c r="R42" s="69"/>
      <c r="S42" s="69"/>
      <c r="T42" s="69"/>
      <c r="U42" s="296"/>
      <c r="V42" s="69"/>
      <c r="W42" s="69"/>
      <c r="X42" s="69"/>
      <c r="Y42" s="69"/>
      <c r="Z42" s="69"/>
      <c r="AA42" s="284"/>
      <c r="AB42" s="69">
        <v>266</v>
      </c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>
        <v>1.7</v>
      </c>
      <c r="AO42" s="69"/>
      <c r="AP42" s="69"/>
      <c r="AQ42" s="275"/>
      <c r="AR42" s="58"/>
    </row>
    <row r="43" spans="1:44" ht="17.25" customHeight="1">
      <c r="A43" s="59" t="s">
        <v>23</v>
      </c>
      <c r="B43" s="404" t="s">
        <v>28</v>
      </c>
      <c r="C43" s="405"/>
      <c r="D43" s="73" t="s">
        <v>114</v>
      </c>
      <c r="E43" s="74">
        <v>25</v>
      </c>
      <c r="F43" s="74">
        <v>17</v>
      </c>
      <c r="G43" s="74">
        <v>4</v>
      </c>
      <c r="H43" s="74">
        <v>3</v>
      </c>
      <c r="I43" s="74">
        <v>1</v>
      </c>
      <c r="J43" s="74">
        <v>0</v>
      </c>
      <c r="K43" s="74">
        <v>0</v>
      </c>
      <c r="L43" s="74">
        <v>0</v>
      </c>
      <c r="M43" s="74">
        <v>13</v>
      </c>
      <c r="N43" s="74">
        <v>10</v>
      </c>
      <c r="O43" s="74">
        <v>9</v>
      </c>
      <c r="P43" s="74"/>
      <c r="Q43" s="74"/>
      <c r="R43" s="74"/>
      <c r="S43" s="74"/>
      <c r="T43" s="74"/>
      <c r="U43" s="287"/>
      <c r="V43" s="74"/>
      <c r="W43" s="74"/>
      <c r="X43" s="74"/>
      <c r="Y43" s="74"/>
      <c r="Z43" s="74"/>
      <c r="AA43" s="288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294"/>
      <c r="AO43" s="294"/>
      <c r="AP43" s="295"/>
      <c r="AQ43" s="275">
        <v>12</v>
      </c>
      <c r="AR43" s="58" t="b">
        <f>EXACT(F43,AQ43)</f>
        <v>0</v>
      </c>
    </row>
    <row r="44" spans="1:44" ht="17.25" customHeight="1">
      <c r="A44" s="62" t="s">
        <v>23</v>
      </c>
      <c r="B44" s="76" t="s">
        <v>28</v>
      </c>
      <c r="C44" s="76" t="s">
        <v>115</v>
      </c>
      <c r="D44" s="68" t="s">
        <v>150</v>
      </c>
      <c r="E44" s="69">
        <v>25</v>
      </c>
      <c r="F44" s="69">
        <v>17</v>
      </c>
      <c r="G44" s="69">
        <v>4</v>
      </c>
      <c r="H44" s="69">
        <v>3</v>
      </c>
      <c r="I44" s="69">
        <v>1</v>
      </c>
      <c r="J44" s="69">
        <v>0</v>
      </c>
      <c r="K44" s="69">
        <v>0</v>
      </c>
      <c r="L44" s="69">
        <v>0</v>
      </c>
      <c r="M44" s="69">
        <v>13</v>
      </c>
      <c r="N44" s="69">
        <v>10</v>
      </c>
      <c r="O44" s="69">
        <v>9</v>
      </c>
      <c r="P44" s="69"/>
      <c r="Q44" s="69"/>
      <c r="R44" s="69"/>
      <c r="S44" s="69"/>
      <c r="T44" s="69"/>
      <c r="U44" s="296"/>
      <c r="V44" s="69"/>
      <c r="W44" s="69"/>
      <c r="X44" s="69"/>
      <c r="Y44" s="69"/>
      <c r="Z44" s="69"/>
      <c r="AA44" s="284"/>
      <c r="AB44" s="69">
        <v>356</v>
      </c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>
        <v>5.5</v>
      </c>
      <c r="AO44" s="69"/>
      <c r="AP44" s="70"/>
      <c r="AQ44" s="77">
        <v>0</v>
      </c>
      <c r="AR44" s="77">
        <v>0</v>
      </c>
    </row>
    <row r="45" spans="1:44" ht="16.5" customHeight="1">
      <c r="A45" s="78" t="s">
        <v>29</v>
      </c>
      <c r="B45" s="428" t="s">
        <v>113</v>
      </c>
      <c r="C45" s="417"/>
      <c r="D45" s="405"/>
      <c r="E45" s="79">
        <v>1097</v>
      </c>
      <c r="F45" s="79">
        <v>793</v>
      </c>
      <c r="G45" s="79">
        <v>67</v>
      </c>
      <c r="H45" s="79">
        <v>21</v>
      </c>
      <c r="I45" s="79">
        <v>56</v>
      </c>
      <c r="J45" s="79">
        <v>0</v>
      </c>
      <c r="K45" s="79">
        <v>0</v>
      </c>
      <c r="L45" s="79">
        <v>0</v>
      </c>
      <c r="M45" s="79">
        <v>726</v>
      </c>
      <c r="N45" s="79">
        <v>527</v>
      </c>
      <c r="O45" s="79">
        <v>501</v>
      </c>
      <c r="P45" s="79"/>
      <c r="Q45" s="79"/>
      <c r="R45" s="79"/>
      <c r="S45" s="79"/>
      <c r="T45" s="79"/>
      <c r="U45" s="297"/>
      <c r="V45" s="79"/>
      <c r="W45" s="79"/>
      <c r="X45" s="79"/>
      <c r="Y45" s="79"/>
      <c r="Z45" s="79"/>
      <c r="AA45" s="298"/>
      <c r="AB45" s="79">
        <v>98</v>
      </c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>
        <v>3.9</v>
      </c>
      <c r="AO45" s="79"/>
      <c r="AP45" s="79"/>
      <c r="AQ45" s="275">
        <v>1138</v>
      </c>
      <c r="AR45" s="58" t="b">
        <f>EXACT(F45,AQ45)</f>
        <v>0</v>
      </c>
    </row>
    <row r="46" spans="1:44">
      <c r="A46" s="80" t="s">
        <v>29</v>
      </c>
      <c r="B46" s="404" t="s">
        <v>30</v>
      </c>
      <c r="C46" s="405"/>
      <c r="D46" s="73" t="s">
        <v>114</v>
      </c>
      <c r="E46" s="74">
        <v>1031</v>
      </c>
      <c r="F46" s="74">
        <v>736</v>
      </c>
      <c r="G46" s="74">
        <v>63</v>
      </c>
      <c r="H46" s="74">
        <v>17</v>
      </c>
      <c r="I46" s="74">
        <v>46</v>
      </c>
      <c r="J46" s="74">
        <v>0</v>
      </c>
      <c r="K46" s="74">
        <v>0</v>
      </c>
      <c r="L46" s="74">
        <v>0</v>
      </c>
      <c r="M46" s="74">
        <v>673</v>
      </c>
      <c r="N46" s="74">
        <v>477</v>
      </c>
      <c r="O46" s="74">
        <v>451</v>
      </c>
      <c r="P46" s="74"/>
      <c r="Q46" s="74"/>
      <c r="R46" s="74"/>
      <c r="S46" s="74"/>
      <c r="T46" s="74"/>
      <c r="U46" s="287"/>
      <c r="V46" s="74"/>
      <c r="W46" s="74"/>
      <c r="X46" s="74"/>
      <c r="Y46" s="74"/>
      <c r="Z46" s="74"/>
      <c r="AA46" s="288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81">
        <v>930</v>
      </c>
      <c r="AR46" s="58" t="b">
        <f>EXACT(F46,AQ46)</f>
        <v>0</v>
      </c>
    </row>
    <row r="47" spans="1:44" ht="16.5" customHeight="1">
      <c r="A47" s="86" t="s">
        <v>29</v>
      </c>
      <c r="B47" s="87" t="s">
        <v>30</v>
      </c>
      <c r="C47" s="76" t="s">
        <v>115</v>
      </c>
      <c r="D47" s="94" t="s">
        <v>151</v>
      </c>
      <c r="E47" s="82">
        <v>0</v>
      </c>
      <c r="F47" s="82">
        <v>4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4</v>
      </c>
      <c r="N47" s="82">
        <v>3</v>
      </c>
      <c r="O47" s="82">
        <v>3</v>
      </c>
      <c r="P47" s="82"/>
      <c r="Q47" s="82"/>
      <c r="R47" s="82"/>
      <c r="S47" s="82"/>
      <c r="T47" s="82"/>
      <c r="U47" s="285"/>
      <c r="V47" s="82"/>
      <c r="W47" s="82"/>
      <c r="X47" s="82"/>
      <c r="Y47" s="82"/>
      <c r="Z47" s="82"/>
      <c r="AA47" s="286"/>
      <c r="AB47" s="82">
        <v>499</v>
      </c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>
        <v>7.8</v>
      </c>
      <c r="AO47" s="82"/>
      <c r="AP47" s="82"/>
      <c r="AQ47" s="83">
        <v>0</v>
      </c>
      <c r="AR47" s="94">
        <v>0</v>
      </c>
    </row>
    <row r="48" spans="1:44" ht="16.5" customHeight="1">
      <c r="A48" s="86" t="s">
        <v>29</v>
      </c>
      <c r="B48" s="87" t="s">
        <v>30</v>
      </c>
      <c r="C48" s="75" t="s">
        <v>115</v>
      </c>
      <c r="D48" s="94" t="s">
        <v>152</v>
      </c>
      <c r="E48" s="82">
        <v>60</v>
      </c>
      <c r="F48" s="82">
        <v>34</v>
      </c>
      <c r="G48" s="82">
        <v>3</v>
      </c>
      <c r="H48" s="82">
        <v>1</v>
      </c>
      <c r="I48" s="82">
        <v>2</v>
      </c>
      <c r="J48" s="82">
        <v>0</v>
      </c>
      <c r="K48" s="82">
        <v>0</v>
      </c>
      <c r="L48" s="82">
        <v>0</v>
      </c>
      <c r="M48" s="82">
        <v>31</v>
      </c>
      <c r="N48" s="82">
        <v>19</v>
      </c>
      <c r="O48" s="82">
        <v>19</v>
      </c>
      <c r="P48" s="82"/>
      <c r="Q48" s="82"/>
      <c r="R48" s="82"/>
      <c r="S48" s="82"/>
      <c r="T48" s="82"/>
      <c r="U48" s="285"/>
      <c r="V48" s="82"/>
      <c r="W48" s="82"/>
      <c r="X48" s="82"/>
      <c r="Y48" s="82"/>
      <c r="Z48" s="82"/>
      <c r="AA48" s="286"/>
      <c r="AB48" s="82">
        <v>371</v>
      </c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>
        <v>7.2</v>
      </c>
      <c r="AO48" s="82"/>
      <c r="AP48" s="82"/>
      <c r="AQ48" s="275">
        <v>18</v>
      </c>
      <c r="AR48" s="58" t="b">
        <f t="shared" ref="AR48:AR57" si="3">EXACT(F48,AQ48)</f>
        <v>0</v>
      </c>
    </row>
    <row r="49" spans="1:44" ht="16.5" customHeight="1">
      <c r="A49" s="86" t="s">
        <v>29</v>
      </c>
      <c r="B49" s="87" t="s">
        <v>30</v>
      </c>
      <c r="C49" s="75" t="s">
        <v>115</v>
      </c>
      <c r="D49" s="94" t="s">
        <v>153</v>
      </c>
      <c r="E49" s="82">
        <v>0</v>
      </c>
      <c r="F49" s="82">
        <v>2</v>
      </c>
      <c r="G49" s="82">
        <v>0</v>
      </c>
      <c r="H49" s="82">
        <v>0</v>
      </c>
      <c r="I49" s="82">
        <v>0</v>
      </c>
      <c r="J49" s="82">
        <v>0</v>
      </c>
      <c r="K49" s="82">
        <v>0</v>
      </c>
      <c r="L49" s="82">
        <v>0</v>
      </c>
      <c r="M49" s="82">
        <v>2</v>
      </c>
      <c r="N49" s="82">
        <v>1</v>
      </c>
      <c r="O49" s="82">
        <v>1</v>
      </c>
      <c r="P49" s="82"/>
      <c r="Q49" s="82"/>
      <c r="R49" s="82"/>
      <c r="S49" s="82"/>
      <c r="T49" s="82"/>
      <c r="U49" s="285"/>
      <c r="V49" s="82"/>
      <c r="W49" s="82"/>
      <c r="X49" s="82"/>
      <c r="Y49" s="82"/>
      <c r="Z49" s="82"/>
      <c r="AA49" s="286"/>
      <c r="AB49" s="82">
        <v>296</v>
      </c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>
        <v>-1.4</v>
      </c>
      <c r="AO49" s="82"/>
      <c r="AP49" s="82"/>
      <c r="AQ49" s="275">
        <v>81</v>
      </c>
      <c r="AR49" s="58" t="b">
        <f t="shared" si="3"/>
        <v>0</v>
      </c>
    </row>
    <row r="50" spans="1:44" ht="16.5" customHeight="1">
      <c r="A50" s="86" t="s">
        <v>29</v>
      </c>
      <c r="B50" s="87" t="s">
        <v>30</v>
      </c>
      <c r="C50" s="75" t="s">
        <v>115</v>
      </c>
      <c r="D50" s="94" t="s">
        <v>154</v>
      </c>
      <c r="E50" s="82">
        <v>60</v>
      </c>
      <c r="F50" s="82">
        <v>32</v>
      </c>
      <c r="G50" s="82">
        <v>2</v>
      </c>
      <c r="H50" s="82">
        <v>1</v>
      </c>
      <c r="I50" s="82">
        <v>1</v>
      </c>
      <c r="J50" s="82">
        <v>0</v>
      </c>
      <c r="K50" s="82">
        <v>0</v>
      </c>
      <c r="L50" s="82">
        <v>0</v>
      </c>
      <c r="M50" s="82">
        <v>30</v>
      </c>
      <c r="N50" s="82">
        <v>23</v>
      </c>
      <c r="O50" s="82">
        <v>16</v>
      </c>
      <c r="P50" s="82"/>
      <c r="Q50" s="82"/>
      <c r="R50" s="82"/>
      <c r="S50" s="82"/>
      <c r="T50" s="82"/>
      <c r="U50" s="285"/>
      <c r="V50" s="82"/>
      <c r="W50" s="82"/>
      <c r="X50" s="82"/>
      <c r="Y50" s="82"/>
      <c r="Z50" s="82"/>
      <c r="AA50" s="286"/>
      <c r="AB50" s="82">
        <v>192</v>
      </c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>
        <v>6.7</v>
      </c>
      <c r="AO50" s="82"/>
      <c r="AP50" s="82"/>
      <c r="AQ50" s="275">
        <v>91</v>
      </c>
      <c r="AR50" s="58" t="b">
        <f t="shared" si="3"/>
        <v>0</v>
      </c>
    </row>
    <row r="51" spans="1:44" ht="16.5" customHeight="1">
      <c r="A51" s="86" t="s">
        <v>29</v>
      </c>
      <c r="B51" s="87" t="s">
        <v>30</v>
      </c>
      <c r="C51" s="75" t="s">
        <v>115</v>
      </c>
      <c r="D51" s="94" t="s">
        <v>117</v>
      </c>
      <c r="E51" s="82">
        <v>80</v>
      </c>
      <c r="F51" s="82">
        <v>65</v>
      </c>
      <c r="G51" s="82">
        <v>5</v>
      </c>
      <c r="H51" s="82">
        <v>3</v>
      </c>
      <c r="I51" s="82">
        <v>2</v>
      </c>
      <c r="J51" s="82">
        <v>0</v>
      </c>
      <c r="K51" s="82">
        <v>0</v>
      </c>
      <c r="L51" s="82">
        <v>0</v>
      </c>
      <c r="M51" s="82">
        <v>60</v>
      </c>
      <c r="N51" s="82">
        <v>40</v>
      </c>
      <c r="O51" s="82">
        <v>40</v>
      </c>
      <c r="P51" s="82"/>
      <c r="Q51" s="82"/>
      <c r="R51" s="82"/>
      <c r="S51" s="82"/>
      <c r="T51" s="82"/>
      <c r="U51" s="285"/>
      <c r="V51" s="82"/>
      <c r="W51" s="82"/>
      <c r="X51" s="82"/>
      <c r="Y51" s="82"/>
      <c r="Z51" s="82"/>
      <c r="AA51" s="286"/>
      <c r="AB51" s="82">
        <v>482</v>
      </c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>
        <v>6.7</v>
      </c>
      <c r="AO51" s="82"/>
      <c r="AP51" s="82"/>
      <c r="AQ51" s="275">
        <v>45</v>
      </c>
      <c r="AR51" s="58" t="b">
        <f t="shared" si="3"/>
        <v>0</v>
      </c>
    </row>
    <row r="52" spans="1:44" ht="16.5" customHeight="1">
      <c r="A52" s="86" t="s">
        <v>29</v>
      </c>
      <c r="B52" s="87" t="s">
        <v>30</v>
      </c>
      <c r="C52" s="75" t="s">
        <v>115</v>
      </c>
      <c r="D52" s="94" t="s">
        <v>120</v>
      </c>
      <c r="E52" s="82">
        <v>60</v>
      </c>
      <c r="F52" s="82">
        <v>36</v>
      </c>
      <c r="G52" s="82">
        <v>6</v>
      </c>
      <c r="H52" s="82">
        <v>3</v>
      </c>
      <c r="I52" s="82">
        <v>3</v>
      </c>
      <c r="J52" s="82">
        <v>0</v>
      </c>
      <c r="K52" s="82">
        <v>0</v>
      </c>
      <c r="L52" s="82">
        <v>0</v>
      </c>
      <c r="M52" s="82">
        <v>30</v>
      </c>
      <c r="N52" s="82">
        <v>23</v>
      </c>
      <c r="O52" s="82">
        <v>15</v>
      </c>
      <c r="P52" s="82"/>
      <c r="Q52" s="82"/>
      <c r="R52" s="82"/>
      <c r="S52" s="82"/>
      <c r="T52" s="82"/>
      <c r="U52" s="285"/>
      <c r="V52" s="82"/>
      <c r="W52" s="82"/>
      <c r="X52" s="82"/>
      <c r="Y52" s="82"/>
      <c r="Z52" s="82"/>
      <c r="AA52" s="286"/>
      <c r="AB52" s="82">
        <v>93</v>
      </c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>
        <v>-1.7</v>
      </c>
      <c r="AO52" s="82"/>
      <c r="AP52" s="82"/>
      <c r="AQ52" s="275">
        <v>78</v>
      </c>
      <c r="AR52" s="58" t="b">
        <f t="shared" si="3"/>
        <v>0</v>
      </c>
    </row>
    <row r="53" spans="1:44" ht="16.5" customHeight="1">
      <c r="A53" s="86" t="s">
        <v>29</v>
      </c>
      <c r="B53" s="87" t="s">
        <v>30</v>
      </c>
      <c r="C53" s="75" t="s">
        <v>115</v>
      </c>
      <c r="D53" s="94" t="s">
        <v>155</v>
      </c>
      <c r="E53" s="82">
        <v>115</v>
      </c>
      <c r="F53" s="82">
        <v>100</v>
      </c>
      <c r="G53" s="82">
        <v>4</v>
      </c>
      <c r="H53" s="82">
        <v>1</v>
      </c>
      <c r="I53" s="82">
        <v>3</v>
      </c>
      <c r="J53" s="82">
        <v>0</v>
      </c>
      <c r="K53" s="82">
        <v>0</v>
      </c>
      <c r="L53" s="82">
        <v>0</v>
      </c>
      <c r="M53" s="82">
        <v>96</v>
      </c>
      <c r="N53" s="82">
        <v>67</v>
      </c>
      <c r="O53" s="82">
        <v>66</v>
      </c>
      <c r="P53" s="82"/>
      <c r="Q53" s="82"/>
      <c r="R53" s="82"/>
      <c r="S53" s="82"/>
      <c r="T53" s="82"/>
      <c r="U53" s="285"/>
      <c r="V53" s="82"/>
      <c r="W53" s="82"/>
      <c r="X53" s="82"/>
      <c r="Y53" s="82"/>
      <c r="Z53" s="82"/>
      <c r="AA53" s="286"/>
      <c r="AB53" s="82">
        <v>419</v>
      </c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>
        <v>-2</v>
      </c>
      <c r="AO53" s="82"/>
      <c r="AP53" s="82"/>
      <c r="AQ53" s="275">
        <v>44</v>
      </c>
      <c r="AR53" s="58" t="b">
        <f t="shared" si="3"/>
        <v>0</v>
      </c>
    </row>
    <row r="54" spans="1:44" ht="16.5" customHeight="1">
      <c r="A54" s="86" t="s">
        <v>29</v>
      </c>
      <c r="B54" s="87" t="s">
        <v>30</v>
      </c>
      <c r="C54" s="75" t="s">
        <v>115</v>
      </c>
      <c r="D54" s="94" t="s">
        <v>156</v>
      </c>
      <c r="E54" s="82">
        <v>0</v>
      </c>
      <c r="F54" s="82">
        <v>1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1</v>
      </c>
      <c r="N54" s="82">
        <v>1</v>
      </c>
      <c r="O54" s="82">
        <v>1</v>
      </c>
      <c r="P54" s="82"/>
      <c r="Q54" s="82"/>
      <c r="R54" s="82"/>
      <c r="S54" s="82"/>
      <c r="T54" s="82"/>
      <c r="U54" s="285"/>
      <c r="V54" s="82"/>
      <c r="W54" s="82"/>
      <c r="X54" s="82"/>
      <c r="Y54" s="82"/>
      <c r="Z54" s="82"/>
      <c r="AA54" s="286"/>
      <c r="AB54" s="82">
        <v>447</v>
      </c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>
        <v>-3.1</v>
      </c>
      <c r="AO54" s="82"/>
      <c r="AP54" s="82"/>
      <c r="AQ54" s="275">
        <v>87</v>
      </c>
      <c r="AR54" s="58" t="b">
        <f t="shared" si="3"/>
        <v>0</v>
      </c>
    </row>
    <row r="55" spans="1:44" ht="16.5" customHeight="1">
      <c r="A55" s="86" t="s">
        <v>29</v>
      </c>
      <c r="B55" s="87" t="s">
        <v>30</v>
      </c>
      <c r="C55" s="75" t="s">
        <v>115</v>
      </c>
      <c r="D55" s="94" t="s">
        <v>121</v>
      </c>
      <c r="E55" s="82">
        <v>85</v>
      </c>
      <c r="F55" s="82">
        <v>73</v>
      </c>
      <c r="G55" s="82">
        <v>4</v>
      </c>
      <c r="H55" s="82">
        <v>0</v>
      </c>
      <c r="I55" s="82">
        <v>4</v>
      </c>
      <c r="J55" s="82">
        <v>0</v>
      </c>
      <c r="K55" s="82">
        <v>0</v>
      </c>
      <c r="L55" s="82">
        <v>0</v>
      </c>
      <c r="M55" s="82">
        <v>69</v>
      </c>
      <c r="N55" s="82">
        <v>56</v>
      </c>
      <c r="O55" s="82">
        <v>55</v>
      </c>
      <c r="P55" s="82"/>
      <c r="Q55" s="82"/>
      <c r="R55" s="82"/>
      <c r="S55" s="82"/>
      <c r="T55" s="82"/>
      <c r="U55" s="285"/>
      <c r="V55" s="82"/>
      <c r="W55" s="82"/>
      <c r="X55" s="82"/>
      <c r="Y55" s="82"/>
      <c r="Z55" s="82"/>
      <c r="AA55" s="286"/>
      <c r="AB55" s="82">
        <v>343</v>
      </c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>
        <v>-2.2000000000000002</v>
      </c>
      <c r="AO55" s="82"/>
      <c r="AP55" s="82"/>
      <c r="AQ55" s="275">
        <v>54</v>
      </c>
      <c r="AR55" s="58" t="b">
        <f t="shared" si="3"/>
        <v>0</v>
      </c>
    </row>
    <row r="56" spans="1:44" ht="16.5" customHeight="1">
      <c r="A56" s="86" t="s">
        <v>29</v>
      </c>
      <c r="B56" s="87" t="s">
        <v>30</v>
      </c>
      <c r="C56" s="75" t="s">
        <v>115</v>
      </c>
      <c r="D56" s="94" t="s">
        <v>157</v>
      </c>
      <c r="E56" s="82">
        <v>60</v>
      </c>
      <c r="F56" s="82">
        <v>59</v>
      </c>
      <c r="G56" s="82">
        <v>2</v>
      </c>
      <c r="H56" s="82">
        <v>1</v>
      </c>
      <c r="I56" s="82">
        <v>1</v>
      </c>
      <c r="J56" s="82">
        <v>0</v>
      </c>
      <c r="K56" s="82">
        <v>0</v>
      </c>
      <c r="L56" s="82">
        <v>0</v>
      </c>
      <c r="M56" s="82">
        <v>57</v>
      </c>
      <c r="N56" s="82">
        <v>40</v>
      </c>
      <c r="O56" s="82">
        <v>39</v>
      </c>
      <c r="P56" s="82"/>
      <c r="Q56" s="82"/>
      <c r="R56" s="82"/>
      <c r="S56" s="82"/>
      <c r="T56" s="82"/>
      <c r="U56" s="285"/>
      <c r="V56" s="82"/>
      <c r="W56" s="82"/>
      <c r="X56" s="82"/>
      <c r="Y56" s="82"/>
      <c r="Z56" s="82"/>
      <c r="AA56" s="286"/>
      <c r="AB56" s="82">
        <v>260</v>
      </c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>
        <v>0.1</v>
      </c>
      <c r="AO56" s="82"/>
      <c r="AP56" s="82"/>
      <c r="AQ56" s="275">
        <v>77</v>
      </c>
      <c r="AR56" s="58" t="b">
        <f t="shared" si="3"/>
        <v>0</v>
      </c>
    </row>
    <row r="57" spans="1:44" ht="16.5" customHeight="1">
      <c r="A57" s="86" t="s">
        <v>29</v>
      </c>
      <c r="B57" s="87" t="s">
        <v>30</v>
      </c>
      <c r="C57" s="75" t="s">
        <v>115</v>
      </c>
      <c r="D57" s="94" t="s">
        <v>158</v>
      </c>
      <c r="E57" s="82">
        <v>60</v>
      </c>
      <c r="F57" s="82">
        <v>51</v>
      </c>
      <c r="G57" s="82">
        <v>5</v>
      </c>
      <c r="H57" s="82">
        <v>4</v>
      </c>
      <c r="I57" s="82">
        <v>1</v>
      </c>
      <c r="J57" s="82">
        <v>0</v>
      </c>
      <c r="K57" s="82">
        <v>0</v>
      </c>
      <c r="L57" s="82">
        <v>0</v>
      </c>
      <c r="M57" s="82">
        <v>46</v>
      </c>
      <c r="N57" s="82">
        <v>26</v>
      </c>
      <c r="O57" s="82">
        <v>26</v>
      </c>
      <c r="P57" s="82"/>
      <c r="Q57" s="82"/>
      <c r="R57" s="82"/>
      <c r="S57" s="82"/>
      <c r="T57" s="82"/>
      <c r="U57" s="285"/>
      <c r="V57" s="82"/>
      <c r="W57" s="82"/>
      <c r="X57" s="82"/>
      <c r="Y57" s="82"/>
      <c r="Z57" s="82"/>
      <c r="AA57" s="286"/>
      <c r="AB57" s="82">
        <v>332</v>
      </c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>
        <v>0.5</v>
      </c>
      <c r="AO57" s="82"/>
      <c r="AP57" s="82"/>
      <c r="AQ57" s="275">
        <v>57</v>
      </c>
      <c r="AR57" s="58" t="b">
        <f t="shared" si="3"/>
        <v>0</v>
      </c>
    </row>
    <row r="58" spans="1:44" ht="16.5" customHeight="1">
      <c r="A58" s="86" t="s">
        <v>29</v>
      </c>
      <c r="B58" s="87" t="s">
        <v>30</v>
      </c>
      <c r="C58" s="75" t="s">
        <v>115</v>
      </c>
      <c r="D58" s="94" t="s">
        <v>159</v>
      </c>
      <c r="E58" s="82">
        <v>55</v>
      </c>
      <c r="F58" s="82">
        <v>33</v>
      </c>
      <c r="G58" s="82">
        <v>1</v>
      </c>
      <c r="H58" s="82">
        <v>0</v>
      </c>
      <c r="I58" s="82">
        <v>1</v>
      </c>
      <c r="J58" s="82">
        <v>0</v>
      </c>
      <c r="K58" s="82">
        <v>0</v>
      </c>
      <c r="L58" s="82">
        <v>0</v>
      </c>
      <c r="M58" s="82">
        <v>32</v>
      </c>
      <c r="N58" s="82">
        <v>29</v>
      </c>
      <c r="O58" s="82">
        <v>26</v>
      </c>
      <c r="P58" s="82"/>
      <c r="Q58" s="82"/>
      <c r="R58" s="82"/>
      <c r="S58" s="82"/>
      <c r="T58" s="82"/>
      <c r="U58" s="285"/>
      <c r="V58" s="82"/>
      <c r="W58" s="82"/>
      <c r="X58" s="82"/>
      <c r="Y58" s="82"/>
      <c r="Z58" s="82"/>
      <c r="AA58" s="286"/>
      <c r="AB58" s="82">
        <v>482</v>
      </c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>
        <v>6.8</v>
      </c>
      <c r="AO58" s="82"/>
      <c r="AP58" s="82"/>
      <c r="AQ58" s="275"/>
      <c r="AR58" s="58"/>
    </row>
    <row r="59" spans="1:44" ht="16.5" customHeight="1">
      <c r="A59" s="86" t="s">
        <v>29</v>
      </c>
      <c r="B59" s="87" t="s">
        <v>30</v>
      </c>
      <c r="C59" s="75" t="s">
        <v>115</v>
      </c>
      <c r="D59" s="94" t="s">
        <v>160</v>
      </c>
      <c r="E59" s="82">
        <v>60</v>
      </c>
      <c r="F59" s="82">
        <v>51</v>
      </c>
      <c r="G59" s="82">
        <v>3</v>
      </c>
      <c r="H59" s="82">
        <v>2</v>
      </c>
      <c r="I59" s="82">
        <v>1</v>
      </c>
      <c r="J59" s="82">
        <v>0</v>
      </c>
      <c r="K59" s="82">
        <v>0</v>
      </c>
      <c r="L59" s="82">
        <v>0</v>
      </c>
      <c r="M59" s="82">
        <v>48</v>
      </c>
      <c r="N59" s="82">
        <v>28</v>
      </c>
      <c r="O59" s="82">
        <v>27</v>
      </c>
      <c r="P59" s="82"/>
      <c r="Q59" s="82"/>
      <c r="R59" s="82"/>
      <c r="S59" s="82"/>
      <c r="T59" s="82"/>
      <c r="U59" s="285"/>
      <c r="V59" s="82"/>
      <c r="W59" s="82"/>
      <c r="X59" s="82"/>
      <c r="Y59" s="82"/>
      <c r="Z59" s="82"/>
      <c r="AA59" s="286"/>
      <c r="AB59" s="82">
        <v>50</v>
      </c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>
        <v>1.3</v>
      </c>
      <c r="AO59" s="82"/>
      <c r="AP59" s="82"/>
      <c r="AQ59" s="275"/>
      <c r="AR59" s="58"/>
    </row>
    <row r="60" spans="1:44" ht="16.5" customHeight="1">
      <c r="A60" s="86" t="s">
        <v>29</v>
      </c>
      <c r="B60" s="87" t="s">
        <v>30</v>
      </c>
      <c r="C60" s="75" t="s">
        <v>115</v>
      </c>
      <c r="D60" s="94" t="s">
        <v>161</v>
      </c>
      <c r="E60" s="82">
        <v>85</v>
      </c>
      <c r="F60" s="82">
        <v>62</v>
      </c>
      <c r="G60" s="82">
        <v>3</v>
      </c>
      <c r="H60" s="82">
        <v>1</v>
      </c>
      <c r="I60" s="82">
        <v>2</v>
      </c>
      <c r="J60" s="82">
        <v>0</v>
      </c>
      <c r="K60" s="82">
        <v>0</v>
      </c>
      <c r="L60" s="82">
        <v>0</v>
      </c>
      <c r="M60" s="82">
        <v>59</v>
      </c>
      <c r="N60" s="82">
        <v>31</v>
      </c>
      <c r="O60" s="82">
        <v>31</v>
      </c>
      <c r="P60" s="82"/>
      <c r="Q60" s="82"/>
      <c r="R60" s="82"/>
      <c r="S60" s="82"/>
      <c r="T60" s="82"/>
      <c r="U60" s="285"/>
      <c r="V60" s="82"/>
      <c r="W60" s="82"/>
      <c r="X60" s="82"/>
      <c r="Y60" s="82"/>
      <c r="Z60" s="82"/>
      <c r="AA60" s="286"/>
      <c r="AB60" s="82">
        <v>238</v>
      </c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>
        <v>-0.9</v>
      </c>
      <c r="AO60" s="82"/>
      <c r="AP60" s="82"/>
      <c r="AQ60" s="275">
        <v>90</v>
      </c>
      <c r="AR60" s="58" t="b">
        <f>EXACT(F60,AQ60)</f>
        <v>0</v>
      </c>
    </row>
    <row r="61" spans="1:44" ht="16.5" customHeight="1">
      <c r="A61" s="86" t="s">
        <v>29</v>
      </c>
      <c r="B61" s="87" t="s">
        <v>30</v>
      </c>
      <c r="C61" s="75" t="s">
        <v>115</v>
      </c>
      <c r="D61" s="94" t="s">
        <v>162</v>
      </c>
      <c r="E61" s="82">
        <v>50</v>
      </c>
      <c r="F61" s="82">
        <v>19</v>
      </c>
      <c r="G61" s="82">
        <v>1</v>
      </c>
      <c r="H61" s="82">
        <v>0</v>
      </c>
      <c r="I61" s="82">
        <v>1</v>
      </c>
      <c r="J61" s="82">
        <v>0</v>
      </c>
      <c r="K61" s="82">
        <v>0</v>
      </c>
      <c r="L61" s="82">
        <v>0</v>
      </c>
      <c r="M61" s="82">
        <v>18</v>
      </c>
      <c r="N61" s="82">
        <v>12</v>
      </c>
      <c r="O61" s="82">
        <v>12</v>
      </c>
      <c r="P61" s="82"/>
      <c r="Q61" s="82"/>
      <c r="R61" s="82"/>
      <c r="S61" s="82"/>
      <c r="T61" s="82"/>
      <c r="U61" s="285"/>
      <c r="V61" s="82"/>
      <c r="W61" s="82"/>
      <c r="X61" s="82"/>
      <c r="Y61" s="82"/>
      <c r="Z61" s="82"/>
      <c r="AA61" s="286"/>
      <c r="AB61" s="82">
        <v>313</v>
      </c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>
        <v>-1.2</v>
      </c>
      <c r="AO61" s="82"/>
      <c r="AP61" s="82"/>
      <c r="AQ61" s="275"/>
      <c r="AR61" s="58"/>
    </row>
    <row r="62" spans="1:44" ht="16.5" customHeight="1">
      <c r="A62" s="86" t="s">
        <v>29</v>
      </c>
      <c r="B62" s="87" t="s">
        <v>30</v>
      </c>
      <c r="C62" s="76" t="s">
        <v>127</v>
      </c>
      <c r="D62" s="94" t="s">
        <v>163</v>
      </c>
      <c r="E62" s="82">
        <v>25</v>
      </c>
      <c r="F62" s="82">
        <v>10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10</v>
      </c>
      <c r="N62" s="82">
        <v>8</v>
      </c>
      <c r="O62" s="82">
        <v>7</v>
      </c>
      <c r="P62" s="82"/>
      <c r="Q62" s="82"/>
      <c r="R62" s="82"/>
      <c r="S62" s="82"/>
      <c r="T62" s="82"/>
      <c r="U62" s="285"/>
      <c r="V62" s="82"/>
      <c r="W62" s="82"/>
      <c r="X62" s="82"/>
      <c r="Y62" s="82"/>
      <c r="Z62" s="82"/>
      <c r="AA62" s="286"/>
      <c r="AB62" s="82">
        <v>446</v>
      </c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>
        <v>-2.6</v>
      </c>
      <c r="AO62" s="82"/>
      <c r="AP62" s="84"/>
      <c r="AQ62" s="85">
        <v>0</v>
      </c>
      <c r="AR62" s="82">
        <v>0</v>
      </c>
    </row>
    <row r="63" spans="1:44" ht="16.5" customHeight="1">
      <c r="A63" s="86" t="s">
        <v>29</v>
      </c>
      <c r="B63" s="87" t="s">
        <v>30</v>
      </c>
      <c r="C63" s="76" t="s">
        <v>127</v>
      </c>
      <c r="D63" s="94" t="s">
        <v>164</v>
      </c>
      <c r="E63" s="82">
        <v>25</v>
      </c>
      <c r="F63" s="82">
        <v>8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8</v>
      </c>
      <c r="N63" s="82">
        <v>7</v>
      </c>
      <c r="O63" s="82">
        <v>7</v>
      </c>
      <c r="P63" s="82"/>
      <c r="Q63" s="82"/>
      <c r="R63" s="82"/>
      <c r="S63" s="82"/>
      <c r="T63" s="82"/>
      <c r="U63" s="285"/>
      <c r="V63" s="82"/>
      <c r="W63" s="82"/>
      <c r="X63" s="82"/>
      <c r="Y63" s="82"/>
      <c r="Z63" s="82"/>
      <c r="AA63" s="286"/>
      <c r="AB63" s="82">
        <v>92</v>
      </c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>
        <v>5.4</v>
      </c>
      <c r="AO63" s="82"/>
      <c r="AP63" s="84"/>
      <c r="AQ63" s="275">
        <v>12</v>
      </c>
      <c r="AR63" s="58" t="b">
        <f t="shared" ref="AR63:AR69" si="4">EXACT(F63,AQ63)</f>
        <v>0</v>
      </c>
    </row>
    <row r="64" spans="1:44" ht="16.5" customHeight="1">
      <c r="A64" s="86" t="s">
        <v>29</v>
      </c>
      <c r="B64" s="87" t="s">
        <v>30</v>
      </c>
      <c r="C64" s="76" t="s">
        <v>127</v>
      </c>
      <c r="D64" s="94" t="s">
        <v>165</v>
      </c>
      <c r="E64" s="82">
        <v>25</v>
      </c>
      <c r="F64" s="82">
        <v>13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82">
        <v>0</v>
      </c>
      <c r="M64" s="82">
        <v>13</v>
      </c>
      <c r="N64" s="82">
        <v>13</v>
      </c>
      <c r="O64" s="82">
        <v>12</v>
      </c>
      <c r="P64" s="82"/>
      <c r="Q64" s="82"/>
      <c r="R64" s="82"/>
      <c r="S64" s="82"/>
      <c r="T64" s="82"/>
      <c r="U64" s="285"/>
      <c r="V64" s="82"/>
      <c r="W64" s="82"/>
      <c r="X64" s="82"/>
      <c r="Y64" s="82"/>
      <c r="Z64" s="82"/>
      <c r="AA64" s="286"/>
      <c r="AB64" s="82">
        <v>362</v>
      </c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>
        <v>-2.1</v>
      </c>
      <c r="AO64" s="82"/>
      <c r="AP64" s="84"/>
      <c r="AQ64" s="275">
        <v>23</v>
      </c>
      <c r="AR64" s="58" t="b">
        <f t="shared" si="4"/>
        <v>0</v>
      </c>
    </row>
    <row r="65" spans="1:44" ht="16.5" customHeight="1">
      <c r="A65" s="86" t="s">
        <v>29</v>
      </c>
      <c r="B65" s="87" t="s">
        <v>30</v>
      </c>
      <c r="C65" s="76" t="s">
        <v>127</v>
      </c>
      <c r="D65" s="94" t="s">
        <v>128</v>
      </c>
      <c r="E65" s="82">
        <v>25</v>
      </c>
      <c r="F65" s="82">
        <v>13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13</v>
      </c>
      <c r="N65" s="82">
        <v>12</v>
      </c>
      <c r="O65" s="82">
        <v>12</v>
      </c>
      <c r="P65" s="82"/>
      <c r="Q65" s="82"/>
      <c r="R65" s="82"/>
      <c r="S65" s="82"/>
      <c r="T65" s="82"/>
      <c r="U65" s="285"/>
      <c r="V65" s="82"/>
      <c r="W65" s="82"/>
      <c r="X65" s="82"/>
      <c r="Y65" s="82"/>
      <c r="Z65" s="82"/>
      <c r="AA65" s="286"/>
      <c r="AB65" s="82">
        <v>287</v>
      </c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>
        <v>4</v>
      </c>
      <c r="AO65" s="82"/>
      <c r="AP65" s="84"/>
      <c r="AQ65" s="275">
        <v>16</v>
      </c>
      <c r="AR65" s="58" t="b">
        <f t="shared" si="4"/>
        <v>0</v>
      </c>
    </row>
    <row r="66" spans="1:44" ht="16.5" customHeight="1">
      <c r="A66" s="86" t="s">
        <v>29</v>
      </c>
      <c r="B66" s="87" t="s">
        <v>30</v>
      </c>
      <c r="C66" s="76" t="s">
        <v>127</v>
      </c>
      <c r="D66" s="94" t="s">
        <v>166</v>
      </c>
      <c r="E66" s="82">
        <v>25</v>
      </c>
      <c r="F66" s="82">
        <v>13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13</v>
      </c>
      <c r="N66" s="82">
        <v>12</v>
      </c>
      <c r="O66" s="82">
        <v>10</v>
      </c>
      <c r="P66" s="82"/>
      <c r="Q66" s="82"/>
      <c r="R66" s="82"/>
      <c r="S66" s="82"/>
      <c r="T66" s="82"/>
      <c r="U66" s="285"/>
      <c r="V66" s="82"/>
      <c r="W66" s="82"/>
      <c r="X66" s="82"/>
      <c r="Y66" s="82"/>
      <c r="Z66" s="82"/>
      <c r="AA66" s="286"/>
      <c r="AB66" s="82">
        <v>22</v>
      </c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>
        <v>-4.8</v>
      </c>
      <c r="AO66" s="82"/>
      <c r="AP66" s="84"/>
      <c r="AQ66" s="275">
        <v>16</v>
      </c>
      <c r="AR66" s="58" t="b">
        <f t="shared" si="4"/>
        <v>0</v>
      </c>
    </row>
    <row r="67" spans="1:44" s="89" customFormat="1" ht="16.5" customHeight="1">
      <c r="A67" s="86" t="s">
        <v>29</v>
      </c>
      <c r="B67" s="87" t="s">
        <v>30</v>
      </c>
      <c r="C67" s="76" t="s">
        <v>130</v>
      </c>
      <c r="D67" s="94" t="s">
        <v>167</v>
      </c>
      <c r="E67" s="82">
        <v>0</v>
      </c>
      <c r="F67" s="82">
        <v>2</v>
      </c>
      <c r="G67" s="82">
        <v>1</v>
      </c>
      <c r="H67" s="82">
        <v>0</v>
      </c>
      <c r="I67" s="82">
        <v>1</v>
      </c>
      <c r="J67" s="82">
        <v>0</v>
      </c>
      <c r="K67" s="82">
        <v>0</v>
      </c>
      <c r="L67" s="82">
        <v>0</v>
      </c>
      <c r="M67" s="82">
        <v>1</v>
      </c>
      <c r="N67" s="82">
        <v>1</v>
      </c>
      <c r="O67" s="82">
        <v>1</v>
      </c>
      <c r="P67" s="82"/>
      <c r="Q67" s="82"/>
      <c r="R67" s="82"/>
      <c r="S67" s="82"/>
      <c r="T67" s="82"/>
      <c r="U67" s="285"/>
      <c r="V67" s="82"/>
      <c r="W67" s="82"/>
      <c r="X67" s="82"/>
      <c r="Y67" s="82"/>
      <c r="Z67" s="82"/>
      <c r="AA67" s="286"/>
      <c r="AB67" s="82">
        <v>490</v>
      </c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>
        <v>1.6</v>
      </c>
      <c r="AO67" s="82"/>
      <c r="AP67" s="82"/>
      <c r="AQ67" s="299">
        <v>25</v>
      </c>
      <c r="AR67" s="88" t="b">
        <f t="shared" si="4"/>
        <v>0</v>
      </c>
    </row>
    <row r="68" spans="1:44" s="89" customFormat="1" ht="16.5" customHeight="1">
      <c r="A68" s="86" t="s">
        <v>29</v>
      </c>
      <c r="B68" s="87" t="s">
        <v>30</v>
      </c>
      <c r="C68" s="76" t="s">
        <v>130</v>
      </c>
      <c r="D68" s="94" t="s">
        <v>168</v>
      </c>
      <c r="E68" s="82">
        <v>0</v>
      </c>
      <c r="F68" s="82">
        <v>1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1</v>
      </c>
      <c r="N68" s="82">
        <v>1</v>
      </c>
      <c r="O68" s="82">
        <v>1</v>
      </c>
      <c r="P68" s="82"/>
      <c r="Q68" s="82"/>
      <c r="R68" s="82"/>
      <c r="S68" s="82"/>
      <c r="T68" s="82"/>
      <c r="U68" s="285"/>
      <c r="V68" s="82"/>
      <c r="W68" s="82"/>
      <c r="X68" s="82"/>
      <c r="Y68" s="82"/>
      <c r="Z68" s="82"/>
      <c r="AA68" s="286"/>
      <c r="AB68" s="82">
        <v>360</v>
      </c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>
        <v>-2.9</v>
      </c>
      <c r="AO68" s="82"/>
      <c r="AP68" s="82"/>
      <c r="AQ68" s="299">
        <v>26</v>
      </c>
      <c r="AR68" s="88" t="b">
        <f t="shared" si="4"/>
        <v>0</v>
      </c>
    </row>
    <row r="69" spans="1:44" s="89" customFormat="1" ht="16.5" customHeight="1">
      <c r="A69" s="86" t="s">
        <v>29</v>
      </c>
      <c r="B69" s="87" t="s">
        <v>30</v>
      </c>
      <c r="C69" s="76" t="s">
        <v>130</v>
      </c>
      <c r="D69" s="94" t="s">
        <v>131</v>
      </c>
      <c r="E69" s="82">
        <v>31</v>
      </c>
      <c r="F69" s="82">
        <v>26</v>
      </c>
      <c r="G69" s="82">
        <v>23</v>
      </c>
      <c r="H69" s="82">
        <v>0</v>
      </c>
      <c r="I69" s="82">
        <v>23</v>
      </c>
      <c r="J69" s="82">
        <v>0</v>
      </c>
      <c r="K69" s="82">
        <v>0</v>
      </c>
      <c r="L69" s="82">
        <v>0</v>
      </c>
      <c r="M69" s="82">
        <v>3</v>
      </c>
      <c r="N69" s="82">
        <v>3</v>
      </c>
      <c r="O69" s="82">
        <v>3</v>
      </c>
      <c r="P69" s="82"/>
      <c r="Q69" s="82"/>
      <c r="R69" s="82"/>
      <c r="S69" s="82"/>
      <c r="T69" s="82"/>
      <c r="U69" s="285"/>
      <c r="V69" s="82"/>
      <c r="W69" s="82"/>
      <c r="X69" s="82"/>
      <c r="Y69" s="82"/>
      <c r="Z69" s="82"/>
      <c r="AA69" s="286"/>
      <c r="AB69" s="82">
        <v>26</v>
      </c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>
        <v>0</v>
      </c>
      <c r="AO69" s="82"/>
      <c r="AP69" s="82"/>
      <c r="AQ69" s="299">
        <v>9</v>
      </c>
      <c r="AR69" s="88" t="b">
        <f t="shared" si="4"/>
        <v>0</v>
      </c>
    </row>
    <row r="70" spans="1:44" s="89" customFormat="1" ht="16.5" customHeight="1">
      <c r="A70" s="86" t="s">
        <v>29</v>
      </c>
      <c r="B70" s="87" t="s">
        <v>30</v>
      </c>
      <c r="C70" s="76" t="s">
        <v>130</v>
      </c>
      <c r="D70" s="94" t="s">
        <v>169</v>
      </c>
      <c r="E70" s="82">
        <v>11</v>
      </c>
      <c r="F70" s="82">
        <v>9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9</v>
      </c>
      <c r="N70" s="82">
        <v>9</v>
      </c>
      <c r="O70" s="82">
        <v>9</v>
      </c>
      <c r="P70" s="82"/>
      <c r="Q70" s="82"/>
      <c r="R70" s="82"/>
      <c r="S70" s="82"/>
      <c r="T70" s="82"/>
      <c r="U70" s="285"/>
      <c r="V70" s="82"/>
      <c r="W70" s="82"/>
      <c r="X70" s="82"/>
      <c r="Y70" s="82"/>
      <c r="Z70" s="82"/>
      <c r="AA70" s="286"/>
      <c r="AB70" s="82">
        <v>19</v>
      </c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>
        <v>-1.7</v>
      </c>
      <c r="AO70" s="82"/>
      <c r="AP70" s="82"/>
      <c r="AQ70" s="299"/>
      <c r="AR70" s="88"/>
    </row>
    <row r="71" spans="1:44" s="89" customFormat="1" ht="16.5" customHeight="1">
      <c r="A71" s="86" t="s">
        <v>29</v>
      </c>
      <c r="B71" s="87" t="s">
        <v>30</v>
      </c>
      <c r="C71" s="76" t="s">
        <v>130</v>
      </c>
      <c r="D71" s="94" t="s">
        <v>170</v>
      </c>
      <c r="E71" s="82">
        <v>7</v>
      </c>
      <c r="F71" s="82">
        <v>5</v>
      </c>
      <c r="G71" s="82">
        <v>0</v>
      </c>
      <c r="H71" s="82">
        <v>0</v>
      </c>
      <c r="I71" s="82">
        <v>0</v>
      </c>
      <c r="J71" s="82">
        <v>0</v>
      </c>
      <c r="K71" s="82">
        <v>0</v>
      </c>
      <c r="L71" s="82">
        <v>0</v>
      </c>
      <c r="M71" s="82">
        <v>5</v>
      </c>
      <c r="N71" s="82">
        <v>5</v>
      </c>
      <c r="O71" s="82">
        <v>5</v>
      </c>
      <c r="P71" s="82"/>
      <c r="Q71" s="82"/>
      <c r="R71" s="82"/>
      <c r="S71" s="82"/>
      <c r="T71" s="82"/>
      <c r="U71" s="285"/>
      <c r="V71" s="82"/>
      <c r="W71" s="82"/>
      <c r="X71" s="82"/>
      <c r="Y71" s="82"/>
      <c r="Z71" s="82"/>
      <c r="AA71" s="286"/>
      <c r="AB71" s="82">
        <v>362</v>
      </c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>
        <v>2.6</v>
      </c>
      <c r="AO71" s="82"/>
      <c r="AP71" s="82"/>
      <c r="AQ71" s="299">
        <v>9</v>
      </c>
      <c r="AR71" s="88" t="b">
        <f>EXACT(F71,AQ71)</f>
        <v>0</v>
      </c>
    </row>
    <row r="72" spans="1:44" s="89" customFormat="1" ht="16.5" customHeight="1">
      <c r="A72" s="86" t="s">
        <v>29</v>
      </c>
      <c r="B72" s="87" t="s">
        <v>30</v>
      </c>
      <c r="C72" s="76" t="s">
        <v>130</v>
      </c>
      <c r="D72" s="82" t="s">
        <v>171</v>
      </c>
      <c r="E72" s="82">
        <v>27</v>
      </c>
      <c r="F72" s="82">
        <v>14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14</v>
      </c>
      <c r="N72" s="82">
        <v>7</v>
      </c>
      <c r="O72" s="82">
        <v>7</v>
      </c>
      <c r="P72" s="82"/>
      <c r="Q72" s="82"/>
      <c r="R72" s="82"/>
      <c r="S72" s="82"/>
      <c r="T72" s="82"/>
      <c r="U72" s="285"/>
      <c r="V72" s="82"/>
      <c r="W72" s="82"/>
      <c r="X72" s="82"/>
      <c r="Y72" s="82"/>
      <c r="Z72" s="82"/>
      <c r="AA72" s="286"/>
      <c r="AB72" s="82">
        <v>98</v>
      </c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>
        <v>5.4</v>
      </c>
      <c r="AO72" s="82"/>
      <c r="AP72" s="82"/>
      <c r="AQ72" s="299"/>
      <c r="AR72" s="88"/>
    </row>
    <row r="73" spans="1:44" ht="16.5" customHeight="1">
      <c r="A73" s="80" t="s">
        <v>29</v>
      </c>
      <c r="B73" s="404" t="s">
        <v>31</v>
      </c>
      <c r="C73" s="405"/>
      <c r="D73" s="73" t="s">
        <v>114</v>
      </c>
      <c r="E73" s="74">
        <v>48</v>
      </c>
      <c r="F73" s="74">
        <v>45</v>
      </c>
      <c r="G73" s="74">
        <v>2</v>
      </c>
      <c r="H73" s="74">
        <v>1</v>
      </c>
      <c r="I73" s="74">
        <v>1</v>
      </c>
      <c r="J73" s="74">
        <v>0</v>
      </c>
      <c r="K73" s="74">
        <v>0</v>
      </c>
      <c r="L73" s="74">
        <v>0</v>
      </c>
      <c r="M73" s="74">
        <v>43</v>
      </c>
      <c r="N73" s="74">
        <v>41</v>
      </c>
      <c r="O73" s="74">
        <v>41</v>
      </c>
      <c r="P73" s="74"/>
      <c r="Q73" s="74"/>
      <c r="R73" s="74"/>
      <c r="S73" s="74"/>
      <c r="T73" s="74"/>
      <c r="U73" s="300"/>
      <c r="V73" s="74"/>
      <c r="W73" s="74"/>
      <c r="X73" s="74"/>
      <c r="Y73" s="74"/>
      <c r="Z73" s="74"/>
      <c r="AA73" s="301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275"/>
      <c r="AR73" s="58"/>
    </row>
    <row r="74" spans="1:44" ht="16.5" customHeight="1">
      <c r="A74" s="86" t="s">
        <v>29</v>
      </c>
      <c r="B74" s="87" t="s">
        <v>31</v>
      </c>
      <c r="C74" s="75" t="s">
        <v>115</v>
      </c>
      <c r="D74" s="94" t="s">
        <v>172</v>
      </c>
      <c r="E74" s="82">
        <v>25</v>
      </c>
      <c r="F74" s="82">
        <v>29</v>
      </c>
      <c r="G74" s="82">
        <v>1</v>
      </c>
      <c r="H74" s="82">
        <v>1</v>
      </c>
      <c r="I74" s="82">
        <v>0</v>
      </c>
      <c r="J74" s="82">
        <v>0</v>
      </c>
      <c r="K74" s="82">
        <v>0</v>
      </c>
      <c r="L74" s="82">
        <v>0</v>
      </c>
      <c r="M74" s="82">
        <v>28</v>
      </c>
      <c r="N74" s="82">
        <v>26</v>
      </c>
      <c r="O74" s="82">
        <v>26</v>
      </c>
      <c r="P74" s="82"/>
      <c r="Q74" s="82"/>
      <c r="R74" s="82"/>
      <c r="S74" s="82"/>
      <c r="T74" s="82"/>
      <c r="U74" s="302"/>
      <c r="V74" s="82"/>
      <c r="W74" s="82"/>
      <c r="X74" s="82"/>
      <c r="Y74" s="82"/>
      <c r="Z74" s="82"/>
      <c r="AA74" s="286"/>
      <c r="AB74" s="82">
        <v>391</v>
      </c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>
        <v>0.7</v>
      </c>
      <c r="AO74" s="82"/>
      <c r="AP74" s="84"/>
      <c r="AQ74" s="275"/>
      <c r="AR74" s="58"/>
    </row>
    <row r="75" spans="1:44" ht="16.5" customHeight="1">
      <c r="A75" s="86" t="s">
        <v>29</v>
      </c>
      <c r="B75" s="87" t="s">
        <v>31</v>
      </c>
      <c r="C75" s="76" t="s">
        <v>130</v>
      </c>
      <c r="D75" s="94" t="s">
        <v>173</v>
      </c>
      <c r="E75" s="82">
        <v>23</v>
      </c>
      <c r="F75" s="82">
        <v>16</v>
      </c>
      <c r="G75" s="82">
        <v>1</v>
      </c>
      <c r="H75" s="82">
        <v>0</v>
      </c>
      <c r="I75" s="82">
        <v>1</v>
      </c>
      <c r="J75" s="82">
        <v>0</v>
      </c>
      <c r="K75" s="82">
        <v>0</v>
      </c>
      <c r="L75" s="82">
        <v>0</v>
      </c>
      <c r="M75" s="82">
        <v>15</v>
      </c>
      <c r="N75" s="82">
        <v>15</v>
      </c>
      <c r="O75" s="82">
        <v>15</v>
      </c>
      <c r="P75" s="82"/>
      <c r="Q75" s="82"/>
      <c r="R75" s="82"/>
      <c r="S75" s="82"/>
      <c r="T75" s="82"/>
      <c r="U75" s="302"/>
      <c r="V75" s="82"/>
      <c r="W75" s="82"/>
      <c r="X75" s="82"/>
      <c r="Y75" s="82"/>
      <c r="Z75" s="82"/>
      <c r="AA75" s="286"/>
      <c r="AB75" s="82">
        <v>419</v>
      </c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>
        <v>2.7</v>
      </c>
      <c r="AO75" s="82"/>
      <c r="AP75" s="82"/>
      <c r="AQ75" s="275"/>
      <c r="AR75" s="58"/>
    </row>
    <row r="76" spans="1:44" ht="16.5" customHeight="1">
      <c r="A76" s="80" t="s">
        <v>29</v>
      </c>
      <c r="B76" s="404" t="s">
        <v>32</v>
      </c>
      <c r="C76" s="405"/>
      <c r="D76" s="73" t="s">
        <v>114</v>
      </c>
      <c r="E76" s="74">
        <v>18</v>
      </c>
      <c r="F76" s="74">
        <v>12</v>
      </c>
      <c r="G76" s="74">
        <v>2</v>
      </c>
      <c r="H76" s="74">
        <v>3</v>
      </c>
      <c r="I76" s="74">
        <v>9</v>
      </c>
      <c r="J76" s="74">
        <v>0</v>
      </c>
      <c r="K76" s="74">
        <v>0</v>
      </c>
      <c r="L76" s="74">
        <v>0</v>
      </c>
      <c r="M76" s="74">
        <v>10</v>
      </c>
      <c r="N76" s="74">
        <v>9</v>
      </c>
      <c r="O76" s="74">
        <v>9</v>
      </c>
      <c r="P76" s="74"/>
      <c r="Q76" s="74"/>
      <c r="R76" s="74"/>
      <c r="S76" s="74"/>
      <c r="T76" s="74"/>
      <c r="U76" s="300"/>
      <c r="V76" s="74"/>
      <c r="W76" s="74"/>
      <c r="X76" s="74"/>
      <c r="Y76" s="74"/>
      <c r="Z76" s="74"/>
      <c r="AA76" s="301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90"/>
      <c r="AQ76" s="275"/>
      <c r="AR76" s="58"/>
    </row>
    <row r="77" spans="1:44" ht="16.5" customHeight="1">
      <c r="A77" s="86" t="s">
        <v>29</v>
      </c>
      <c r="B77" s="87" t="s">
        <v>32</v>
      </c>
      <c r="C77" s="76" t="s">
        <v>130</v>
      </c>
      <c r="D77" s="94" t="s">
        <v>173</v>
      </c>
      <c r="E77" s="82">
        <v>18</v>
      </c>
      <c r="F77" s="82">
        <v>12</v>
      </c>
      <c r="G77" s="82">
        <v>2</v>
      </c>
      <c r="H77" s="82">
        <v>0</v>
      </c>
      <c r="I77" s="82">
        <v>2</v>
      </c>
      <c r="J77" s="82">
        <v>0</v>
      </c>
      <c r="K77" s="82">
        <v>0</v>
      </c>
      <c r="L77" s="82">
        <v>0</v>
      </c>
      <c r="M77" s="82">
        <v>10</v>
      </c>
      <c r="N77" s="82">
        <v>9</v>
      </c>
      <c r="O77" s="82">
        <v>9</v>
      </c>
      <c r="P77" s="82"/>
      <c r="Q77" s="82"/>
      <c r="R77" s="82"/>
      <c r="S77" s="82"/>
      <c r="T77" s="82"/>
      <c r="U77" s="147"/>
      <c r="V77" s="82"/>
      <c r="W77" s="82"/>
      <c r="X77" s="82"/>
      <c r="Y77" s="82"/>
      <c r="Z77" s="82"/>
      <c r="AA77" s="286"/>
      <c r="AB77" s="82">
        <v>178</v>
      </c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>
        <v>-1</v>
      </c>
      <c r="AO77" s="82"/>
      <c r="AP77" s="82"/>
      <c r="AQ77" s="275"/>
      <c r="AR77" s="58"/>
    </row>
    <row r="78" spans="1:44" ht="16.5" customHeight="1">
      <c r="A78" s="91" t="s">
        <v>174</v>
      </c>
      <c r="B78" s="416" t="s">
        <v>113</v>
      </c>
      <c r="C78" s="417"/>
      <c r="D78" s="405"/>
      <c r="E78" s="79">
        <v>268</v>
      </c>
      <c r="F78" s="79">
        <v>207</v>
      </c>
      <c r="G78" s="79">
        <v>12</v>
      </c>
      <c r="H78" s="79">
        <v>3</v>
      </c>
      <c r="I78" s="79">
        <v>9</v>
      </c>
      <c r="J78" s="79">
        <v>0</v>
      </c>
      <c r="K78" s="79">
        <v>0</v>
      </c>
      <c r="L78" s="79">
        <v>0</v>
      </c>
      <c r="M78" s="79">
        <v>195</v>
      </c>
      <c r="N78" s="79">
        <v>158</v>
      </c>
      <c r="O78" s="79">
        <v>155</v>
      </c>
      <c r="P78" s="79"/>
      <c r="Q78" s="79"/>
      <c r="R78" s="79"/>
      <c r="S78" s="79"/>
      <c r="T78" s="79"/>
      <c r="U78" s="297"/>
      <c r="V78" s="79"/>
      <c r="W78" s="79"/>
      <c r="X78" s="79"/>
      <c r="Y78" s="79"/>
      <c r="Z78" s="79"/>
      <c r="AA78" s="303"/>
      <c r="AB78" s="79">
        <v>138</v>
      </c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304">
        <v>0.2</v>
      </c>
      <c r="AO78" s="304"/>
      <c r="AP78" s="305"/>
      <c r="AQ78" s="275">
        <v>221</v>
      </c>
      <c r="AR78" s="58" t="b">
        <f t="shared" ref="AR78:AR83" si="5">EXACT(F78,AQ78)</f>
        <v>0</v>
      </c>
    </row>
    <row r="79" spans="1:44">
      <c r="A79" s="92" t="s">
        <v>174</v>
      </c>
      <c r="B79" s="404" t="s">
        <v>34</v>
      </c>
      <c r="C79" s="405"/>
      <c r="D79" s="73" t="s">
        <v>114</v>
      </c>
      <c r="E79" s="74">
        <v>134</v>
      </c>
      <c r="F79" s="74">
        <v>98</v>
      </c>
      <c r="G79" s="74">
        <v>3</v>
      </c>
      <c r="H79" s="74">
        <v>2</v>
      </c>
      <c r="I79" s="74">
        <v>1</v>
      </c>
      <c r="J79" s="74">
        <v>0</v>
      </c>
      <c r="K79" s="74">
        <v>0</v>
      </c>
      <c r="L79" s="74">
        <v>0</v>
      </c>
      <c r="M79" s="74">
        <v>95</v>
      </c>
      <c r="N79" s="74">
        <v>74</v>
      </c>
      <c r="O79" s="74">
        <v>71</v>
      </c>
      <c r="P79" s="74"/>
      <c r="Q79" s="74"/>
      <c r="R79" s="74"/>
      <c r="S79" s="74"/>
      <c r="T79" s="74"/>
      <c r="U79" s="287"/>
      <c r="V79" s="74"/>
      <c r="W79" s="74"/>
      <c r="X79" s="74"/>
      <c r="Y79" s="74"/>
      <c r="Z79" s="74"/>
      <c r="AA79" s="288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275">
        <v>151</v>
      </c>
      <c r="AR79" s="58" t="b">
        <f t="shared" si="5"/>
        <v>0</v>
      </c>
    </row>
    <row r="80" spans="1:44" ht="16.5" customHeight="1">
      <c r="A80" s="93" t="s">
        <v>174</v>
      </c>
      <c r="B80" s="76" t="s">
        <v>34</v>
      </c>
      <c r="C80" s="76" t="s">
        <v>115</v>
      </c>
      <c r="D80" s="68" t="s">
        <v>175</v>
      </c>
      <c r="E80" s="69">
        <v>25</v>
      </c>
      <c r="F80" s="69">
        <v>10</v>
      </c>
      <c r="G80" s="69">
        <v>2</v>
      </c>
      <c r="H80" s="69">
        <v>1</v>
      </c>
      <c r="I80" s="69">
        <v>1</v>
      </c>
      <c r="J80" s="69">
        <v>0</v>
      </c>
      <c r="K80" s="69">
        <v>0</v>
      </c>
      <c r="L80" s="69">
        <v>0</v>
      </c>
      <c r="M80" s="69">
        <v>8</v>
      </c>
      <c r="N80" s="69">
        <v>7</v>
      </c>
      <c r="O80" s="69">
        <v>5</v>
      </c>
      <c r="P80" s="69"/>
      <c r="Q80" s="69"/>
      <c r="R80" s="69"/>
      <c r="S80" s="69"/>
      <c r="T80" s="69"/>
      <c r="U80" s="296"/>
      <c r="V80" s="69"/>
      <c r="W80" s="69"/>
      <c r="X80" s="69"/>
      <c r="Y80" s="69"/>
      <c r="Z80" s="69"/>
      <c r="AA80" s="284"/>
      <c r="AB80" s="69">
        <v>125</v>
      </c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>
        <v>-3.1</v>
      </c>
      <c r="AO80" s="69"/>
      <c r="AP80" s="70"/>
      <c r="AQ80" s="275">
        <v>21</v>
      </c>
      <c r="AR80" s="58" t="b">
        <f t="shared" si="5"/>
        <v>0</v>
      </c>
    </row>
    <row r="81" spans="1:44" ht="16.5" customHeight="1">
      <c r="A81" s="93" t="s">
        <v>174</v>
      </c>
      <c r="B81" s="76" t="s">
        <v>34</v>
      </c>
      <c r="C81" s="76" t="s">
        <v>115</v>
      </c>
      <c r="D81" s="68" t="s">
        <v>176</v>
      </c>
      <c r="E81" s="69">
        <v>25</v>
      </c>
      <c r="F81" s="69">
        <v>21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21</v>
      </c>
      <c r="N81" s="69">
        <v>17</v>
      </c>
      <c r="O81" s="69">
        <v>17</v>
      </c>
      <c r="P81" s="69"/>
      <c r="Q81" s="69"/>
      <c r="R81" s="69"/>
      <c r="S81" s="69"/>
      <c r="T81" s="69"/>
      <c r="U81" s="296"/>
      <c r="V81" s="69"/>
      <c r="W81" s="69"/>
      <c r="X81" s="69"/>
      <c r="Y81" s="69"/>
      <c r="Z81" s="69"/>
      <c r="AA81" s="284"/>
      <c r="AB81" s="69">
        <v>80</v>
      </c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>
        <v>7.2</v>
      </c>
      <c r="AO81" s="69"/>
      <c r="AP81" s="70"/>
      <c r="AQ81" s="275">
        <v>22</v>
      </c>
      <c r="AR81" s="58" t="b">
        <f t="shared" si="5"/>
        <v>0</v>
      </c>
    </row>
    <row r="82" spans="1:44" ht="16.5" customHeight="1">
      <c r="A82" s="93" t="s">
        <v>174</v>
      </c>
      <c r="B82" s="76" t="s">
        <v>34</v>
      </c>
      <c r="C82" s="76" t="s">
        <v>115</v>
      </c>
      <c r="D82" s="68" t="s">
        <v>122</v>
      </c>
      <c r="E82" s="69">
        <v>50</v>
      </c>
      <c r="F82" s="69">
        <v>53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53</v>
      </c>
      <c r="N82" s="69">
        <v>42</v>
      </c>
      <c r="O82" s="69">
        <v>41</v>
      </c>
      <c r="P82" s="69"/>
      <c r="Q82" s="69"/>
      <c r="R82" s="69"/>
      <c r="S82" s="69"/>
      <c r="T82" s="69"/>
      <c r="U82" s="296"/>
      <c r="V82" s="69"/>
      <c r="W82" s="69"/>
      <c r="X82" s="69"/>
      <c r="Y82" s="69"/>
      <c r="Z82" s="69"/>
      <c r="AA82" s="284"/>
      <c r="AB82" s="69">
        <v>279</v>
      </c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>
        <v>7.3</v>
      </c>
      <c r="AO82" s="69"/>
      <c r="AP82" s="70"/>
      <c r="AQ82" s="275">
        <v>17</v>
      </c>
      <c r="AR82" s="58" t="b">
        <f t="shared" si="5"/>
        <v>0</v>
      </c>
    </row>
    <row r="83" spans="1:44" ht="16.5" customHeight="1">
      <c r="A83" s="93" t="s">
        <v>174</v>
      </c>
      <c r="B83" s="76" t="s">
        <v>34</v>
      </c>
      <c r="C83" s="76" t="s">
        <v>115</v>
      </c>
      <c r="D83" s="68" t="s">
        <v>120</v>
      </c>
      <c r="E83" s="69">
        <v>25</v>
      </c>
      <c r="F83" s="69">
        <v>6</v>
      </c>
      <c r="G83" s="69">
        <v>1</v>
      </c>
      <c r="H83" s="69">
        <v>1</v>
      </c>
      <c r="I83" s="69">
        <v>0</v>
      </c>
      <c r="J83" s="69">
        <v>0</v>
      </c>
      <c r="K83" s="69">
        <v>0</v>
      </c>
      <c r="L83" s="69">
        <v>0</v>
      </c>
      <c r="M83" s="69">
        <v>5</v>
      </c>
      <c r="N83" s="69">
        <v>1</v>
      </c>
      <c r="O83" s="69">
        <v>1</v>
      </c>
      <c r="P83" s="69"/>
      <c r="Q83" s="69"/>
      <c r="R83" s="69"/>
      <c r="S83" s="69"/>
      <c r="T83" s="69"/>
      <c r="U83" s="296"/>
      <c r="V83" s="69"/>
      <c r="W83" s="69"/>
      <c r="X83" s="69"/>
      <c r="Y83" s="69"/>
      <c r="Z83" s="69"/>
      <c r="AA83" s="284"/>
      <c r="AB83" s="69">
        <v>243</v>
      </c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>
        <v>1.2</v>
      </c>
      <c r="AO83" s="69"/>
      <c r="AP83" s="70"/>
      <c r="AQ83" s="275">
        <v>17</v>
      </c>
      <c r="AR83" s="58" t="b">
        <f t="shared" si="5"/>
        <v>0</v>
      </c>
    </row>
    <row r="84" spans="1:44" ht="16.5" customHeight="1">
      <c r="A84" s="93" t="s">
        <v>174</v>
      </c>
      <c r="B84" s="76" t="s">
        <v>34</v>
      </c>
      <c r="C84" s="76" t="s">
        <v>130</v>
      </c>
      <c r="D84" s="94" t="s">
        <v>177</v>
      </c>
      <c r="E84" s="82">
        <v>9</v>
      </c>
      <c r="F84" s="82">
        <v>8</v>
      </c>
      <c r="G84" s="82">
        <v>0</v>
      </c>
      <c r="H84" s="82">
        <v>0</v>
      </c>
      <c r="I84" s="82">
        <v>0</v>
      </c>
      <c r="J84" s="82">
        <v>0</v>
      </c>
      <c r="K84" s="82">
        <v>0</v>
      </c>
      <c r="L84" s="82">
        <v>0</v>
      </c>
      <c r="M84" s="82">
        <v>8</v>
      </c>
      <c r="N84" s="82">
        <v>7</v>
      </c>
      <c r="O84" s="82">
        <v>7</v>
      </c>
      <c r="P84" s="82"/>
      <c r="Q84" s="82"/>
      <c r="R84" s="82"/>
      <c r="S84" s="82"/>
      <c r="T84" s="82"/>
      <c r="U84" s="147"/>
      <c r="V84" s="82"/>
      <c r="W84" s="82"/>
      <c r="X84" s="82"/>
      <c r="Y84" s="82"/>
      <c r="Z84" s="82"/>
      <c r="AA84" s="82"/>
      <c r="AB84" s="82">
        <v>496</v>
      </c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>
        <v>4</v>
      </c>
      <c r="AO84" s="82"/>
      <c r="AP84" s="82"/>
      <c r="AQ84" s="275"/>
      <c r="AR84" s="58"/>
    </row>
    <row r="85" spans="1:44">
      <c r="A85" s="93" t="s">
        <v>174</v>
      </c>
      <c r="B85" s="406" t="s">
        <v>35</v>
      </c>
      <c r="C85" s="405"/>
      <c r="D85" s="73" t="s">
        <v>114</v>
      </c>
      <c r="E85" s="74">
        <v>74</v>
      </c>
      <c r="F85" s="74">
        <v>48</v>
      </c>
      <c r="G85" s="74">
        <v>3</v>
      </c>
      <c r="H85" s="74">
        <v>0</v>
      </c>
      <c r="I85" s="74">
        <v>3</v>
      </c>
      <c r="J85" s="74">
        <v>0</v>
      </c>
      <c r="K85" s="74">
        <v>0</v>
      </c>
      <c r="L85" s="74">
        <v>0</v>
      </c>
      <c r="M85" s="74">
        <v>45</v>
      </c>
      <c r="N85" s="74">
        <v>36</v>
      </c>
      <c r="O85" s="74">
        <v>36</v>
      </c>
      <c r="P85" s="74"/>
      <c r="Q85" s="74"/>
      <c r="R85" s="74"/>
      <c r="S85" s="74"/>
      <c r="T85" s="74"/>
      <c r="U85" s="287"/>
      <c r="V85" s="74"/>
      <c r="W85" s="74"/>
      <c r="X85" s="74"/>
      <c r="Y85" s="74"/>
      <c r="Z85" s="74"/>
      <c r="AA85" s="288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90"/>
      <c r="AQ85" s="275">
        <v>22</v>
      </c>
      <c r="AR85" s="58" t="b">
        <f>EXACT(F85,AQ85)</f>
        <v>0</v>
      </c>
    </row>
    <row r="86" spans="1:44" ht="16.5" customHeight="1">
      <c r="A86" s="93" t="s">
        <v>174</v>
      </c>
      <c r="B86" s="75" t="s">
        <v>35</v>
      </c>
      <c r="C86" s="75" t="s">
        <v>115</v>
      </c>
      <c r="D86" s="289" t="s">
        <v>178</v>
      </c>
      <c r="E86" s="290">
        <v>25</v>
      </c>
      <c r="F86" s="290">
        <v>17</v>
      </c>
      <c r="G86" s="290">
        <v>2</v>
      </c>
      <c r="H86" s="290">
        <v>0</v>
      </c>
      <c r="I86" s="290">
        <v>2</v>
      </c>
      <c r="J86" s="290">
        <v>0</v>
      </c>
      <c r="K86" s="290">
        <v>0</v>
      </c>
      <c r="L86" s="290">
        <v>0</v>
      </c>
      <c r="M86" s="290">
        <v>15</v>
      </c>
      <c r="N86" s="290">
        <v>12</v>
      </c>
      <c r="O86" s="290">
        <v>12</v>
      </c>
      <c r="P86" s="290"/>
      <c r="Q86" s="290"/>
      <c r="R86" s="290"/>
      <c r="S86" s="290"/>
      <c r="T86" s="290"/>
      <c r="U86" s="291"/>
      <c r="V86" s="290"/>
      <c r="W86" s="290"/>
      <c r="X86" s="290"/>
      <c r="Y86" s="290"/>
      <c r="Z86" s="290"/>
      <c r="AA86" s="281"/>
      <c r="AB86" s="290">
        <v>480</v>
      </c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290">
        <v>-2.7</v>
      </c>
      <c r="AO86" s="290"/>
      <c r="AP86" s="292"/>
      <c r="AQ86" s="275">
        <v>22</v>
      </c>
      <c r="AR86" s="58" t="b">
        <f>EXACT(F86,AQ86)</f>
        <v>0</v>
      </c>
    </row>
    <row r="87" spans="1:44" ht="16.5" customHeight="1">
      <c r="A87" s="93" t="s">
        <v>174</v>
      </c>
      <c r="B87" s="75" t="s">
        <v>35</v>
      </c>
      <c r="C87" s="75" t="s">
        <v>115</v>
      </c>
      <c r="D87" s="289" t="s">
        <v>123</v>
      </c>
      <c r="E87" s="290">
        <v>25</v>
      </c>
      <c r="F87" s="290">
        <v>16</v>
      </c>
      <c r="G87" s="290">
        <v>1</v>
      </c>
      <c r="H87" s="290">
        <v>0</v>
      </c>
      <c r="I87" s="290">
        <v>1</v>
      </c>
      <c r="J87" s="290">
        <v>0</v>
      </c>
      <c r="K87" s="290">
        <v>0</v>
      </c>
      <c r="L87" s="290">
        <v>0</v>
      </c>
      <c r="M87" s="290">
        <v>15</v>
      </c>
      <c r="N87" s="290">
        <v>9</v>
      </c>
      <c r="O87" s="290">
        <v>9</v>
      </c>
      <c r="P87" s="290"/>
      <c r="Q87" s="290"/>
      <c r="R87" s="290"/>
      <c r="S87" s="290"/>
      <c r="T87" s="290"/>
      <c r="U87" s="306"/>
      <c r="V87" s="290"/>
      <c r="W87" s="290"/>
      <c r="X87" s="290"/>
      <c r="Y87" s="290"/>
      <c r="Z87" s="290"/>
      <c r="AA87" s="281"/>
      <c r="AB87" s="290">
        <v>156</v>
      </c>
      <c r="AC87" s="290"/>
      <c r="AD87" s="290"/>
      <c r="AE87" s="290"/>
      <c r="AF87" s="290"/>
      <c r="AG87" s="290"/>
      <c r="AH87" s="290"/>
      <c r="AI87" s="290"/>
      <c r="AJ87" s="290"/>
      <c r="AK87" s="290"/>
      <c r="AL87" s="290"/>
      <c r="AM87" s="290"/>
      <c r="AN87" s="290">
        <v>-3</v>
      </c>
      <c r="AO87" s="290"/>
      <c r="AP87" s="290"/>
      <c r="AQ87" s="275"/>
      <c r="AR87" s="58"/>
    </row>
    <row r="88" spans="1:44" ht="16.5" customHeight="1">
      <c r="A88" s="93" t="s">
        <v>174</v>
      </c>
      <c r="B88" s="75" t="s">
        <v>35</v>
      </c>
      <c r="C88" s="76" t="s">
        <v>130</v>
      </c>
      <c r="D88" s="95" t="s">
        <v>179</v>
      </c>
      <c r="E88" s="95">
        <v>24</v>
      </c>
      <c r="F88" s="95">
        <v>15</v>
      </c>
      <c r="G88" s="95">
        <v>0</v>
      </c>
      <c r="H88" s="95">
        <v>0</v>
      </c>
      <c r="I88" s="95">
        <v>0</v>
      </c>
      <c r="J88" s="95">
        <v>0</v>
      </c>
      <c r="K88" s="95">
        <v>0</v>
      </c>
      <c r="L88" s="95">
        <v>0</v>
      </c>
      <c r="M88" s="95">
        <v>15</v>
      </c>
      <c r="N88" s="95">
        <v>15</v>
      </c>
      <c r="O88" s="95">
        <v>15</v>
      </c>
      <c r="P88" s="95"/>
      <c r="Q88" s="95"/>
      <c r="R88" s="95"/>
      <c r="S88" s="95"/>
      <c r="T88" s="95"/>
      <c r="U88" s="306"/>
      <c r="V88" s="95"/>
      <c r="W88" s="95"/>
      <c r="X88" s="95"/>
      <c r="Y88" s="95"/>
      <c r="Z88" s="95"/>
      <c r="AA88" s="281"/>
      <c r="AB88" s="95">
        <v>158</v>
      </c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>
        <v>7.6</v>
      </c>
      <c r="AO88" s="95"/>
      <c r="AP88" s="95"/>
      <c r="AQ88" s="275"/>
      <c r="AR88" s="58"/>
    </row>
    <row r="89" spans="1:44">
      <c r="A89" s="93" t="s">
        <v>174</v>
      </c>
      <c r="B89" s="406" t="s">
        <v>36</v>
      </c>
      <c r="C89" s="405"/>
      <c r="D89" s="73" t="s">
        <v>114</v>
      </c>
      <c r="E89" s="74">
        <v>60</v>
      </c>
      <c r="F89" s="74">
        <v>61</v>
      </c>
      <c r="G89" s="74">
        <v>6</v>
      </c>
      <c r="H89" s="74">
        <v>1</v>
      </c>
      <c r="I89" s="74">
        <v>5</v>
      </c>
      <c r="J89" s="74">
        <v>0</v>
      </c>
      <c r="K89" s="74">
        <v>0</v>
      </c>
      <c r="L89" s="74">
        <v>0</v>
      </c>
      <c r="M89" s="74">
        <v>55</v>
      </c>
      <c r="N89" s="74">
        <v>48</v>
      </c>
      <c r="O89" s="74">
        <v>48</v>
      </c>
      <c r="P89" s="74"/>
      <c r="Q89" s="74"/>
      <c r="R89" s="74"/>
      <c r="S89" s="74"/>
      <c r="T89" s="74"/>
      <c r="U89" s="287"/>
      <c r="V89" s="74"/>
      <c r="W89" s="74"/>
      <c r="X89" s="74"/>
      <c r="Y89" s="74"/>
      <c r="Z89" s="74"/>
      <c r="AA89" s="288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90"/>
      <c r="AQ89" s="275">
        <v>48</v>
      </c>
      <c r="AR89" s="58" t="b">
        <f t="shared" ref="AR89:AR99" si="6">EXACT(F89,AQ89)</f>
        <v>0</v>
      </c>
    </row>
    <row r="90" spans="1:44" ht="15.75" customHeight="1">
      <c r="A90" s="93" t="s">
        <v>174</v>
      </c>
      <c r="B90" s="75" t="s">
        <v>36</v>
      </c>
      <c r="C90" s="75" t="s">
        <v>115</v>
      </c>
      <c r="D90" s="96" t="s">
        <v>180</v>
      </c>
      <c r="E90" s="97">
        <v>30</v>
      </c>
      <c r="F90" s="97">
        <v>36</v>
      </c>
      <c r="G90" s="97">
        <v>1</v>
      </c>
      <c r="H90" s="97">
        <v>0</v>
      </c>
      <c r="I90" s="97">
        <v>1</v>
      </c>
      <c r="J90" s="97">
        <v>0</v>
      </c>
      <c r="K90" s="97">
        <v>0</v>
      </c>
      <c r="L90" s="97">
        <v>0</v>
      </c>
      <c r="M90" s="97">
        <v>35</v>
      </c>
      <c r="N90" s="97">
        <v>32</v>
      </c>
      <c r="O90" s="97">
        <v>32</v>
      </c>
      <c r="P90" s="97"/>
      <c r="Q90" s="97"/>
      <c r="R90" s="97"/>
      <c r="S90" s="97"/>
      <c r="T90" s="97"/>
      <c r="U90" s="307"/>
      <c r="V90" s="97"/>
      <c r="W90" s="97"/>
      <c r="X90" s="97"/>
      <c r="Y90" s="97"/>
      <c r="Z90" s="97"/>
      <c r="AA90" s="284"/>
      <c r="AB90" s="97">
        <v>86</v>
      </c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>
        <v>0.6</v>
      </c>
      <c r="AO90" s="97"/>
      <c r="AP90" s="98"/>
      <c r="AQ90" s="275">
        <v>25</v>
      </c>
      <c r="AR90" s="58" t="b">
        <f t="shared" si="6"/>
        <v>0</v>
      </c>
    </row>
    <row r="91" spans="1:44" ht="17.25" customHeight="1">
      <c r="A91" s="93" t="s">
        <v>174</v>
      </c>
      <c r="B91" s="75" t="s">
        <v>36</v>
      </c>
      <c r="C91" s="75" t="s">
        <v>115</v>
      </c>
      <c r="D91" s="96" t="s">
        <v>181</v>
      </c>
      <c r="E91" s="97">
        <v>30</v>
      </c>
      <c r="F91" s="97">
        <v>25</v>
      </c>
      <c r="G91" s="97">
        <v>5</v>
      </c>
      <c r="H91" s="97">
        <v>1</v>
      </c>
      <c r="I91" s="97">
        <v>4</v>
      </c>
      <c r="J91" s="97">
        <v>0</v>
      </c>
      <c r="K91" s="97">
        <v>0</v>
      </c>
      <c r="L91" s="97">
        <v>0</v>
      </c>
      <c r="M91" s="97">
        <v>20</v>
      </c>
      <c r="N91" s="97">
        <v>16</v>
      </c>
      <c r="O91" s="97">
        <v>16</v>
      </c>
      <c r="P91" s="97"/>
      <c r="Q91" s="97"/>
      <c r="R91" s="97"/>
      <c r="S91" s="97"/>
      <c r="T91" s="97"/>
      <c r="U91" s="307"/>
      <c r="V91" s="97"/>
      <c r="W91" s="97"/>
      <c r="X91" s="97"/>
      <c r="Y91" s="97"/>
      <c r="Z91" s="97"/>
      <c r="AA91" s="284"/>
      <c r="AB91" s="97">
        <v>395</v>
      </c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>
        <v>6.8</v>
      </c>
      <c r="AO91" s="97"/>
      <c r="AP91" s="98"/>
      <c r="AQ91" s="275">
        <v>26</v>
      </c>
      <c r="AR91" s="58" t="b">
        <f t="shared" si="6"/>
        <v>0</v>
      </c>
    </row>
    <row r="92" spans="1:44" s="102" customFormat="1" ht="17.25" customHeight="1">
      <c r="A92" s="99" t="s">
        <v>182</v>
      </c>
      <c r="B92" s="426" t="s">
        <v>113</v>
      </c>
      <c r="C92" s="417"/>
      <c r="D92" s="405"/>
      <c r="E92" s="100">
        <v>1143</v>
      </c>
      <c r="F92" s="100">
        <v>953</v>
      </c>
      <c r="G92" s="100">
        <v>60</v>
      </c>
      <c r="H92" s="100">
        <v>29</v>
      </c>
      <c r="I92" s="100">
        <v>27</v>
      </c>
      <c r="J92" s="100">
        <v>1</v>
      </c>
      <c r="K92" s="100">
        <v>2</v>
      </c>
      <c r="L92" s="100">
        <v>1</v>
      </c>
      <c r="M92" s="100">
        <v>893</v>
      </c>
      <c r="N92" s="100">
        <v>684</v>
      </c>
      <c r="O92" s="100">
        <v>657</v>
      </c>
      <c r="P92" s="100"/>
      <c r="Q92" s="100"/>
      <c r="R92" s="100"/>
      <c r="S92" s="100"/>
      <c r="T92" s="100"/>
      <c r="U92" s="308"/>
      <c r="V92" s="100"/>
      <c r="W92" s="100"/>
      <c r="X92" s="100"/>
      <c r="Y92" s="100"/>
      <c r="Z92" s="100"/>
      <c r="AA92" s="303"/>
      <c r="AB92" s="100">
        <v>193</v>
      </c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>
        <v>-4.3</v>
      </c>
      <c r="AO92" s="100"/>
      <c r="AP92" s="101"/>
      <c r="AQ92" s="309">
        <v>1142</v>
      </c>
      <c r="AR92" s="58" t="b">
        <f t="shared" si="6"/>
        <v>0</v>
      </c>
    </row>
    <row r="93" spans="1:44" s="102" customFormat="1">
      <c r="A93" s="103" t="s">
        <v>182</v>
      </c>
      <c r="B93" s="415" t="s">
        <v>38</v>
      </c>
      <c r="C93" s="405"/>
      <c r="D93" s="73" t="s">
        <v>114</v>
      </c>
      <c r="E93" s="104">
        <v>421</v>
      </c>
      <c r="F93" s="104">
        <v>355</v>
      </c>
      <c r="G93" s="104">
        <v>23</v>
      </c>
      <c r="H93" s="104">
        <v>13</v>
      </c>
      <c r="I93" s="104">
        <v>7</v>
      </c>
      <c r="J93" s="104">
        <v>0</v>
      </c>
      <c r="K93" s="104">
        <v>2</v>
      </c>
      <c r="L93" s="104">
        <v>1</v>
      </c>
      <c r="M93" s="104">
        <v>332</v>
      </c>
      <c r="N93" s="104">
        <v>236</v>
      </c>
      <c r="O93" s="104">
        <v>227</v>
      </c>
      <c r="P93" s="104"/>
      <c r="Q93" s="104"/>
      <c r="R93" s="104"/>
      <c r="S93" s="104"/>
      <c r="T93" s="104"/>
      <c r="U93" s="310"/>
      <c r="V93" s="104"/>
      <c r="W93" s="104"/>
      <c r="X93" s="104"/>
      <c r="Y93" s="104"/>
      <c r="Z93" s="104"/>
      <c r="AA93" s="311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312"/>
      <c r="AO93" s="312"/>
      <c r="AP93" s="313"/>
      <c r="AQ93" s="309">
        <v>432</v>
      </c>
      <c r="AR93" s="58" t="b">
        <f t="shared" si="6"/>
        <v>0</v>
      </c>
    </row>
    <row r="94" spans="1:44" s="102" customFormat="1" ht="16.5" customHeight="1">
      <c r="A94" s="103" t="s">
        <v>182</v>
      </c>
      <c r="B94" s="105" t="s">
        <v>38</v>
      </c>
      <c r="C94" s="105" t="s">
        <v>115</v>
      </c>
      <c r="D94" s="106" t="s">
        <v>183</v>
      </c>
      <c r="E94" s="107">
        <v>30</v>
      </c>
      <c r="F94" s="107">
        <v>31</v>
      </c>
      <c r="G94" s="107">
        <v>4</v>
      </c>
      <c r="H94" s="107">
        <v>3</v>
      </c>
      <c r="I94" s="107">
        <v>1</v>
      </c>
      <c r="J94" s="107">
        <v>0</v>
      </c>
      <c r="K94" s="107">
        <v>0</v>
      </c>
      <c r="L94" s="107">
        <v>0</v>
      </c>
      <c r="M94" s="107">
        <v>27</v>
      </c>
      <c r="N94" s="107">
        <v>23</v>
      </c>
      <c r="O94" s="107">
        <v>22</v>
      </c>
      <c r="P94" s="107"/>
      <c r="Q94" s="107"/>
      <c r="R94" s="107"/>
      <c r="S94" s="107"/>
      <c r="T94" s="107"/>
      <c r="U94" s="314"/>
      <c r="V94" s="107"/>
      <c r="W94" s="107"/>
      <c r="X94" s="107"/>
      <c r="Y94" s="107"/>
      <c r="Z94" s="107"/>
      <c r="AA94" s="315"/>
      <c r="AB94" s="107">
        <v>361</v>
      </c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>
        <v>3</v>
      </c>
      <c r="AO94" s="107"/>
      <c r="AP94" s="108"/>
      <c r="AQ94" s="309">
        <v>29</v>
      </c>
      <c r="AR94" s="58" t="b">
        <f t="shared" si="6"/>
        <v>0</v>
      </c>
    </row>
    <row r="95" spans="1:44" s="110" customFormat="1" ht="16.5" customHeight="1">
      <c r="A95" s="109" t="s">
        <v>182</v>
      </c>
      <c r="B95" s="105" t="s">
        <v>38</v>
      </c>
      <c r="C95" s="105" t="s">
        <v>115</v>
      </c>
      <c r="D95" s="106" t="s">
        <v>184</v>
      </c>
      <c r="E95" s="107">
        <v>30</v>
      </c>
      <c r="F95" s="107">
        <v>27</v>
      </c>
      <c r="G95" s="107">
        <v>2</v>
      </c>
      <c r="H95" s="107">
        <v>1</v>
      </c>
      <c r="I95" s="107">
        <v>1</v>
      </c>
      <c r="J95" s="107">
        <v>0</v>
      </c>
      <c r="K95" s="107">
        <v>0</v>
      </c>
      <c r="L95" s="107">
        <v>0</v>
      </c>
      <c r="M95" s="107">
        <v>25</v>
      </c>
      <c r="N95" s="107">
        <v>16</v>
      </c>
      <c r="O95" s="107">
        <v>11</v>
      </c>
      <c r="P95" s="107"/>
      <c r="Q95" s="107"/>
      <c r="R95" s="107"/>
      <c r="S95" s="107"/>
      <c r="T95" s="107"/>
      <c r="U95" s="314"/>
      <c r="V95" s="107"/>
      <c r="W95" s="107"/>
      <c r="X95" s="107"/>
      <c r="Y95" s="107"/>
      <c r="Z95" s="107"/>
      <c r="AA95" s="315"/>
      <c r="AB95" s="107">
        <v>39</v>
      </c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>
        <v>-1.7</v>
      </c>
      <c r="AO95" s="107"/>
      <c r="AP95" s="108"/>
      <c r="AQ95" s="309">
        <v>30</v>
      </c>
      <c r="AR95" s="58" t="b">
        <f t="shared" si="6"/>
        <v>0</v>
      </c>
    </row>
    <row r="96" spans="1:44" s="110" customFormat="1" ht="16.5" customHeight="1">
      <c r="A96" s="109" t="s">
        <v>182</v>
      </c>
      <c r="B96" s="105" t="s">
        <v>38</v>
      </c>
      <c r="C96" s="105" t="s">
        <v>115</v>
      </c>
      <c r="D96" s="106" t="s">
        <v>185</v>
      </c>
      <c r="E96" s="107">
        <v>85</v>
      </c>
      <c r="F96" s="107">
        <v>82</v>
      </c>
      <c r="G96" s="107">
        <v>4</v>
      </c>
      <c r="H96" s="107">
        <v>4</v>
      </c>
      <c r="I96" s="107">
        <v>0</v>
      </c>
      <c r="J96" s="107">
        <v>0</v>
      </c>
      <c r="K96" s="107">
        <v>0</v>
      </c>
      <c r="L96" s="107">
        <v>0</v>
      </c>
      <c r="M96" s="107">
        <v>78</v>
      </c>
      <c r="N96" s="107">
        <v>62</v>
      </c>
      <c r="O96" s="107">
        <v>62</v>
      </c>
      <c r="P96" s="107"/>
      <c r="Q96" s="107"/>
      <c r="R96" s="107"/>
      <c r="S96" s="107"/>
      <c r="T96" s="107"/>
      <c r="U96" s="314"/>
      <c r="V96" s="107"/>
      <c r="W96" s="107"/>
      <c r="X96" s="107"/>
      <c r="Y96" s="107"/>
      <c r="Z96" s="107"/>
      <c r="AA96" s="315"/>
      <c r="AB96" s="107">
        <v>416</v>
      </c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>
        <v>6.5</v>
      </c>
      <c r="AO96" s="107"/>
      <c r="AP96" s="108"/>
      <c r="AQ96" s="309">
        <v>31</v>
      </c>
      <c r="AR96" s="58" t="b">
        <f t="shared" si="6"/>
        <v>0</v>
      </c>
    </row>
    <row r="97" spans="1:44" s="110" customFormat="1" ht="16.5" customHeight="1">
      <c r="A97" s="109" t="s">
        <v>182</v>
      </c>
      <c r="B97" s="105" t="s">
        <v>38</v>
      </c>
      <c r="C97" s="105" t="s">
        <v>115</v>
      </c>
      <c r="D97" s="106" t="s">
        <v>153</v>
      </c>
      <c r="E97" s="107">
        <v>60</v>
      </c>
      <c r="F97" s="107">
        <v>71</v>
      </c>
      <c r="G97" s="107">
        <v>6</v>
      </c>
      <c r="H97" s="107">
        <v>4</v>
      </c>
      <c r="I97" s="107">
        <v>1</v>
      </c>
      <c r="J97" s="107">
        <v>0</v>
      </c>
      <c r="K97" s="107">
        <v>0</v>
      </c>
      <c r="L97" s="107">
        <v>1</v>
      </c>
      <c r="M97" s="107">
        <v>65</v>
      </c>
      <c r="N97" s="107">
        <v>45</v>
      </c>
      <c r="O97" s="107">
        <v>45</v>
      </c>
      <c r="P97" s="107"/>
      <c r="Q97" s="107"/>
      <c r="R97" s="107"/>
      <c r="S97" s="107"/>
      <c r="T97" s="107"/>
      <c r="U97" s="314"/>
      <c r="V97" s="107"/>
      <c r="W97" s="107"/>
      <c r="X97" s="107"/>
      <c r="Y97" s="107"/>
      <c r="Z97" s="107"/>
      <c r="AA97" s="315"/>
      <c r="AB97" s="107">
        <v>124</v>
      </c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>
        <v>0</v>
      </c>
      <c r="AO97" s="107"/>
      <c r="AP97" s="108"/>
      <c r="AQ97" s="309">
        <v>32</v>
      </c>
      <c r="AR97" s="58" t="b">
        <f t="shared" si="6"/>
        <v>0</v>
      </c>
    </row>
    <row r="98" spans="1:44" s="110" customFormat="1" ht="16.5" customHeight="1">
      <c r="A98" s="109" t="s">
        <v>182</v>
      </c>
      <c r="B98" s="105" t="s">
        <v>38</v>
      </c>
      <c r="C98" s="105" t="s">
        <v>115</v>
      </c>
      <c r="D98" s="106" t="s">
        <v>186</v>
      </c>
      <c r="E98" s="107">
        <v>60</v>
      </c>
      <c r="F98" s="107">
        <v>50</v>
      </c>
      <c r="G98" s="107">
        <v>2</v>
      </c>
      <c r="H98" s="107">
        <v>0</v>
      </c>
      <c r="I98" s="107">
        <v>0</v>
      </c>
      <c r="J98" s="107">
        <v>0</v>
      </c>
      <c r="K98" s="107">
        <v>2</v>
      </c>
      <c r="L98" s="107">
        <v>0</v>
      </c>
      <c r="M98" s="107">
        <v>48</v>
      </c>
      <c r="N98" s="107">
        <v>32</v>
      </c>
      <c r="O98" s="107">
        <v>29</v>
      </c>
      <c r="P98" s="107"/>
      <c r="Q98" s="107"/>
      <c r="R98" s="107"/>
      <c r="S98" s="107"/>
      <c r="T98" s="107"/>
      <c r="U98" s="314"/>
      <c r="V98" s="107"/>
      <c r="W98" s="107"/>
      <c r="X98" s="107"/>
      <c r="Y98" s="107"/>
      <c r="Z98" s="107"/>
      <c r="AA98" s="315"/>
      <c r="AB98" s="107">
        <v>139</v>
      </c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>
        <v>-4</v>
      </c>
      <c r="AO98" s="107"/>
      <c r="AP98" s="108"/>
      <c r="AQ98" s="309">
        <v>33</v>
      </c>
      <c r="AR98" s="58" t="b">
        <f t="shared" si="6"/>
        <v>0</v>
      </c>
    </row>
    <row r="99" spans="1:44" s="102" customFormat="1" ht="16.5" customHeight="1">
      <c r="A99" s="109" t="s">
        <v>182</v>
      </c>
      <c r="B99" s="105" t="s">
        <v>38</v>
      </c>
      <c r="C99" s="105" t="s">
        <v>115</v>
      </c>
      <c r="D99" s="106" t="s">
        <v>187</v>
      </c>
      <c r="E99" s="107">
        <v>60</v>
      </c>
      <c r="F99" s="107">
        <v>31</v>
      </c>
      <c r="G99" s="107">
        <v>3</v>
      </c>
      <c r="H99" s="107">
        <v>0</v>
      </c>
      <c r="I99" s="107">
        <v>3</v>
      </c>
      <c r="J99" s="107">
        <v>0</v>
      </c>
      <c r="K99" s="107">
        <v>0</v>
      </c>
      <c r="L99" s="107">
        <v>0</v>
      </c>
      <c r="M99" s="107">
        <v>28</v>
      </c>
      <c r="N99" s="107">
        <v>18</v>
      </c>
      <c r="O99" s="107">
        <v>18</v>
      </c>
      <c r="P99" s="107"/>
      <c r="Q99" s="107"/>
      <c r="R99" s="107"/>
      <c r="S99" s="107"/>
      <c r="T99" s="107"/>
      <c r="U99" s="314"/>
      <c r="V99" s="107"/>
      <c r="W99" s="107"/>
      <c r="X99" s="107"/>
      <c r="Y99" s="107"/>
      <c r="Z99" s="107"/>
      <c r="AA99" s="315"/>
      <c r="AB99" s="107">
        <v>157</v>
      </c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>
        <v>6.8</v>
      </c>
      <c r="AO99" s="107"/>
      <c r="AP99" s="108"/>
      <c r="AQ99" s="309">
        <v>34</v>
      </c>
      <c r="AR99" s="58" t="b">
        <f t="shared" si="6"/>
        <v>0</v>
      </c>
    </row>
    <row r="100" spans="1:44" s="102" customFormat="1" ht="16.5" customHeight="1">
      <c r="A100" s="103" t="s">
        <v>182</v>
      </c>
      <c r="B100" s="105" t="s">
        <v>38</v>
      </c>
      <c r="C100" s="105" t="s">
        <v>115</v>
      </c>
      <c r="D100" s="106" t="s">
        <v>188</v>
      </c>
      <c r="E100" s="107">
        <v>55</v>
      </c>
      <c r="F100" s="107">
        <v>36</v>
      </c>
      <c r="G100" s="107">
        <v>1</v>
      </c>
      <c r="H100" s="107">
        <v>1</v>
      </c>
      <c r="I100" s="107">
        <v>0</v>
      </c>
      <c r="J100" s="107">
        <v>0</v>
      </c>
      <c r="K100" s="107">
        <v>0</v>
      </c>
      <c r="L100" s="107">
        <v>0</v>
      </c>
      <c r="M100" s="107">
        <v>35</v>
      </c>
      <c r="N100" s="107">
        <v>18</v>
      </c>
      <c r="O100" s="107">
        <v>18</v>
      </c>
      <c r="P100" s="107"/>
      <c r="Q100" s="107"/>
      <c r="R100" s="107"/>
      <c r="S100" s="107"/>
      <c r="T100" s="107"/>
      <c r="U100" s="316"/>
      <c r="V100" s="107"/>
      <c r="W100" s="107"/>
      <c r="X100" s="107"/>
      <c r="Y100" s="107"/>
      <c r="Z100" s="107"/>
      <c r="AA100" s="315"/>
      <c r="AB100" s="107">
        <v>261</v>
      </c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>
        <v>6.8</v>
      </c>
      <c r="AO100" s="107"/>
      <c r="AP100" s="107"/>
      <c r="AQ100" s="309"/>
      <c r="AR100" s="58"/>
    </row>
    <row r="101" spans="1:44" s="102" customFormat="1" ht="16.5" customHeight="1">
      <c r="A101" s="103" t="s">
        <v>182</v>
      </c>
      <c r="B101" s="105" t="s">
        <v>38</v>
      </c>
      <c r="C101" s="111" t="s">
        <v>130</v>
      </c>
      <c r="D101" s="106" t="s">
        <v>189</v>
      </c>
      <c r="E101" s="107">
        <v>41</v>
      </c>
      <c r="F101" s="107">
        <v>27</v>
      </c>
      <c r="G101" s="107">
        <v>1</v>
      </c>
      <c r="H101" s="107">
        <v>0</v>
      </c>
      <c r="I101" s="107">
        <v>1</v>
      </c>
      <c r="J101" s="107">
        <v>0</v>
      </c>
      <c r="K101" s="107">
        <v>0</v>
      </c>
      <c r="L101" s="107">
        <v>0</v>
      </c>
      <c r="M101" s="107">
        <v>26</v>
      </c>
      <c r="N101" s="107">
        <v>22</v>
      </c>
      <c r="O101" s="107">
        <v>22</v>
      </c>
      <c r="P101" s="107"/>
      <c r="Q101" s="107"/>
      <c r="R101" s="107"/>
      <c r="S101" s="107"/>
      <c r="T101" s="107"/>
      <c r="U101" s="316"/>
      <c r="V101" s="107"/>
      <c r="W101" s="107"/>
      <c r="X101" s="107"/>
      <c r="Y101" s="107"/>
      <c r="Z101" s="107"/>
      <c r="AA101" s="315"/>
      <c r="AB101" s="107">
        <v>41</v>
      </c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>
        <v>-3.9</v>
      </c>
      <c r="AO101" s="107"/>
      <c r="AP101" s="107"/>
      <c r="AQ101" s="107">
        <v>0</v>
      </c>
      <c r="AR101" s="107">
        <v>0</v>
      </c>
    </row>
    <row r="102" spans="1:44" s="102" customFormat="1">
      <c r="A102" s="103" t="s">
        <v>182</v>
      </c>
      <c r="B102" s="414" t="s">
        <v>39</v>
      </c>
      <c r="C102" s="405"/>
      <c r="D102" s="73" t="s">
        <v>114</v>
      </c>
      <c r="E102" s="104">
        <v>360</v>
      </c>
      <c r="F102" s="104">
        <v>333</v>
      </c>
      <c r="G102" s="104">
        <v>11</v>
      </c>
      <c r="H102" s="104">
        <v>4</v>
      </c>
      <c r="I102" s="104">
        <v>7</v>
      </c>
      <c r="J102" s="104">
        <v>0</v>
      </c>
      <c r="K102" s="104">
        <v>0</v>
      </c>
      <c r="L102" s="104">
        <v>0</v>
      </c>
      <c r="M102" s="104">
        <v>322</v>
      </c>
      <c r="N102" s="104">
        <v>263</v>
      </c>
      <c r="O102" s="104">
        <v>260</v>
      </c>
      <c r="P102" s="104"/>
      <c r="Q102" s="104"/>
      <c r="R102" s="104"/>
      <c r="S102" s="104"/>
      <c r="T102" s="104"/>
      <c r="U102" s="310"/>
      <c r="V102" s="104"/>
      <c r="W102" s="104"/>
      <c r="X102" s="104"/>
      <c r="Y102" s="104"/>
      <c r="Z102" s="104"/>
      <c r="AA102" s="311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12"/>
      <c r="AQ102" s="309">
        <v>375</v>
      </c>
      <c r="AR102" s="58" t="b">
        <f>EXACT(F102,AQ102)</f>
        <v>0</v>
      </c>
    </row>
    <row r="103" spans="1:44" s="102" customFormat="1" ht="16.5" customHeight="1">
      <c r="A103" s="103" t="s">
        <v>182</v>
      </c>
      <c r="B103" s="113" t="s">
        <v>39</v>
      </c>
      <c r="C103" s="113" t="s">
        <v>115</v>
      </c>
      <c r="D103" s="106" t="s">
        <v>117</v>
      </c>
      <c r="E103" s="107">
        <v>60</v>
      </c>
      <c r="F103" s="107">
        <v>52</v>
      </c>
      <c r="G103" s="107">
        <v>0</v>
      </c>
      <c r="H103" s="107">
        <v>0</v>
      </c>
      <c r="I103" s="107">
        <v>0</v>
      </c>
      <c r="J103" s="107">
        <v>0</v>
      </c>
      <c r="K103" s="107">
        <v>0</v>
      </c>
      <c r="L103" s="107">
        <v>0</v>
      </c>
      <c r="M103" s="107">
        <v>52</v>
      </c>
      <c r="N103" s="107">
        <v>43</v>
      </c>
      <c r="O103" s="107">
        <v>42</v>
      </c>
      <c r="P103" s="107"/>
      <c r="Q103" s="107"/>
      <c r="R103" s="107"/>
      <c r="S103" s="107"/>
      <c r="T103" s="107"/>
      <c r="U103" s="314"/>
      <c r="V103" s="107"/>
      <c r="W103" s="107"/>
      <c r="X103" s="107"/>
      <c r="Y103" s="107"/>
      <c r="Z103" s="107"/>
      <c r="AA103" s="315"/>
      <c r="AB103" s="107">
        <v>353</v>
      </c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>
        <v>-2.4</v>
      </c>
      <c r="AO103" s="107"/>
      <c r="AP103" s="108"/>
      <c r="AQ103" s="114">
        <v>0</v>
      </c>
      <c r="AR103" s="107">
        <v>0</v>
      </c>
    </row>
    <row r="104" spans="1:44" s="102" customFormat="1" ht="16.5" customHeight="1">
      <c r="A104" s="103" t="s">
        <v>182</v>
      </c>
      <c r="B104" s="113" t="s">
        <v>39</v>
      </c>
      <c r="C104" s="113" t="s">
        <v>115</v>
      </c>
      <c r="D104" s="106" t="s">
        <v>190</v>
      </c>
      <c r="E104" s="107">
        <v>60</v>
      </c>
      <c r="F104" s="107">
        <v>69</v>
      </c>
      <c r="G104" s="107">
        <v>2</v>
      </c>
      <c r="H104" s="107">
        <v>2</v>
      </c>
      <c r="I104" s="107">
        <v>0</v>
      </c>
      <c r="J104" s="107">
        <v>0</v>
      </c>
      <c r="K104" s="107">
        <v>0</v>
      </c>
      <c r="L104" s="107">
        <v>0</v>
      </c>
      <c r="M104" s="107">
        <v>67</v>
      </c>
      <c r="N104" s="107">
        <v>56</v>
      </c>
      <c r="O104" s="107">
        <v>54</v>
      </c>
      <c r="P104" s="107"/>
      <c r="Q104" s="107"/>
      <c r="R104" s="107"/>
      <c r="S104" s="107"/>
      <c r="T104" s="107"/>
      <c r="U104" s="314"/>
      <c r="V104" s="107"/>
      <c r="W104" s="107"/>
      <c r="X104" s="107"/>
      <c r="Y104" s="107"/>
      <c r="Z104" s="107"/>
      <c r="AA104" s="315"/>
      <c r="AB104" s="107">
        <v>471</v>
      </c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>
        <v>-1.2</v>
      </c>
      <c r="AO104" s="107"/>
      <c r="AP104" s="108"/>
      <c r="AQ104" s="309">
        <v>51</v>
      </c>
      <c r="AR104" s="58" t="b">
        <f>EXACT(F104,AQ104)</f>
        <v>0</v>
      </c>
    </row>
    <row r="105" spans="1:44" s="102" customFormat="1" ht="16.5" customHeight="1">
      <c r="A105" s="103" t="s">
        <v>182</v>
      </c>
      <c r="B105" s="113" t="s">
        <v>39</v>
      </c>
      <c r="C105" s="113" t="s">
        <v>115</v>
      </c>
      <c r="D105" s="106" t="s">
        <v>191</v>
      </c>
      <c r="E105" s="107">
        <v>85</v>
      </c>
      <c r="F105" s="107">
        <v>81</v>
      </c>
      <c r="G105" s="107">
        <v>2</v>
      </c>
      <c r="H105" s="107">
        <v>1</v>
      </c>
      <c r="I105" s="107">
        <v>1</v>
      </c>
      <c r="J105" s="107">
        <v>0</v>
      </c>
      <c r="K105" s="107">
        <v>0</v>
      </c>
      <c r="L105" s="107">
        <v>0</v>
      </c>
      <c r="M105" s="107">
        <v>79</v>
      </c>
      <c r="N105" s="107">
        <v>67</v>
      </c>
      <c r="O105" s="107">
        <v>67</v>
      </c>
      <c r="P105" s="107"/>
      <c r="Q105" s="107"/>
      <c r="R105" s="107"/>
      <c r="S105" s="107"/>
      <c r="T105" s="107"/>
      <c r="U105" s="314"/>
      <c r="V105" s="107"/>
      <c r="W105" s="107"/>
      <c r="X105" s="107"/>
      <c r="Y105" s="107"/>
      <c r="Z105" s="107"/>
      <c r="AA105" s="315"/>
      <c r="AB105" s="107">
        <v>17</v>
      </c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>
        <v>-0.2</v>
      </c>
      <c r="AO105" s="107"/>
      <c r="AP105" s="108"/>
      <c r="AQ105" s="309">
        <v>52</v>
      </c>
      <c r="AR105" s="58" t="b">
        <f>EXACT(F105,AQ105)</f>
        <v>0</v>
      </c>
    </row>
    <row r="106" spans="1:44" s="102" customFormat="1" ht="16.5" customHeight="1">
      <c r="A106" s="103" t="s">
        <v>182</v>
      </c>
      <c r="B106" s="113" t="s">
        <v>39</v>
      </c>
      <c r="C106" s="113" t="s">
        <v>115</v>
      </c>
      <c r="D106" s="106" t="s">
        <v>192</v>
      </c>
      <c r="E106" s="107">
        <v>60</v>
      </c>
      <c r="F106" s="107">
        <v>48</v>
      </c>
      <c r="G106" s="107">
        <v>1</v>
      </c>
      <c r="H106" s="107">
        <v>0</v>
      </c>
      <c r="I106" s="107">
        <v>1</v>
      </c>
      <c r="J106" s="107">
        <v>0</v>
      </c>
      <c r="K106" s="107">
        <v>0</v>
      </c>
      <c r="L106" s="107">
        <v>0</v>
      </c>
      <c r="M106" s="107">
        <v>47</v>
      </c>
      <c r="N106" s="107">
        <v>33</v>
      </c>
      <c r="O106" s="107">
        <v>33</v>
      </c>
      <c r="P106" s="107"/>
      <c r="Q106" s="107"/>
      <c r="R106" s="107"/>
      <c r="S106" s="107"/>
      <c r="T106" s="107"/>
      <c r="U106" s="314"/>
      <c r="V106" s="107"/>
      <c r="W106" s="107"/>
      <c r="X106" s="107"/>
      <c r="Y106" s="107"/>
      <c r="Z106" s="107"/>
      <c r="AA106" s="315"/>
      <c r="AB106" s="107">
        <v>358</v>
      </c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>
        <v>1.4</v>
      </c>
      <c r="AO106" s="107"/>
      <c r="AP106" s="108"/>
      <c r="AQ106" s="309">
        <v>53</v>
      </c>
      <c r="AR106" s="58" t="b">
        <f>EXACT(F106,AQ106)</f>
        <v>0</v>
      </c>
    </row>
    <row r="107" spans="1:44" s="102" customFormat="1" ht="16.5" customHeight="1">
      <c r="A107" s="103" t="s">
        <v>182</v>
      </c>
      <c r="B107" s="113" t="s">
        <v>39</v>
      </c>
      <c r="C107" s="105" t="s">
        <v>115</v>
      </c>
      <c r="D107" s="106" t="s">
        <v>123</v>
      </c>
      <c r="E107" s="107">
        <v>60</v>
      </c>
      <c r="F107" s="107">
        <v>60</v>
      </c>
      <c r="G107" s="107">
        <v>1</v>
      </c>
      <c r="H107" s="107">
        <v>0</v>
      </c>
      <c r="I107" s="107">
        <v>1</v>
      </c>
      <c r="J107" s="107">
        <v>0</v>
      </c>
      <c r="K107" s="107">
        <v>0</v>
      </c>
      <c r="L107" s="107">
        <v>0</v>
      </c>
      <c r="M107" s="107">
        <v>59</v>
      </c>
      <c r="N107" s="107">
        <v>48</v>
      </c>
      <c r="O107" s="107">
        <v>48</v>
      </c>
      <c r="P107" s="107"/>
      <c r="Q107" s="107"/>
      <c r="R107" s="107"/>
      <c r="S107" s="107"/>
      <c r="T107" s="107"/>
      <c r="U107" s="314"/>
      <c r="V107" s="107"/>
      <c r="W107" s="107"/>
      <c r="X107" s="107"/>
      <c r="Y107" s="107"/>
      <c r="Z107" s="107"/>
      <c r="AA107" s="315"/>
      <c r="AB107" s="107">
        <v>164</v>
      </c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>
        <v>0.1</v>
      </c>
      <c r="AO107" s="107"/>
      <c r="AP107" s="108"/>
      <c r="AQ107" s="309">
        <v>54</v>
      </c>
      <c r="AR107" s="58" t="b">
        <f>EXACT(F107,AQ107)</f>
        <v>0</v>
      </c>
    </row>
    <row r="108" spans="1:44" s="102" customFormat="1" ht="16.5" customHeight="1">
      <c r="A108" s="103" t="s">
        <v>182</v>
      </c>
      <c r="B108" s="111" t="s">
        <v>39</v>
      </c>
      <c r="C108" s="111" t="s">
        <v>130</v>
      </c>
      <c r="D108" s="107" t="s">
        <v>193</v>
      </c>
      <c r="E108" s="107">
        <v>18</v>
      </c>
      <c r="F108" s="107">
        <v>15</v>
      </c>
      <c r="G108" s="107">
        <v>3</v>
      </c>
      <c r="H108" s="107">
        <v>0</v>
      </c>
      <c r="I108" s="107">
        <v>3</v>
      </c>
      <c r="J108" s="107">
        <v>0</v>
      </c>
      <c r="K108" s="107">
        <v>0</v>
      </c>
      <c r="L108" s="107">
        <v>0</v>
      </c>
      <c r="M108" s="107">
        <v>12</v>
      </c>
      <c r="N108" s="107">
        <v>10</v>
      </c>
      <c r="O108" s="107">
        <v>10</v>
      </c>
      <c r="P108" s="107"/>
      <c r="Q108" s="107"/>
      <c r="R108" s="107"/>
      <c r="S108" s="107"/>
      <c r="T108" s="107"/>
      <c r="U108" s="314"/>
      <c r="V108" s="107"/>
      <c r="W108" s="107"/>
      <c r="X108" s="107"/>
      <c r="Y108" s="107"/>
      <c r="Z108" s="107"/>
      <c r="AA108" s="315"/>
      <c r="AB108" s="107">
        <v>43</v>
      </c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>
        <v>6.1</v>
      </c>
      <c r="AO108" s="107"/>
      <c r="AP108" s="107"/>
      <c r="AQ108" s="107">
        <v>0</v>
      </c>
      <c r="AR108" s="107">
        <v>0</v>
      </c>
    </row>
    <row r="109" spans="1:44" s="102" customFormat="1" ht="16.5" customHeight="1">
      <c r="A109" s="103" t="s">
        <v>182</v>
      </c>
      <c r="B109" s="111" t="s">
        <v>39</v>
      </c>
      <c r="C109" s="111" t="s">
        <v>130</v>
      </c>
      <c r="D109" s="107" t="s">
        <v>194</v>
      </c>
      <c r="E109" s="107">
        <v>17</v>
      </c>
      <c r="F109" s="107">
        <v>8</v>
      </c>
      <c r="G109" s="107">
        <v>2</v>
      </c>
      <c r="H109" s="107">
        <v>1</v>
      </c>
      <c r="I109" s="107">
        <v>1</v>
      </c>
      <c r="J109" s="107">
        <v>0</v>
      </c>
      <c r="K109" s="107">
        <v>0</v>
      </c>
      <c r="L109" s="107">
        <v>0</v>
      </c>
      <c r="M109" s="107">
        <v>6</v>
      </c>
      <c r="N109" s="107">
        <v>6</v>
      </c>
      <c r="O109" s="107">
        <v>6</v>
      </c>
      <c r="P109" s="107"/>
      <c r="Q109" s="107"/>
      <c r="R109" s="107"/>
      <c r="S109" s="107"/>
      <c r="T109" s="107"/>
      <c r="U109" s="314"/>
      <c r="V109" s="107"/>
      <c r="W109" s="107"/>
      <c r="X109" s="107"/>
      <c r="Y109" s="107"/>
      <c r="Z109" s="107"/>
      <c r="AA109" s="315"/>
      <c r="AB109" s="107">
        <v>237</v>
      </c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>
        <v>-3.6</v>
      </c>
      <c r="AO109" s="107"/>
      <c r="AP109" s="107"/>
      <c r="AQ109" s="107">
        <v>0</v>
      </c>
      <c r="AR109" s="107">
        <v>0</v>
      </c>
    </row>
    <row r="110" spans="1:44" s="102" customFormat="1">
      <c r="A110" s="103" t="s">
        <v>182</v>
      </c>
      <c r="B110" s="414" t="s">
        <v>40</v>
      </c>
      <c r="C110" s="405"/>
      <c r="D110" s="73" t="s">
        <v>114</v>
      </c>
      <c r="E110" s="104">
        <v>257</v>
      </c>
      <c r="F110" s="104">
        <v>195</v>
      </c>
      <c r="G110" s="104">
        <v>19</v>
      </c>
      <c r="H110" s="104">
        <v>11</v>
      </c>
      <c r="I110" s="104">
        <v>8</v>
      </c>
      <c r="J110" s="104">
        <v>0</v>
      </c>
      <c r="K110" s="104">
        <v>0</v>
      </c>
      <c r="L110" s="104">
        <v>0</v>
      </c>
      <c r="M110" s="104">
        <v>176</v>
      </c>
      <c r="N110" s="104">
        <v>134</v>
      </c>
      <c r="O110" s="104">
        <v>121</v>
      </c>
      <c r="P110" s="104"/>
      <c r="Q110" s="104"/>
      <c r="R110" s="104"/>
      <c r="S110" s="104"/>
      <c r="T110" s="104"/>
      <c r="U110" s="310"/>
      <c r="V110" s="104"/>
      <c r="W110" s="104"/>
      <c r="X110" s="104"/>
      <c r="Y110" s="104"/>
      <c r="Z110" s="104"/>
      <c r="AA110" s="311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12"/>
      <c r="AQ110" s="309">
        <v>222</v>
      </c>
      <c r="AR110" s="58" t="b">
        <f t="shared" ref="AR110:AR115" si="7">EXACT(F110,AQ110)</f>
        <v>0</v>
      </c>
    </row>
    <row r="111" spans="1:44" s="102" customFormat="1" ht="16.5" customHeight="1">
      <c r="A111" s="103" t="s">
        <v>182</v>
      </c>
      <c r="B111" s="111" t="s">
        <v>40</v>
      </c>
      <c r="C111" s="111" t="s">
        <v>115</v>
      </c>
      <c r="D111" s="317" t="s">
        <v>195</v>
      </c>
      <c r="E111" s="318">
        <v>0</v>
      </c>
      <c r="F111" s="318">
        <v>1</v>
      </c>
      <c r="G111" s="318">
        <v>0</v>
      </c>
      <c r="H111" s="318">
        <v>0</v>
      </c>
      <c r="I111" s="318">
        <v>0</v>
      </c>
      <c r="J111" s="318">
        <v>0</v>
      </c>
      <c r="K111" s="318">
        <v>0</v>
      </c>
      <c r="L111" s="318">
        <v>0</v>
      </c>
      <c r="M111" s="318">
        <v>1</v>
      </c>
      <c r="N111" s="318">
        <v>0</v>
      </c>
      <c r="O111" s="318">
        <v>0</v>
      </c>
      <c r="P111" s="318"/>
      <c r="Q111" s="318"/>
      <c r="R111" s="318"/>
      <c r="S111" s="318"/>
      <c r="T111" s="318"/>
      <c r="U111" s="319"/>
      <c r="V111" s="318"/>
      <c r="W111" s="318"/>
      <c r="X111" s="318"/>
      <c r="Y111" s="318"/>
      <c r="Z111" s="318"/>
      <c r="AA111" s="320"/>
      <c r="AB111" s="318">
        <v>153</v>
      </c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>
        <v>0.7</v>
      </c>
      <c r="AO111" s="318"/>
      <c r="AP111" s="321"/>
      <c r="AQ111" s="309">
        <v>19</v>
      </c>
      <c r="AR111" s="58" t="b">
        <f t="shared" si="7"/>
        <v>0</v>
      </c>
    </row>
    <row r="112" spans="1:44" s="102" customFormat="1" ht="16.5" customHeight="1">
      <c r="A112" s="103" t="s">
        <v>182</v>
      </c>
      <c r="B112" s="111" t="s">
        <v>40</v>
      </c>
      <c r="C112" s="111" t="s">
        <v>115</v>
      </c>
      <c r="D112" s="317" t="s">
        <v>117</v>
      </c>
      <c r="E112" s="318">
        <v>25</v>
      </c>
      <c r="F112" s="318">
        <v>23</v>
      </c>
      <c r="G112" s="318">
        <v>2</v>
      </c>
      <c r="H112" s="318">
        <v>0</v>
      </c>
      <c r="I112" s="318">
        <v>2</v>
      </c>
      <c r="J112" s="318">
        <v>0</v>
      </c>
      <c r="K112" s="318">
        <v>0</v>
      </c>
      <c r="L112" s="318">
        <v>0</v>
      </c>
      <c r="M112" s="318">
        <v>21</v>
      </c>
      <c r="N112" s="318">
        <v>14</v>
      </c>
      <c r="O112" s="318">
        <v>14</v>
      </c>
      <c r="P112" s="318"/>
      <c r="Q112" s="318"/>
      <c r="R112" s="318"/>
      <c r="S112" s="318"/>
      <c r="T112" s="318"/>
      <c r="U112" s="319"/>
      <c r="V112" s="318"/>
      <c r="W112" s="318"/>
      <c r="X112" s="318"/>
      <c r="Y112" s="318"/>
      <c r="Z112" s="318"/>
      <c r="AA112" s="320"/>
      <c r="AB112" s="318">
        <v>369</v>
      </c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>
        <v>0</v>
      </c>
      <c r="AO112" s="318"/>
      <c r="AP112" s="321"/>
      <c r="AQ112" s="309">
        <v>20</v>
      </c>
      <c r="AR112" s="58" t="b">
        <f t="shared" si="7"/>
        <v>0</v>
      </c>
    </row>
    <row r="113" spans="1:44" s="102" customFormat="1" ht="16.5" customHeight="1">
      <c r="A113" s="103" t="s">
        <v>182</v>
      </c>
      <c r="B113" s="111" t="s">
        <v>40</v>
      </c>
      <c r="C113" s="111" t="s">
        <v>115</v>
      </c>
      <c r="D113" s="317" t="s">
        <v>196</v>
      </c>
      <c r="E113" s="318">
        <v>30</v>
      </c>
      <c r="F113" s="318">
        <v>24</v>
      </c>
      <c r="G113" s="318">
        <v>2</v>
      </c>
      <c r="H113" s="318">
        <v>2</v>
      </c>
      <c r="I113" s="318">
        <v>0</v>
      </c>
      <c r="J113" s="318">
        <v>0</v>
      </c>
      <c r="K113" s="318">
        <v>0</v>
      </c>
      <c r="L113" s="318">
        <v>0</v>
      </c>
      <c r="M113" s="318">
        <v>22</v>
      </c>
      <c r="N113" s="318">
        <v>20</v>
      </c>
      <c r="O113" s="318">
        <v>20</v>
      </c>
      <c r="P113" s="318"/>
      <c r="Q113" s="318"/>
      <c r="R113" s="318"/>
      <c r="S113" s="318"/>
      <c r="T113" s="318"/>
      <c r="U113" s="319"/>
      <c r="V113" s="318"/>
      <c r="W113" s="318"/>
      <c r="X113" s="318"/>
      <c r="Y113" s="318"/>
      <c r="Z113" s="318"/>
      <c r="AA113" s="320"/>
      <c r="AB113" s="318">
        <v>279</v>
      </c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>
        <v>-4.3</v>
      </c>
      <c r="AO113" s="318"/>
      <c r="AP113" s="321"/>
      <c r="AQ113" s="309">
        <v>21</v>
      </c>
      <c r="AR113" s="58" t="b">
        <f t="shared" si="7"/>
        <v>0</v>
      </c>
    </row>
    <row r="114" spans="1:44" s="102" customFormat="1" ht="16.5" customHeight="1">
      <c r="A114" s="103" t="s">
        <v>182</v>
      </c>
      <c r="B114" s="111" t="s">
        <v>40</v>
      </c>
      <c r="C114" s="111" t="s">
        <v>115</v>
      </c>
      <c r="D114" s="317" t="s">
        <v>155</v>
      </c>
      <c r="E114" s="318">
        <v>30</v>
      </c>
      <c r="F114" s="318">
        <v>31</v>
      </c>
      <c r="G114" s="318">
        <v>0</v>
      </c>
      <c r="H114" s="318">
        <v>0</v>
      </c>
      <c r="I114" s="318">
        <v>0</v>
      </c>
      <c r="J114" s="318">
        <v>0</v>
      </c>
      <c r="K114" s="318">
        <v>0</v>
      </c>
      <c r="L114" s="318">
        <v>0</v>
      </c>
      <c r="M114" s="318">
        <v>31</v>
      </c>
      <c r="N114" s="318">
        <v>22</v>
      </c>
      <c r="O114" s="318">
        <v>22</v>
      </c>
      <c r="P114" s="318"/>
      <c r="Q114" s="318"/>
      <c r="R114" s="318"/>
      <c r="S114" s="318"/>
      <c r="T114" s="318"/>
      <c r="U114" s="319"/>
      <c r="V114" s="318"/>
      <c r="W114" s="318"/>
      <c r="X114" s="318"/>
      <c r="Y114" s="318"/>
      <c r="Z114" s="318"/>
      <c r="AA114" s="320"/>
      <c r="AB114" s="318">
        <v>373</v>
      </c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>
        <v>-1.8</v>
      </c>
      <c r="AO114" s="318"/>
      <c r="AP114" s="321"/>
      <c r="AQ114" s="309">
        <v>22</v>
      </c>
      <c r="AR114" s="58" t="b">
        <f t="shared" si="7"/>
        <v>0</v>
      </c>
    </row>
    <row r="115" spans="1:44" s="102" customFormat="1" ht="16.5" customHeight="1">
      <c r="A115" s="103" t="s">
        <v>182</v>
      </c>
      <c r="B115" s="111" t="s">
        <v>40</v>
      </c>
      <c r="C115" s="115" t="s">
        <v>115</v>
      </c>
      <c r="D115" s="317" t="s">
        <v>118</v>
      </c>
      <c r="E115" s="318">
        <v>30</v>
      </c>
      <c r="F115" s="318">
        <v>19</v>
      </c>
      <c r="G115" s="318">
        <v>1</v>
      </c>
      <c r="H115" s="318">
        <v>0</v>
      </c>
      <c r="I115" s="318">
        <v>1</v>
      </c>
      <c r="J115" s="318">
        <v>0</v>
      </c>
      <c r="K115" s="318">
        <v>0</v>
      </c>
      <c r="L115" s="318">
        <v>0</v>
      </c>
      <c r="M115" s="318">
        <v>18</v>
      </c>
      <c r="N115" s="318">
        <v>14</v>
      </c>
      <c r="O115" s="318">
        <v>7</v>
      </c>
      <c r="P115" s="318"/>
      <c r="Q115" s="318"/>
      <c r="R115" s="318"/>
      <c r="S115" s="318"/>
      <c r="T115" s="318"/>
      <c r="U115" s="319"/>
      <c r="V115" s="318"/>
      <c r="W115" s="318"/>
      <c r="X115" s="318"/>
      <c r="Y115" s="318"/>
      <c r="Z115" s="318"/>
      <c r="AA115" s="320"/>
      <c r="AB115" s="318">
        <v>226</v>
      </c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>
        <v>-4</v>
      </c>
      <c r="AO115" s="318"/>
      <c r="AP115" s="321"/>
      <c r="AQ115" s="309">
        <v>23</v>
      </c>
      <c r="AR115" s="58" t="b">
        <f t="shared" si="7"/>
        <v>0</v>
      </c>
    </row>
    <row r="116" spans="1:44" s="102" customFormat="1" ht="16.5" customHeight="1">
      <c r="A116" s="103" t="s">
        <v>182</v>
      </c>
      <c r="B116" s="111" t="s">
        <v>40</v>
      </c>
      <c r="C116" s="115" t="s">
        <v>115</v>
      </c>
      <c r="D116" s="317" t="s">
        <v>197</v>
      </c>
      <c r="E116" s="318">
        <v>50</v>
      </c>
      <c r="F116" s="318">
        <v>36</v>
      </c>
      <c r="G116" s="318">
        <v>8</v>
      </c>
      <c r="H116" s="318">
        <v>4</v>
      </c>
      <c r="I116" s="318">
        <v>4</v>
      </c>
      <c r="J116" s="318">
        <v>0</v>
      </c>
      <c r="K116" s="318">
        <v>0</v>
      </c>
      <c r="L116" s="318">
        <v>0</v>
      </c>
      <c r="M116" s="318">
        <v>28</v>
      </c>
      <c r="N116" s="318">
        <v>22</v>
      </c>
      <c r="O116" s="318">
        <v>22</v>
      </c>
      <c r="P116" s="318"/>
      <c r="Q116" s="318"/>
      <c r="R116" s="318"/>
      <c r="S116" s="318"/>
      <c r="T116" s="318"/>
      <c r="U116" s="319"/>
      <c r="V116" s="318"/>
      <c r="W116" s="318"/>
      <c r="X116" s="318"/>
      <c r="Y116" s="318"/>
      <c r="Z116" s="318"/>
      <c r="AA116" s="320"/>
      <c r="AB116" s="318">
        <v>121</v>
      </c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>
        <v>0</v>
      </c>
      <c r="AO116" s="318"/>
      <c r="AP116" s="318"/>
      <c r="AQ116" s="309"/>
      <c r="AR116" s="58"/>
    </row>
    <row r="117" spans="1:44" s="102" customFormat="1" ht="16.5" customHeight="1">
      <c r="A117" s="103" t="s">
        <v>182</v>
      </c>
      <c r="B117" s="111" t="s">
        <v>40</v>
      </c>
      <c r="C117" s="111" t="s">
        <v>115</v>
      </c>
      <c r="D117" s="317" t="s">
        <v>154</v>
      </c>
      <c r="E117" s="318">
        <v>30</v>
      </c>
      <c r="F117" s="318">
        <v>14</v>
      </c>
      <c r="G117" s="318">
        <v>1</v>
      </c>
      <c r="H117" s="318">
        <v>1</v>
      </c>
      <c r="I117" s="318">
        <v>0</v>
      </c>
      <c r="J117" s="318">
        <v>0</v>
      </c>
      <c r="K117" s="318">
        <v>0</v>
      </c>
      <c r="L117" s="318">
        <v>0</v>
      </c>
      <c r="M117" s="318">
        <v>13</v>
      </c>
      <c r="N117" s="318">
        <v>11</v>
      </c>
      <c r="O117" s="318">
        <v>5</v>
      </c>
      <c r="P117" s="318"/>
      <c r="Q117" s="318"/>
      <c r="R117" s="318"/>
      <c r="S117" s="318"/>
      <c r="T117" s="318"/>
      <c r="U117" s="319"/>
      <c r="V117" s="318"/>
      <c r="W117" s="318"/>
      <c r="X117" s="318"/>
      <c r="Y117" s="318"/>
      <c r="Z117" s="318"/>
      <c r="AA117" s="320"/>
      <c r="AB117" s="318">
        <v>259</v>
      </c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>
        <v>5</v>
      </c>
      <c r="AO117" s="318"/>
      <c r="AP117" s="318"/>
      <c r="AQ117" s="309">
        <v>24</v>
      </c>
      <c r="AR117" s="58" t="b">
        <f>EXACT(F117,AQ117)</f>
        <v>0</v>
      </c>
    </row>
    <row r="118" spans="1:44" s="102" customFormat="1" ht="17.25" customHeight="1">
      <c r="A118" s="103" t="s">
        <v>182</v>
      </c>
      <c r="B118" s="111" t="s">
        <v>40</v>
      </c>
      <c r="C118" s="111" t="s">
        <v>115</v>
      </c>
      <c r="D118" s="317" t="s">
        <v>198</v>
      </c>
      <c r="E118" s="318">
        <v>30</v>
      </c>
      <c r="F118" s="318">
        <v>28</v>
      </c>
      <c r="G118" s="318">
        <v>4</v>
      </c>
      <c r="H118" s="318">
        <v>4</v>
      </c>
      <c r="I118" s="318">
        <v>0</v>
      </c>
      <c r="J118" s="318">
        <v>0</v>
      </c>
      <c r="K118" s="318">
        <v>0</v>
      </c>
      <c r="L118" s="318">
        <v>0</v>
      </c>
      <c r="M118" s="318">
        <v>24</v>
      </c>
      <c r="N118" s="318">
        <v>14</v>
      </c>
      <c r="O118" s="318">
        <v>14</v>
      </c>
      <c r="P118" s="318"/>
      <c r="Q118" s="318"/>
      <c r="R118" s="318"/>
      <c r="S118" s="318"/>
      <c r="T118" s="318"/>
      <c r="U118" s="319"/>
      <c r="V118" s="318"/>
      <c r="W118" s="318"/>
      <c r="X118" s="318"/>
      <c r="Y118" s="318"/>
      <c r="Z118" s="318"/>
      <c r="AA118" s="320"/>
      <c r="AB118" s="318">
        <v>217</v>
      </c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>
        <v>0.5</v>
      </c>
      <c r="AO118" s="318"/>
      <c r="AP118" s="318"/>
      <c r="AQ118" s="318">
        <v>0</v>
      </c>
      <c r="AR118" s="318">
        <v>0</v>
      </c>
    </row>
    <row r="119" spans="1:44" s="102" customFormat="1" ht="17.25" customHeight="1">
      <c r="A119" s="103" t="s">
        <v>182</v>
      </c>
      <c r="B119" s="111" t="s">
        <v>40</v>
      </c>
      <c r="C119" s="111" t="s">
        <v>130</v>
      </c>
      <c r="D119" s="107" t="s">
        <v>199</v>
      </c>
      <c r="E119" s="107">
        <v>12</v>
      </c>
      <c r="F119" s="107">
        <v>7</v>
      </c>
      <c r="G119" s="107">
        <v>0</v>
      </c>
      <c r="H119" s="107">
        <v>0</v>
      </c>
      <c r="I119" s="107">
        <v>0</v>
      </c>
      <c r="J119" s="107">
        <v>0</v>
      </c>
      <c r="K119" s="107">
        <v>0</v>
      </c>
      <c r="L119" s="107">
        <v>0</v>
      </c>
      <c r="M119" s="107">
        <v>7</v>
      </c>
      <c r="N119" s="107">
        <v>7</v>
      </c>
      <c r="O119" s="107">
        <v>7</v>
      </c>
      <c r="P119" s="107"/>
      <c r="Q119" s="107"/>
      <c r="R119" s="107"/>
      <c r="S119" s="107"/>
      <c r="T119" s="107"/>
      <c r="U119" s="314"/>
      <c r="V119" s="107"/>
      <c r="W119" s="107"/>
      <c r="X119" s="107"/>
      <c r="Y119" s="107"/>
      <c r="Z119" s="107"/>
      <c r="AA119" s="315"/>
      <c r="AB119" s="107">
        <v>121</v>
      </c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>
        <v>-0.7</v>
      </c>
      <c r="AO119" s="107"/>
      <c r="AP119" s="107"/>
      <c r="AQ119" s="116">
        <v>0</v>
      </c>
      <c r="AR119" s="117">
        <v>0</v>
      </c>
    </row>
    <row r="120" spans="1:44" s="102" customFormat="1" ht="17.25" customHeight="1">
      <c r="A120" s="103" t="s">
        <v>182</v>
      </c>
      <c r="B120" s="111" t="s">
        <v>40</v>
      </c>
      <c r="C120" s="111" t="s">
        <v>130</v>
      </c>
      <c r="D120" s="107" t="s">
        <v>200</v>
      </c>
      <c r="E120" s="107">
        <v>20</v>
      </c>
      <c r="F120" s="107">
        <v>12</v>
      </c>
      <c r="G120" s="107">
        <v>1</v>
      </c>
      <c r="H120" s="107">
        <v>0</v>
      </c>
      <c r="I120" s="107">
        <v>1</v>
      </c>
      <c r="J120" s="107">
        <v>0</v>
      </c>
      <c r="K120" s="107">
        <v>0</v>
      </c>
      <c r="L120" s="107">
        <v>0</v>
      </c>
      <c r="M120" s="107">
        <v>11</v>
      </c>
      <c r="N120" s="107">
        <v>10</v>
      </c>
      <c r="O120" s="107">
        <v>10</v>
      </c>
      <c r="P120" s="107"/>
      <c r="Q120" s="107"/>
      <c r="R120" s="107"/>
      <c r="S120" s="107"/>
      <c r="T120" s="107"/>
      <c r="U120" s="314"/>
      <c r="V120" s="107"/>
      <c r="W120" s="107"/>
      <c r="X120" s="107"/>
      <c r="Y120" s="107"/>
      <c r="Z120" s="107"/>
      <c r="AA120" s="315"/>
      <c r="AB120" s="107">
        <v>375</v>
      </c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>
        <v>0.4</v>
      </c>
      <c r="AO120" s="107"/>
      <c r="AP120" s="107"/>
      <c r="AQ120" s="106">
        <v>0</v>
      </c>
      <c r="AR120" s="106">
        <v>0</v>
      </c>
    </row>
    <row r="121" spans="1:44" s="102" customFormat="1">
      <c r="A121" s="103" t="s">
        <v>182</v>
      </c>
      <c r="B121" s="414" t="s">
        <v>41</v>
      </c>
      <c r="C121" s="405"/>
      <c r="D121" s="73" t="s">
        <v>114</v>
      </c>
      <c r="E121" s="104">
        <v>105</v>
      </c>
      <c r="F121" s="104">
        <v>70</v>
      </c>
      <c r="G121" s="104">
        <v>7</v>
      </c>
      <c r="H121" s="104">
        <v>1</v>
      </c>
      <c r="I121" s="104">
        <v>5</v>
      </c>
      <c r="J121" s="104">
        <v>1</v>
      </c>
      <c r="K121" s="104">
        <v>0</v>
      </c>
      <c r="L121" s="104">
        <v>0</v>
      </c>
      <c r="M121" s="104">
        <v>63</v>
      </c>
      <c r="N121" s="104">
        <v>51</v>
      </c>
      <c r="O121" s="104">
        <v>49</v>
      </c>
      <c r="P121" s="104"/>
      <c r="Q121" s="104"/>
      <c r="R121" s="104"/>
      <c r="S121" s="104"/>
      <c r="T121" s="104"/>
      <c r="U121" s="310"/>
      <c r="V121" s="322"/>
      <c r="W121" s="322"/>
      <c r="X121" s="322"/>
      <c r="Y121" s="322"/>
      <c r="Z121" s="322"/>
      <c r="AA121" s="311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12"/>
      <c r="AQ121" s="309">
        <v>113</v>
      </c>
      <c r="AR121" s="58" t="b">
        <f t="shared" ref="AR121:AR127" si="8">EXACT(F121,AQ121)</f>
        <v>0</v>
      </c>
    </row>
    <row r="122" spans="1:44" s="102" customFormat="1">
      <c r="A122" s="103" t="s">
        <v>182</v>
      </c>
      <c r="B122" s="113" t="s">
        <v>41</v>
      </c>
      <c r="C122" s="113" t="s">
        <v>115</v>
      </c>
      <c r="D122" s="106" t="s">
        <v>122</v>
      </c>
      <c r="E122" s="107">
        <v>30</v>
      </c>
      <c r="F122" s="107">
        <v>34</v>
      </c>
      <c r="G122" s="107">
        <v>3</v>
      </c>
      <c r="H122" s="107">
        <v>1</v>
      </c>
      <c r="I122" s="107">
        <v>2</v>
      </c>
      <c r="J122" s="107">
        <v>0</v>
      </c>
      <c r="K122" s="107">
        <v>0</v>
      </c>
      <c r="L122" s="107">
        <v>0</v>
      </c>
      <c r="M122" s="107">
        <v>31</v>
      </c>
      <c r="N122" s="107">
        <v>25</v>
      </c>
      <c r="O122" s="107">
        <v>23</v>
      </c>
      <c r="P122" s="107"/>
      <c r="Q122" s="107"/>
      <c r="R122" s="107"/>
      <c r="S122" s="107"/>
      <c r="T122" s="107"/>
      <c r="U122" s="314"/>
      <c r="V122" s="107"/>
      <c r="W122" s="107"/>
      <c r="X122" s="107"/>
      <c r="Y122" s="107"/>
      <c r="Z122" s="107"/>
      <c r="AA122" s="315"/>
      <c r="AB122" s="107">
        <v>242</v>
      </c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>
        <v>-4.5</v>
      </c>
      <c r="AO122" s="107"/>
      <c r="AP122" s="108"/>
      <c r="AQ122" s="309">
        <v>19</v>
      </c>
      <c r="AR122" s="58" t="b">
        <f t="shared" si="8"/>
        <v>0</v>
      </c>
    </row>
    <row r="123" spans="1:44" s="102" customFormat="1" ht="15.75" customHeight="1">
      <c r="A123" s="109" t="s">
        <v>182</v>
      </c>
      <c r="B123" s="113" t="s">
        <v>41</v>
      </c>
      <c r="C123" s="113" t="s">
        <v>115</v>
      </c>
      <c r="D123" s="106" t="s">
        <v>201</v>
      </c>
      <c r="E123" s="107">
        <v>25</v>
      </c>
      <c r="F123" s="107">
        <v>18</v>
      </c>
      <c r="G123" s="107">
        <v>2</v>
      </c>
      <c r="H123" s="107">
        <v>0</v>
      </c>
      <c r="I123" s="107">
        <v>1</v>
      </c>
      <c r="J123" s="107">
        <v>1</v>
      </c>
      <c r="K123" s="107">
        <v>0</v>
      </c>
      <c r="L123" s="107">
        <v>0</v>
      </c>
      <c r="M123" s="107">
        <v>16</v>
      </c>
      <c r="N123" s="107">
        <v>13</v>
      </c>
      <c r="O123" s="107">
        <v>13</v>
      </c>
      <c r="P123" s="107"/>
      <c r="Q123" s="107"/>
      <c r="R123" s="107"/>
      <c r="S123" s="107"/>
      <c r="T123" s="107"/>
      <c r="U123" s="314"/>
      <c r="V123" s="107"/>
      <c r="W123" s="107"/>
      <c r="X123" s="107"/>
      <c r="Y123" s="107"/>
      <c r="Z123" s="107"/>
      <c r="AA123" s="315"/>
      <c r="AB123" s="107">
        <v>247</v>
      </c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>
        <v>6.2</v>
      </c>
      <c r="AO123" s="107"/>
      <c r="AP123" s="108"/>
      <c r="AQ123" s="309">
        <v>20</v>
      </c>
      <c r="AR123" s="58" t="b">
        <f t="shared" si="8"/>
        <v>0</v>
      </c>
    </row>
    <row r="124" spans="1:44" s="102" customFormat="1" ht="16.5" customHeight="1">
      <c r="A124" s="109" t="s">
        <v>182</v>
      </c>
      <c r="B124" s="113" t="s">
        <v>41</v>
      </c>
      <c r="C124" s="113" t="s">
        <v>115</v>
      </c>
      <c r="D124" s="106" t="s">
        <v>202</v>
      </c>
      <c r="E124" s="107">
        <v>25</v>
      </c>
      <c r="F124" s="107">
        <v>10</v>
      </c>
      <c r="G124" s="107">
        <v>1</v>
      </c>
      <c r="H124" s="107">
        <v>0</v>
      </c>
      <c r="I124" s="107">
        <v>1</v>
      </c>
      <c r="J124" s="107">
        <v>0</v>
      </c>
      <c r="K124" s="107">
        <v>0</v>
      </c>
      <c r="L124" s="107">
        <v>0</v>
      </c>
      <c r="M124" s="107">
        <v>9</v>
      </c>
      <c r="N124" s="107">
        <v>7</v>
      </c>
      <c r="O124" s="107">
        <v>7</v>
      </c>
      <c r="P124" s="107"/>
      <c r="Q124" s="107"/>
      <c r="R124" s="107"/>
      <c r="S124" s="107"/>
      <c r="T124" s="107"/>
      <c r="U124" s="314"/>
      <c r="V124" s="107"/>
      <c r="W124" s="107"/>
      <c r="X124" s="107"/>
      <c r="Y124" s="107"/>
      <c r="Z124" s="107"/>
      <c r="AA124" s="315"/>
      <c r="AB124" s="107">
        <v>338</v>
      </c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>
        <v>-2.7</v>
      </c>
      <c r="AO124" s="107"/>
      <c r="AP124" s="108"/>
      <c r="AQ124" s="309">
        <v>21</v>
      </c>
      <c r="AR124" s="58" t="b">
        <f t="shared" si="8"/>
        <v>0</v>
      </c>
    </row>
    <row r="125" spans="1:44" s="102" customFormat="1" ht="16.5" customHeight="1">
      <c r="A125" s="109" t="s">
        <v>182</v>
      </c>
      <c r="B125" s="113" t="s">
        <v>41</v>
      </c>
      <c r="C125" s="113" t="s">
        <v>115</v>
      </c>
      <c r="D125" s="106" t="s">
        <v>203</v>
      </c>
      <c r="E125" s="107">
        <v>25</v>
      </c>
      <c r="F125" s="107">
        <v>8</v>
      </c>
      <c r="G125" s="107">
        <v>1</v>
      </c>
      <c r="H125" s="107">
        <v>0</v>
      </c>
      <c r="I125" s="107">
        <v>1</v>
      </c>
      <c r="J125" s="107">
        <v>0</v>
      </c>
      <c r="K125" s="107">
        <v>0</v>
      </c>
      <c r="L125" s="107">
        <v>0</v>
      </c>
      <c r="M125" s="107">
        <v>7</v>
      </c>
      <c r="N125" s="107">
        <v>6</v>
      </c>
      <c r="O125" s="107">
        <v>6</v>
      </c>
      <c r="P125" s="107"/>
      <c r="Q125" s="107"/>
      <c r="R125" s="107"/>
      <c r="S125" s="107"/>
      <c r="T125" s="107"/>
      <c r="U125" s="314"/>
      <c r="V125" s="107"/>
      <c r="W125" s="107"/>
      <c r="X125" s="107"/>
      <c r="Y125" s="107"/>
      <c r="Z125" s="107"/>
      <c r="AA125" s="315"/>
      <c r="AB125" s="107">
        <v>240</v>
      </c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>
        <v>-4.5999999999999996</v>
      </c>
      <c r="AO125" s="107"/>
      <c r="AP125" s="108"/>
      <c r="AQ125" s="309">
        <v>22</v>
      </c>
      <c r="AR125" s="58" t="b">
        <f t="shared" si="8"/>
        <v>0</v>
      </c>
    </row>
    <row r="126" spans="1:44" ht="17.25" customHeight="1">
      <c r="A126" s="118" t="s">
        <v>204</v>
      </c>
      <c r="B126" s="426" t="s">
        <v>113</v>
      </c>
      <c r="C126" s="417"/>
      <c r="D126" s="405"/>
      <c r="E126" s="100">
        <v>857</v>
      </c>
      <c r="F126" s="100">
        <v>705</v>
      </c>
      <c r="G126" s="100">
        <v>43</v>
      </c>
      <c r="H126" s="100">
        <v>18</v>
      </c>
      <c r="I126" s="100">
        <v>21</v>
      </c>
      <c r="J126" s="100">
        <v>2</v>
      </c>
      <c r="K126" s="100">
        <v>0</v>
      </c>
      <c r="L126" s="100">
        <v>2</v>
      </c>
      <c r="M126" s="100">
        <v>662</v>
      </c>
      <c r="N126" s="100">
        <v>488</v>
      </c>
      <c r="O126" s="100">
        <v>479</v>
      </c>
      <c r="P126" s="100"/>
      <c r="Q126" s="100"/>
      <c r="R126" s="100"/>
      <c r="S126" s="100"/>
      <c r="T126" s="100"/>
      <c r="U126" s="308"/>
      <c r="V126" s="100"/>
      <c r="W126" s="100"/>
      <c r="X126" s="100"/>
      <c r="Y126" s="100"/>
      <c r="Z126" s="100"/>
      <c r="AA126" s="303"/>
      <c r="AB126" s="100">
        <v>285</v>
      </c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>
        <v>-0.3</v>
      </c>
      <c r="AO126" s="100"/>
      <c r="AP126" s="101"/>
      <c r="AQ126" s="275">
        <v>751</v>
      </c>
      <c r="AR126" s="58" t="b">
        <f t="shared" si="8"/>
        <v>0</v>
      </c>
    </row>
    <row r="127" spans="1:44">
      <c r="A127" s="62" t="s">
        <v>204</v>
      </c>
      <c r="B127" s="414" t="s">
        <v>43</v>
      </c>
      <c r="C127" s="405"/>
      <c r="D127" s="73" t="s">
        <v>114</v>
      </c>
      <c r="E127" s="104">
        <v>422</v>
      </c>
      <c r="F127" s="104">
        <v>397</v>
      </c>
      <c r="G127" s="104">
        <v>19</v>
      </c>
      <c r="H127" s="104">
        <v>10</v>
      </c>
      <c r="I127" s="104">
        <v>7</v>
      </c>
      <c r="J127" s="104">
        <v>0</v>
      </c>
      <c r="K127" s="104">
        <v>0</v>
      </c>
      <c r="L127" s="104">
        <v>2</v>
      </c>
      <c r="M127" s="104">
        <v>378</v>
      </c>
      <c r="N127" s="104">
        <v>285</v>
      </c>
      <c r="O127" s="104">
        <v>279</v>
      </c>
      <c r="P127" s="104"/>
      <c r="Q127" s="104"/>
      <c r="R127" s="104"/>
      <c r="S127" s="104"/>
      <c r="T127" s="104"/>
      <c r="U127" s="310"/>
      <c r="V127" s="322"/>
      <c r="W127" s="322"/>
      <c r="X127" s="322"/>
      <c r="Y127" s="322"/>
      <c r="Z127" s="322"/>
      <c r="AA127" s="311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12"/>
      <c r="AQ127" s="309">
        <v>397</v>
      </c>
      <c r="AR127" s="58" t="b">
        <f t="shared" si="8"/>
        <v>1</v>
      </c>
    </row>
    <row r="128" spans="1:44" ht="16.5" customHeight="1">
      <c r="A128" s="62" t="s">
        <v>204</v>
      </c>
      <c r="B128" s="76" t="s">
        <v>43</v>
      </c>
      <c r="C128" s="75" t="s">
        <v>115</v>
      </c>
      <c r="D128" s="290" t="s">
        <v>205</v>
      </c>
      <c r="E128" s="290">
        <v>30</v>
      </c>
      <c r="F128" s="290">
        <v>24</v>
      </c>
      <c r="G128" s="290">
        <v>5</v>
      </c>
      <c r="H128" s="290">
        <v>2</v>
      </c>
      <c r="I128" s="290">
        <v>3</v>
      </c>
      <c r="J128" s="290">
        <v>0</v>
      </c>
      <c r="K128" s="290">
        <v>0</v>
      </c>
      <c r="L128" s="290">
        <v>0</v>
      </c>
      <c r="M128" s="290">
        <v>19</v>
      </c>
      <c r="N128" s="290">
        <v>16</v>
      </c>
      <c r="O128" s="290">
        <v>15</v>
      </c>
      <c r="P128" s="290"/>
      <c r="Q128" s="290"/>
      <c r="R128" s="290"/>
      <c r="S128" s="290"/>
      <c r="T128" s="290"/>
      <c r="U128" s="323"/>
      <c r="V128" s="290"/>
      <c r="W128" s="290"/>
      <c r="X128" s="290"/>
      <c r="Y128" s="290"/>
      <c r="Z128" s="290"/>
      <c r="AA128" s="281"/>
      <c r="AB128" s="290">
        <v>330</v>
      </c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>
        <v>0.8</v>
      </c>
      <c r="AO128" s="290"/>
      <c r="AP128" s="290"/>
      <c r="AQ128" s="290">
        <v>0</v>
      </c>
      <c r="AR128" s="290">
        <v>0</v>
      </c>
    </row>
    <row r="129" spans="1:44" ht="16.5" customHeight="1">
      <c r="A129" s="62" t="s">
        <v>204</v>
      </c>
      <c r="B129" s="76" t="s">
        <v>43</v>
      </c>
      <c r="C129" s="75" t="s">
        <v>115</v>
      </c>
      <c r="D129" s="290" t="s">
        <v>206</v>
      </c>
      <c r="E129" s="290">
        <v>30</v>
      </c>
      <c r="F129" s="290">
        <v>37</v>
      </c>
      <c r="G129" s="290">
        <v>1</v>
      </c>
      <c r="H129" s="290">
        <v>1</v>
      </c>
      <c r="I129" s="290">
        <v>0</v>
      </c>
      <c r="J129" s="290">
        <v>0</v>
      </c>
      <c r="K129" s="290">
        <v>0</v>
      </c>
      <c r="L129" s="290">
        <v>0</v>
      </c>
      <c r="M129" s="290">
        <v>36</v>
      </c>
      <c r="N129" s="290">
        <v>24</v>
      </c>
      <c r="O129" s="290">
        <v>24</v>
      </c>
      <c r="P129" s="290"/>
      <c r="Q129" s="290"/>
      <c r="R129" s="290"/>
      <c r="S129" s="290"/>
      <c r="T129" s="290"/>
      <c r="U129" s="323"/>
      <c r="V129" s="290"/>
      <c r="W129" s="290"/>
      <c r="X129" s="290"/>
      <c r="Y129" s="290"/>
      <c r="Z129" s="290"/>
      <c r="AA129" s="281"/>
      <c r="AB129" s="290">
        <v>36</v>
      </c>
      <c r="AC129" s="290"/>
      <c r="AD129" s="290"/>
      <c r="AE129" s="290"/>
      <c r="AF129" s="290"/>
      <c r="AG129" s="290"/>
      <c r="AH129" s="290"/>
      <c r="AI129" s="290"/>
      <c r="AJ129" s="290"/>
      <c r="AK129" s="290"/>
      <c r="AL129" s="290"/>
      <c r="AM129" s="290"/>
      <c r="AN129" s="290">
        <v>3.3</v>
      </c>
      <c r="AO129" s="290"/>
      <c r="AP129" s="290"/>
      <c r="AQ129" s="290">
        <v>0</v>
      </c>
      <c r="AR129" s="290">
        <v>0</v>
      </c>
    </row>
    <row r="130" spans="1:44" ht="16.5" customHeight="1">
      <c r="A130" s="62" t="s">
        <v>204</v>
      </c>
      <c r="B130" s="76" t="s">
        <v>43</v>
      </c>
      <c r="C130" s="75" t="s">
        <v>115</v>
      </c>
      <c r="D130" s="290" t="s">
        <v>207</v>
      </c>
      <c r="E130" s="290">
        <v>60</v>
      </c>
      <c r="F130" s="290">
        <v>58</v>
      </c>
      <c r="G130" s="290">
        <v>8</v>
      </c>
      <c r="H130" s="290">
        <v>6</v>
      </c>
      <c r="I130" s="290">
        <v>1</v>
      </c>
      <c r="J130" s="290">
        <v>0</v>
      </c>
      <c r="K130" s="290">
        <v>0</v>
      </c>
      <c r="L130" s="290">
        <v>1</v>
      </c>
      <c r="M130" s="290">
        <v>50</v>
      </c>
      <c r="N130" s="290">
        <v>43</v>
      </c>
      <c r="O130" s="290">
        <v>41</v>
      </c>
      <c r="P130" s="290"/>
      <c r="Q130" s="290"/>
      <c r="R130" s="290"/>
      <c r="S130" s="290"/>
      <c r="T130" s="290"/>
      <c r="U130" s="323"/>
      <c r="V130" s="290"/>
      <c r="W130" s="290"/>
      <c r="X130" s="290"/>
      <c r="Y130" s="290"/>
      <c r="Z130" s="290"/>
      <c r="AA130" s="281"/>
      <c r="AB130" s="290">
        <v>407</v>
      </c>
      <c r="AC130" s="290"/>
      <c r="AD130" s="290"/>
      <c r="AE130" s="290"/>
      <c r="AF130" s="290"/>
      <c r="AG130" s="290"/>
      <c r="AH130" s="290"/>
      <c r="AI130" s="290"/>
      <c r="AJ130" s="290"/>
      <c r="AK130" s="290"/>
      <c r="AL130" s="290"/>
      <c r="AM130" s="290"/>
      <c r="AN130" s="290">
        <v>-0.2</v>
      </c>
      <c r="AO130" s="290"/>
      <c r="AP130" s="290"/>
      <c r="AQ130" s="290">
        <v>0</v>
      </c>
      <c r="AR130" s="290">
        <v>0</v>
      </c>
    </row>
    <row r="131" spans="1:44" ht="16.5" customHeight="1">
      <c r="A131" s="62" t="s">
        <v>204</v>
      </c>
      <c r="B131" s="76" t="s">
        <v>43</v>
      </c>
      <c r="C131" s="75" t="s">
        <v>115</v>
      </c>
      <c r="D131" s="290" t="s">
        <v>116</v>
      </c>
      <c r="E131" s="290">
        <v>30</v>
      </c>
      <c r="F131" s="290">
        <v>30</v>
      </c>
      <c r="G131" s="290">
        <v>0</v>
      </c>
      <c r="H131" s="290">
        <v>0</v>
      </c>
      <c r="I131" s="290">
        <v>0</v>
      </c>
      <c r="J131" s="290">
        <v>0</v>
      </c>
      <c r="K131" s="290">
        <v>0</v>
      </c>
      <c r="L131" s="290">
        <v>0</v>
      </c>
      <c r="M131" s="290">
        <v>30</v>
      </c>
      <c r="N131" s="290">
        <v>29</v>
      </c>
      <c r="O131" s="290">
        <v>29</v>
      </c>
      <c r="P131" s="290"/>
      <c r="Q131" s="290"/>
      <c r="R131" s="290"/>
      <c r="S131" s="290"/>
      <c r="T131" s="290"/>
      <c r="U131" s="323"/>
      <c r="V131" s="290"/>
      <c r="W131" s="290"/>
      <c r="X131" s="290"/>
      <c r="Y131" s="290"/>
      <c r="Z131" s="290"/>
      <c r="AA131" s="281"/>
      <c r="AB131" s="290">
        <v>160</v>
      </c>
      <c r="AC131" s="290"/>
      <c r="AD131" s="290"/>
      <c r="AE131" s="290"/>
      <c r="AF131" s="290"/>
      <c r="AG131" s="290"/>
      <c r="AH131" s="290"/>
      <c r="AI131" s="290"/>
      <c r="AJ131" s="290"/>
      <c r="AK131" s="290"/>
      <c r="AL131" s="290"/>
      <c r="AM131" s="290"/>
      <c r="AN131" s="290">
        <v>-3.5</v>
      </c>
      <c r="AO131" s="290"/>
      <c r="AP131" s="290"/>
      <c r="AQ131" s="290">
        <v>0</v>
      </c>
      <c r="AR131" s="290">
        <v>0</v>
      </c>
    </row>
    <row r="132" spans="1:44" ht="16.5" customHeight="1">
      <c r="A132" s="62" t="s">
        <v>204</v>
      </c>
      <c r="B132" s="76" t="s">
        <v>43</v>
      </c>
      <c r="C132" s="75" t="s">
        <v>115</v>
      </c>
      <c r="D132" s="290" t="s">
        <v>156</v>
      </c>
      <c r="E132" s="290">
        <v>25</v>
      </c>
      <c r="F132" s="290">
        <v>28</v>
      </c>
      <c r="G132" s="290">
        <v>2</v>
      </c>
      <c r="H132" s="290">
        <v>0</v>
      </c>
      <c r="I132" s="290">
        <v>1</v>
      </c>
      <c r="J132" s="290">
        <v>0</v>
      </c>
      <c r="K132" s="290">
        <v>0</v>
      </c>
      <c r="L132" s="290">
        <v>1</v>
      </c>
      <c r="M132" s="290">
        <v>26</v>
      </c>
      <c r="N132" s="290">
        <v>21</v>
      </c>
      <c r="O132" s="290">
        <v>20</v>
      </c>
      <c r="P132" s="290"/>
      <c r="Q132" s="290"/>
      <c r="R132" s="290"/>
      <c r="S132" s="290"/>
      <c r="T132" s="290"/>
      <c r="U132" s="323"/>
      <c r="V132" s="290"/>
      <c r="W132" s="290"/>
      <c r="X132" s="290"/>
      <c r="Y132" s="290"/>
      <c r="Z132" s="290"/>
      <c r="AA132" s="281"/>
      <c r="AB132" s="290">
        <v>268</v>
      </c>
      <c r="AC132" s="290"/>
      <c r="AD132" s="290"/>
      <c r="AE132" s="290"/>
      <c r="AF132" s="290"/>
      <c r="AG132" s="290"/>
      <c r="AH132" s="290"/>
      <c r="AI132" s="290"/>
      <c r="AJ132" s="290"/>
      <c r="AK132" s="290"/>
      <c r="AL132" s="290"/>
      <c r="AM132" s="290"/>
      <c r="AN132" s="290">
        <v>1.1000000000000001</v>
      </c>
      <c r="AO132" s="290"/>
      <c r="AP132" s="290"/>
      <c r="AQ132" s="290">
        <v>0</v>
      </c>
      <c r="AR132" s="290">
        <v>0</v>
      </c>
    </row>
    <row r="133" spans="1:44" ht="16.5" customHeight="1">
      <c r="A133" s="62" t="s">
        <v>204</v>
      </c>
      <c r="B133" s="76" t="s">
        <v>43</v>
      </c>
      <c r="C133" s="75" t="s">
        <v>115</v>
      </c>
      <c r="D133" s="290" t="s">
        <v>122</v>
      </c>
      <c r="E133" s="290">
        <v>60</v>
      </c>
      <c r="F133" s="290">
        <v>70</v>
      </c>
      <c r="G133" s="290">
        <v>2</v>
      </c>
      <c r="H133" s="290">
        <v>1</v>
      </c>
      <c r="I133" s="290">
        <v>1</v>
      </c>
      <c r="J133" s="290">
        <v>0</v>
      </c>
      <c r="K133" s="290">
        <v>0</v>
      </c>
      <c r="L133" s="290">
        <v>0</v>
      </c>
      <c r="M133" s="290">
        <v>68</v>
      </c>
      <c r="N133" s="290">
        <v>46</v>
      </c>
      <c r="O133" s="290">
        <v>45</v>
      </c>
      <c r="P133" s="290"/>
      <c r="Q133" s="290"/>
      <c r="R133" s="290"/>
      <c r="S133" s="290"/>
      <c r="T133" s="290"/>
      <c r="U133" s="323"/>
      <c r="V133" s="290"/>
      <c r="W133" s="290"/>
      <c r="X133" s="290"/>
      <c r="Y133" s="290"/>
      <c r="Z133" s="290"/>
      <c r="AA133" s="281"/>
      <c r="AB133" s="290">
        <v>419</v>
      </c>
      <c r="AC133" s="290"/>
      <c r="AD133" s="290"/>
      <c r="AE133" s="290"/>
      <c r="AF133" s="290"/>
      <c r="AG133" s="290"/>
      <c r="AH133" s="290"/>
      <c r="AI133" s="290"/>
      <c r="AJ133" s="290"/>
      <c r="AK133" s="290"/>
      <c r="AL133" s="290"/>
      <c r="AM133" s="290"/>
      <c r="AN133" s="290">
        <v>4.4000000000000004</v>
      </c>
      <c r="AO133" s="290"/>
      <c r="AP133" s="290"/>
      <c r="AQ133" s="290">
        <v>0</v>
      </c>
      <c r="AR133" s="290">
        <v>0</v>
      </c>
    </row>
    <row r="134" spans="1:44" ht="16.5" customHeight="1">
      <c r="A134" s="62" t="s">
        <v>204</v>
      </c>
      <c r="B134" s="76" t="s">
        <v>43</v>
      </c>
      <c r="C134" s="75" t="s">
        <v>115</v>
      </c>
      <c r="D134" s="290" t="s">
        <v>153</v>
      </c>
      <c r="E134" s="290">
        <v>60</v>
      </c>
      <c r="F134" s="290">
        <v>58</v>
      </c>
      <c r="G134" s="290">
        <v>0</v>
      </c>
      <c r="H134" s="290">
        <v>0</v>
      </c>
      <c r="I134" s="290">
        <v>0</v>
      </c>
      <c r="J134" s="290">
        <v>0</v>
      </c>
      <c r="K134" s="290">
        <v>0</v>
      </c>
      <c r="L134" s="290">
        <v>0</v>
      </c>
      <c r="M134" s="290">
        <v>58</v>
      </c>
      <c r="N134" s="290">
        <v>37</v>
      </c>
      <c r="O134" s="290">
        <v>37</v>
      </c>
      <c r="P134" s="290"/>
      <c r="Q134" s="290"/>
      <c r="R134" s="290"/>
      <c r="S134" s="290"/>
      <c r="T134" s="290"/>
      <c r="U134" s="323"/>
      <c r="V134" s="290"/>
      <c r="W134" s="290"/>
      <c r="X134" s="290"/>
      <c r="Y134" s="290"/>
      <c r="Z134" s="290"/>
      <c r="AA134" s="281"/>
      <c r="AB134" s="290">
        <v>458</v>
      </c>
      <c r="AC134" s="290"/>
      <c r="AD134" s="290"/>
      <c r="AE134" s="290"/>
      <c r="AF134" s="290"/>
      <c r="AG134" s="290"/>
      <c r="AH134" s="290"/>
      <c r="AI134" s="290"/>
      <c r="AJ134" s="290"/>
      <c r="AK134" s="290"/>
      <c r="AL134" s="290"/>
      <c r="AM134" s="290"/>
      <c r="AN134" s="290">
        <v>-2.1</v>
      </c>
      <c r="AO134" s="290"/>
      <c r="AP134" s="290"/>
      <c r="AQ134" s="290">
        <v>0</v>
      </c>
      <c r="AR134" s="290">
        <v>0</v>
      </c>
    </row>
    <row r="135" spans="1:44" ht="16.5" customHeight="1">
      <c r="A135" s="62" t="s">
        <v>204</v>
      </c>
      <c r="B135" s="76" t="s">
        <v>43</v>
      </c>
      <c r="C135" s="75" t="s">
        <v>115</v>
      </c>
      <c r="D135" s="290" t="s">
        <v>187</v>
      </c>
      <c r="E135" s="290">
        <v>30</v>
      </c>
      <c r="F135" s="290">
        <v>13</v>
      </c>
      <c r="G135" s="290">
        <v>0</v>
      </c>
      <c r="H135" s="290">
        <v>0</v>
      </c>
      <c r="I135" s="290">
        <v>0</v>
      </c>
      <c r="J135" s="290">
        <v>0</v>
      </c>
      <c r="K135" s="290">
        <v>0</v>
      </c>
      <c r="L135" s="290">
        <v>0</v>
      </c>
      <c r="M135" s="290">
        <v>13</v>
      </c>
      <c r="N135" s="290">
        <v>10</v>
      </c>
      <c r="O135" s="290">
        <v>10</v>
      </c>
      <c r="P135" s="290"/>
      <c r="Q135" s="290"/>
      <c r="R135" s="290"/>
      <c r="S135" s="290"/>
      <c r="T135" s="290"/>
      <c r="U135" s="323"/>
      <c r="V135" s="290"/>
      <c r="W135" s="290"/>
      <c r="X135" s="290"/>
      <c r="Y135" s="290"/>
      <c r="Z135" s="290"/>
      <c r="AA135" s="281"/>
      <c r="AB135" s="290">
        <v>13</v>
      </c>
      <c r="AC135" s="290"/>
      <c r="AD135" s="290"/>
      <c r="AE135" s="290"/>
      <c r="AF135" s="290"/>
      <c r="AG135" s="290"/>
      <c r="AH135" s="290"/>
      <c r="AI135" s="290"/>
      <c r="AJ135" s="290"/>
      <c r="AK135" s="290"/>
      <c r="AL135" s="290"/>
      <c r="AM135" s="290"/>
      <c r="AN135" s="290">
        <v>3.7</v>
      </c>
      <c r="AO135" s="290"/>
      <c r="AP135" s="290"/>
      <c r="AQ135" s="290">
        <v>0</v>
      </c>
      <c r="AR135" s="290">
        <v>0</v>
      </c>
    </row>
    <row r="136" spans="1:44" ht="16.5" customHeight="1">
      <c r="A136" s="62" t="s">
        <v>204</v>
      </c>
      <c r="B136" s="76" t="s">
        <v>43</v>
      </c>
      <c r="C136" s="75" t="s">
        <v>115</v>
      </c>
      <c r="D136" s="290" t="s">
        <v>208</v>
      </c>
      <c r="E136" s="290">
        <v>60</v>
      </c>
      <c r="F136" s="290">
        <v>51</v>
      </c>
      <c r="G136" s="290">
        <v>0</v>
      </c>
      <c r="H136" s="290">
        <v>0</v>
      </c>
      <c r="I136" s="290">
        <v>0</v>
      </c>
      <c r="J136" s="290">
        <v>0</v>
      </c>
      <c r="K136" s="290">
        <v>0</v>
      </c>
      <c r="L136" s="290">
        <v>0</v>
      </c>
      <c r="M136" s="290">
        <v>51</v>
      </c>
      <c r="N136" s="290">
        <v>35</v>
      </c>
      <c r="O136" s="290">
        <v>34</v>
      </c>
      <c r="P136" s="290"/>
      <c r="Q136" s="290"/>
      <c r="R136" s="290"/>
      <c r="S136" s="290"/>
      <c r="T136" s="290"/>
      <c r="U136" s="323"/>
      <c r="V136" s="290"/>
      <c r="W136" s="290"/>
      <c r="X136" s="290"/>
      <c r="Y136" s="290"/>
      <c r="Z136" s="290"/>
      <c r="AA136" s="281"/>
      <c r="AB136" s="290">
        <v>414</v>
      </c>
      <c r="AC136" s="290"/>
      <c r="AD136" s="290"/>
      <c r="AE136" s="290"/>
      <c r="AF136" s="290"/>
      <c r="AG136" s="290"/>
      <c r="AH136" s="290"/>
      <c r="AI136" s="290"/>
      <c r="AJ136" s="290"/>
      <c r="AK136" s="290"/>
      <c r="AL136" s="290"/>
      <c r="AM136" s="290"/>
      <c r="AN136" s="290">
        <v>5.5</v>
      </c>
      <c r="AO136" s="290"/>
      <c r="AP136" s="290"/>
      <c r="AQ136" s="290">
        <v>0</v>
      </c>
      <c r="AR136" s="290">
        <v>0</v>
      </c>
    </row>
    <row r="137" spans="1:44" ht="16.5" customHeight="1">
      <c r="A137" s="62" t="s">
        <v>204</v>
      </c>
      <c r="B137" s="76" t="s">
        <v>43</v>
      </c>
      <c r="C137" s="76" t="s">
        <v>130</v>
      </c>
      <c r="D137" s="107" t="s">
        <v>209</v>
      </c>
      <c r="E137" s="107">
        <v>37</v>
      </c>
      <c r="F137" s="107">
        <v>28</v>
      </c>
      <c r="G137" s="107">
        <v>1</v>
      </c>
      <c r="H137" s="107">
        <v>0</v>
      </c>
      <c r="I137" s="107">
        <v>1</v>
      </c>
      <c r="J137" s="107">
        <v>0</v>
      </c>
      <c r="K137" s="107">
        <v>0</v>
      </c>
      <c r="L137" s="107">
        <v>0</v>
      </c>
      <c r="M137" s="107">
        <v>27</v>
      </c>
      <c r="N137" s="107">
        <v>24</v>
      </c>
      <c r="O137" s="107">
        <v>24</v>
      </c>
      <c r="P137" s="107"/>
      <c r="Q137" s="107"/>
      <c r="R137" s="107"/>
      <c r="S137" s="107"/>
      <c r="T137" s="107"/>
      <c r="U137" s="314"/>
      <c r="V137" s="107"/>
      <c r="W137" s="107"/>
      <c r="X137" s="107"/>
      <c r="Y137" s="107"/>
      <c r="Z137" s="107"/>
      <c r="AA137" s="315"/>
      <c r="AB137" s="107">
        <v>331</v>
      </c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>
        <v>5.2</v>
      </c>
      <c r="AO137" s="107"/>
      <c r="AP137" s="107"/>
      <c r="AQ137" s="275"/>
      <c r="AR137" s="58"/>
    </row>
    <row r="138" spans="1:44">
      <c r="A138" s="62" t="s">
        <v>210</v>
      </c>
      <c r="B138" s="404" t="s">
        <v>211</v>
      </c>
      <c r="C138" s="405"/>
      <c r="D138" s="73" t="s">
        <v>114</v>
      </c>
      <c r="E138" s="74">
        <v>253</v>
      </c>
      <c r="F138" s="74">
        <v>193</v>
      </c>
      <c r="G138" s="74">
        <v>11</v>
      </c>
      <c r="H138" s="74">
        <v>2</v>
      </c>
      <c r="I138" s="74">
        <v>8</v>
      </c>
      <c r="J138" s="74">
        <v>1</v>
      </c>
      <c r="K138" s="74">
        <v>0</v>
      </c>
      <c r="L138" s="74">
        <v>0</v>
      </c>
      <c r="M138" s="74">
        <v>182</v>
      </c>
      <c r="N138" s="74">
        <v>126</v>
      </c>
      <c r="O138" s="74">
        <v>123</v>
      </c>
      <c r="P138" s="74"/>
      <c r="Q138" s="74"/>
      <c r="R138" s="74"/>
      <c r="S138" s="74"/>
      <c r="T138" s="74"/>
      <c r="U138" s="287"/>
      <c r="V138" s="74"/>
      <c r="W138" s="74"/>
      <c r="X138" s="74"/>
      <c r="Y138" s="74"/>
      <c r="Z138" s="74"/>
      <c r="AA138" s="288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>
        <f>SUM(AQ139:AQ144)</f>
        <v>110</v>
      </c>
      <c r="AR138" s="74">
        <f>SUM(AR139:AR144)</f>
        <v>0</v>
      </c>
    </row>
    <row r="139" spans="1:44" ht="15.75" customHeight="1">
      <c r="A139" s="62" t="s">
        <v>210</v>
      </c>
      <c r="B139" s="76" t="s">
        <v>44</v>
      </c>
      <c r="C139" s="76" t="s">
        <v>115</v>
      </c>
      <c r="D139" s="68" t="s">
        <v>155</v>
      </c>
      <c r="E139" s="69">
        <v>60</v>
      </c>
      <c r="F139" s="69">
        <v>46</v>
      </c>
      <c r="G139" s="69">
        <v>1</v>
      </c>
      <c r="H139" s="69">
        <v>0</v>
      </c>
      <c r="I139" s="69">
        <v>1</v>
      </c>
      <c r="J139" s="69">
        <v>0</v>
      </c>
      <c r="K139" s="69">
        <v>0</v>
      </c>
      <c r="L139" s="69">
        <v>0</v>
      </c>
      <c r="M139" s="69">
        <v>45</v>
      </c>
      <c r="N139" s="69">
        <v>32</v>
      </c>
      <c r="O139" s="69">
        <v>32</v>
      </c>
      <c r="P139" s="69"/>
      <c r="Q139" s="69"/>
      <c r="R139" s="69"/>
      <c r="S139" s="69"/>
      <c r="T139" s="69"/>
      <c r="U139" s="296"/>
      <c r="V139" s="69"/>
      <c r="W139" s="69"/>
      <c r="X139" s="69"/>
      <c r="Y139" s="69"/>
      <c r="Z139" s="69"/>
      <c r="AA139" s="284"/>
      <c r="AB139" s="69">
        <v>482</v>
      </c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>
        <v>-4.9000000000000004</v>
      </c>
      <c r="AO139" s="69"/>
      <c r="AP139" s="70"/>
      <c r="AQ139" s="275">
        <v>20</v>
      </c>
      <c r="AR139" s="58" t="b">
        <f>EXACT(F139,AQ139)</f>
        <v>0</v>
      </c>
    </row>
    <row r="140" spans="1:44" ht="16.5" customHeight="1">
      <c r="A140" s="62" t="s">
        <v>210</v>
      </c>
      <c r="B140" s="76" t="s">
        <v>44</v>
      </c>
      <c r="C140" s="76" t="s">
        <v>115</v>
      </c>
      <c r="D140" s="68" t="s">
        <v>143</v>
      </c>
      <c r="E140" s="69">
        <v>60</v>
      </c>
      <c r="F140" s="69">
        <v>68</v>
      </c>
      <c r="G140" s="69">
        <v>4</v>
      </c>
      <c r="H140" s="69">
        <v>2</v>
      </c>
      <c r="I140" s="69">
        <v>2</v>
      </c>
      <c r="J140" s="69">
        <v>0</v>
      </c>
      <c r="K140" s="69">
        <v>0</v>
      </c>
      <c r="L140" s="69">
        <v>0</v>
      </c>
      <c r="M140" s="69">
        <v>64</v>
      </c>
      <c r="N140" s="69">
        <v>42</v>
      </c>
      <c r="O140" s="69">
        <v>41</v>
      </c>
      <c r="P140" s="69"/>
      <c r="Q140" s="69"/>
      <c r="R140" s="69"/>
      <c r="S140" s="69"/>
      <c r="T140" s="69"/>
      <c r="U140" s="296"/>
      <c r="V140" s="69"/>
      <c r="W140" s="69"/>
      <c r="X140" s="69"/>
      <c r="Y140" s="69"/>
      <c r="Z140" s="69"/>
      <c r="AA140" s="284"/>
      <c r="AB140" s="69">
        <v>353</v>
      </c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>
        <v>7.9</v>
      </c>
      <c r="AO140" s="69"/>
      <c r="AP140" s="70"/>
      <c r="AQ140" s="275">
        <v>21</v>
      </c>
      <c r="AR140" s="58" t="b">
        <f>EXACT(F140,AQ140)</f>
        <v>0</v>
      </c>
    </row>
    <row r="141" spans="1:44" ht="16.5" customHeight="1">
      <c r="A141" s="62" t="s">
        <v>210</v>
      </c>
      <c r="B141" s="76" t="s">
        <v>44</v>
      </c>
      <c r="C141" s="76" t="s">
        <v>115</v>
      </c>
      <c r="D141" s="68" t="s">
        <v>153</v>
      </c>
      <c r="E141" s="69">
        <v>60</v>
      </c>
      <c r="F141" s="69">
        <v>32</v>
      </c>
      <c r="G141" s="69">
        <v>1</v>
      </c>
      <c r="H141" s="69">
        <v>0</v>
      </c>
      <c r="I141" s="69">
        <v>0</v>
      </c>
      <c r="J141" s="69">
        <v>1</v>
      </c>
      <c r="K141" s="69">
        <v>0</v>
      </c>
      <c r="L141" s="69">
        <v>0</v>
      </c>
      <c r="M141" s="69">
        <v>31</v>
      </c>
      <c r="N141" s="69">
        <v>18</v>
      </c>
      <c r="O141" s="69">
        <v>17</v>
      </c>
      <c r="P141" s="69"/>
      <c r="Q141" s="69"/>
      <c r="R141" s="69"/>
      <c r="S141" s="69"/>
      <c r="T141" s="69"/>
      <c r="U141" s="296"/>
      <c r="V141" s="69"/>
      <c r="W141" s="69"/>
      <c r="X141" s="69"/>
      <c r="Y141" s="69"/>
      <c r="Z141" s="69"/>
      <c r="AA141" s="284"/>
      <c r="AB141" s="69">
        <v>213</v>
      </c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>
        <v>0.3</v>
      </c>
      <c r="AO141" s="69"/>
      <c r="AP141" s="70"/>
      <c r="AQ141" s="275">
        <v>22</v>
      </c>
      <c r="AR141" s="58" t="b">
        <f>EXACT(F141,AQ141)</f>
        <v>0</v>
      </c>
    </row>
    <row r="142" spans="1:44" ht="16.5" customHeight="1">
      <c r="A142" s="62" t="s">
        <v>210</v>
      </c>
      <c r="B142" s="76" t="s">
        <v>44</v>
      </c>
      <c r="C142" s="76" t="s">
        <v>115</v>
      </c>
      <c r="D142" s="68" t="s">
        <v>212</v>
      </c>
      <c r="E142" s="69">
        <v>30</v>
      </c>
      <c r="F142" s="69">
        <v>18</v>
      </c>
      <c r="G142" s="69">
        <v>1</v>
      </c>
      <c r="H142" s="69">
        <v>0</v>
      </c>
      <c r="I142" s="69">
        <v>1</v>
      </c>
      <c r="J142" s="69">
        <v>0</v>
      </c>
      <c r="K142" s="69">
        <v>0</v>
      </c>
      <c r="L142" s="69">
        <v>0</v>
      </c>
      <c r="M142" s="69">
        <v>17</v>
      </c>
      <c r="N142" s="69">
        <v>15</v>
      </c>
      <c r="O142" s="69">
        <v>14</v>
      </c>
      <c r="P142" s="69"/>
      <c r="Q142" s="69"/>
      <c r="R142" s="69"/>
      <c r="S142" s="69"/>
      <c r="T142" s="69"/>
      <c r="U142" s="296"/>
      <c r="V142" s="69"/>
      <c r="W142" s="69"/>
      <c r="X142" s="69"/>
      <c r="Y142" s="69"/>
      <c r="Z142" s="69"/>
      <c r="AA142" s="284"/>
      <c r="AB142" s="69">
        <v>303</v>
      </c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>
        <v>5.8</v>
      </c>
      <c r="AO142" s="69"/>
      <c r="AP142" s="70"/>
      <c r="AQ142" s="275">
        <v>23</v>
      </c>
      <c r="AR142" s="58" t="b">
        <f>EXACT(F142,AQ142)</f>
        <v>0</v>
      </c>
    </row>
    <row r="143" spans="1:44" ht="16.5" customHeight="1">
      <c r="A143" s="62" t="s">
        <v>210</v>
      </c>
      <c r="B143" s="76" t="s">
        <v>44</v>
      </c>
      <c r="C143" s="76" t="s">
        <v>115</v>
      </c>
      <c r="D143" s="68" t="s">
        <v>213</v>
      </c>
      <c r="E143" s="69">
        <v>30</v>
      </c>
      <c r="F143" s="69">
        <v>17</v>
      </c>
      <c r="G143" s="69">
        <v>1</v>
      </c>
      <c r="H143" s="69">
        <v>0</v>
      </c>
      <c r="I143" s="69">
        <v>1</v>
      </c>
      <c r="J143" s="69">
        <v>0</v>
      </c>
      <c r="K143" s="69">
        <v>0</v>
      </c>
      <c r="L143" s="69">
        <v>0</v>
      </c>
      <c r="M143" s="69">
        <v>16</v>
      </c>
      <c r="N143" s="69">
        <v>12</v>
      </c>
      <c r="O143" s="69">
        <v>12</v>
      </c>
      <c r="P143" s="69"/>
      <c r="Q143" s="69"/>
      <c r="R143" s="69"/>
      <c r="S143" s="69"/>
      <c r="T143" s="69"/>
      <c r="U143" s="296"/>
      <c r="V143" s="69"/>
      <c r="W143" s="69"/>
      <c r="X143" s="69"/>
      <c r="Y143" s="69"/>
      <c r="Z143" s="69"/>
      <c r="AA143" s="284"/>
      <c r="AB143" s="69">
        <v>366</v>
      </c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>
        <v>6.6</v>
      </c>
      <c r="AO143" s="69"/>
      <c r="AP143" s="70"/>
      <c r="AQ143" s="275">
        <v>24</v>
      </c>
      <c r="AR143" s="58" t="b">
        <f>EXACT(F143,AQ143)</f>
        <v>0</v>
      </c>
    </row>
    <row r="144" spans="1:44" ht="16.5" customHeight="1">
      <c r="A144" s="62" t="s">
        <v>210</v>
      </c>
      <c r="B144" s="76" t="s">
        <v>44</v>
      </c>
      <c r="C144" s="76" t="s">
        <v>130</v>
      </c>
      <c r="D144" s="119" t="s">
        <v>168</v>
      </c>
      <c r="E144" s="120">
        <v>13</v>
      </c>
      <c r="F144" s="120">
        <v>12</v>
      </c>
      <c r="G144" s="120">
        <v>3</v>
      </c>
      <c r="H144" s="120">
        <v>0</v>
      </c>
      <c r="I144" s="120">
        <v>3</v>
      </c>
      <c r="J144" s="120">
        <v>0</v>
      </c>
      <c r="K144" s="120">
        <v>0</v>
      </c>
      <c r="L144" s="120">
        <v>0</v>
      </c>
      <c r="M144" s="120">
        <v>9</v>
      </c>
      <c r="N144" s="120">
        <v>7</v>
      </c>
      <c r="O144" s="120">
        <v>7</v>
      </c>
      <c r="P144" s="120"/>
      <c r="Q144" s="120"/>
      <c r="R144" s="120"/>
      <c r="S144" s="120"/>
      <c r="T144" s="120"/>
      <c r="U144" s="319"/>
      <c r="V144" s="120"/>
      <c r="W144" s="120"/>
      <c r="X144" s="120"/>
      <c r="Y144" s="120"/>
      <c r="Z144" s="120"/>
      <c r="AA144" s="320"/>
      <c r="AB144" s="120">
        <v>122</v>
      </c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>
        <v>-1.1000000000000001</v>
      </c>
      <c r="AO144" s="120"/>
      <c r="AP144" s="120"/>
      <c r="AQ144" s="275"/>
      <c r="AR144" s="58"/>
    </row>
    <row r="145" spans="1:44">
      <c r="A145" s="62" t="s">
        <v>42</v>
      </c>
      <c r="B145" s="406" t="s">
        <v>214</v>
      </c>
      <c r="C145" s="405"/>
      <c r="D145" s="73" t="s">
        <v>114</v>
      </c>
      <c r="E145" s="74">
        <v>111</v>
      </c>
      <c r="F145" s="74">
        <v>60</v>
      </c>
      <c r="G145" s="74">
        <v>4</v>
      </c>
      <c r="H145" s="74">
        <v>2</v>
      </c>
      <c r="I145" s="74">
        <v>1</v>
      </c>
      <c r="J145" s="74">
        <v>1</v>
      </c>
      <c r="K145" s="74">
        <v>0</v>
      </c>
      <c r="L145" s="74">
        <v>0</v>
      </c>
      <c r="M145" s="74">
        <v>56</v>
      </c>
      <c r="N145" s="74">
        <v>39</v>
      </c>
      <c r="O145" s="74">
        <v>39</v>
      </c>
      <c r="P145" s="74"/>
      <c r="Q145" s="74"/>
      <c r="R145" s="74"/>
      <c r="S145" s="74"/>
      <c r="T145" s="74"/>
      <c r="U145" s="287"/>
      <c r="V145" s="74"/>
      <c r="W145" s="74"/>
      <c r="X145" s="74"/>
      <c r="Y145" s="74"/>
      <c r="Z145" s="74"/>
      <c r="AA145" s="288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294"/>
      <c r="AO145" s="294"/>
      <c r="AP145" s="295"/>
      <c r="AQ145" s="275">
        <v>93</v>
      </c>
      <c r="AR145" s="58" t="b">
        <f>EXACT(F145,AQ145)</f>
        <v>0</v>
      </c>
    </row>
    <row r="146" spans="1:44" ht="16.5" customHeight="1">
      <c r="A146" s="62" t="s">
        <v>42</v>
      </c>
      <c r="B146" s="76" t="s">
        <v>45</v>
      </c>
      <c r="C146" s="76" t="s">
        <v>115</v>
      </c>
      <c r="D146" s="68" t="s">
        <v>155</v>
      </c>
      <c r="E146" s="69">
        <v>25</v>
      </c>
      <c r="F146" s="69">
        <v>8</v>
      </c>
      <c r="G146" s="69">
        <v>0</v>
      </c>
      <c r="H146" s="69">
        <v>0</v>
      </c>
      <c r="I146" s="69">
        <v>0</v>
      </c>
      <c r="J146" s="69">
        <v>0</v>
      </c>
      <c r="K146" s="69">
        <v>0</v>
      </c>
      <c r="L146" s="69">
        <v>0</v>
      </c>
      <c r="M146" s="69">
        <v>8</v>
      </c>
      <c r="N146" s="69">
        <v>4</v>
      </c>
      <c r="O146" s="69">
        <v>4</v>
      </c>
      <c r="P146" s="69"/>
      <c r="Q146" s="69"/>
      <c r="R146" s="69"/>
      <c r="S146" s="69"/>
      <c r="T146" s="69"/>
      <c r="U146" s="296"/>
      <c r="V146" s="69"/>
      <c r="W146" s="69"/>
      <c r="X146" s="69"/>
      <c r="Y146" s="69"/>
      <c r="Z146" s="69"/>
      <c r="AA146" s="284"/>
      <c r="AB146" s="69">
        <v>41</v>
      </c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>
        <v>1.9</v>
      </c>
      <c r="AO146" s="69"/>
      <c r="AP146" s="70"/>
      <c r="AQ146" s="275">
        <v>20</v>
      </c>
      <c r="AR146" s="58" t="b">
        <f>EXACT(F146,AQ146)</f>
        <v>0</v>
      </c>
    </row>
    <row r="147" spans="1:44" ht="16.5" customHeight="1">
      <c r="A147" s="62" t="s">
        <v>42</v>
      </c>
      <c r="B147" s="76" t="s">
        <v>45</v>
      </c>
      <c r="C147" s="76" t="s">
        <v>115</v>
      </c>
      <c r="D147" s="68" t="s">
        <v>180</v>
      </c>
      <c r="E147" s="69">
        <v>25</v>
      </c>
      <c r="F147" s="69">
        <v>13</v>
      </c>
      <c r="G147" s="69">
        <v>0</v>
      </c>
      <c r="H147" s="69">
        <v>0</v>
      </c>
      <c r="I147" s="69">
        <v>0</v>
      </c>
      <c r="J147" s="69">
        <v>0</v>
      </c>
      <c r="K147" s="69">
        <v>0</v>
      </c>
      <c r="L147" s="69">
        <v>0</v>
      </c>
      <c r="M147" s="69">
        <v>13</v>
      </c>
      <c r="N147" s="69">
        <v>10</v>
      </c>
      <c r="O147" s="69">
        <v>10</v>
      </c>
      <c r="P147" s="69"/>
      <c r="Q147" s="69"/>
      <c r="R147" s="69"/>
      <c r="S147" s="69"/>
      <c r="T147" s="69"/>
      <c r="U147" s="296"/>
      <c r="V147" s="69"/>
      <c r="W147" s="69"/>
      <c r="X147" s="69"/>
      <c r="Y147" s="69"/>
      <c r="Z147" s="69"/>
      <c r="AA147" s="284"/>
      <c r="AB147" s="69">
        <v>283</v>
      </c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>
        <v>-2.6</v>
      </c>
      <c r="AO147" s="69"/>
      <c r="AP147" s="70"/>
      <c r="AQ147" s="275">
        <v>21</v>
      </c>
      <c r="AR147" s="58" t="b">
        <f>EXACT(F147,AQ147)</f>
        <v>0</v>
      </c>
    </row>
    <row r="148" spans="1:44" ht="16.5" customHeight="1">
      <c r="A148" s="62" t="s">
        <v>42</v>
      </c>
      <c r="B148" s="76" t="s">
        <v>45</v>
      </c>
      <c r="C148" s="76" t="s">
        <v>115</v>
      </c>
      <c r="D148" s="68" t="s">
        <v>122</v>
      </c>
      <c r="E148" s="69">
        <v>25</v>
      </c>
      <c r="F148" s="69">
        <v>21</v>
      </c>
      <c r="G148" s="69">
        <v>3</v>
      </c>
      <c r="H148" s="69">
        <v>2</v>
      </c>
      <c r="I148" s="69">
        <v>0</v>
      </c>
      <c r="J148" s="69">
        <v>1</v>
      </c>
      <c r="K148" s="69">
        <v>0</v>
      </c>
      <c r="L148" s="69">
        <v>0</v>
      </c>
      <c r="M148" s="69">
        <v>18</v>
      </c>
      <c r="N148" s="69">
        <v>13</v>
      </c>
      <c r="O148" s="69">
        <v>13</v>
      </c>
      <c r="P148" s="69"/>
      <c r="Q148" s="69"/>
      <c r="R148" s="69"/>
      <c r="S148" s="69"/>
      <c r="T148" s="69"/>
      <c r="U148" s="296"/>
      <c r="V148" s="69"/>
      <c r="W148" s="69"/>
      <c r="X148" s="69"/>
      <c r="Y148" s="69"/>
      <c r="Z148" s="69"/>
      <c r="AA148" s="284"/>
      <c r="AB148" s="69">
        <v>400</v>
      </c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>
        <v>3.2</v>
      </c>
      <c r="AO148" s="69"/>
      <c r="AP148" s="70"/>
      <c r="AQ148" s="275">
        <v>22</v>
      </c>
      <c r="AR148" s="58" t="b">
        <f>EXACT(F148,AQ148)</f>
        <v>0</v>
      </c>
    </row>
    <row r="149" spans="1:44" ht="16.5" customHeight="1">
      <c r="A149" s="62" t="s">
        <v>42</v>
      </c>
      <c r="B149" s="76" t="s">
        <v>45</v>
      </c>
      <c r="C149" s="76" t="s">
        <v>115</v>
      </c>
      <c r="D149" s="68" t="s">
        <v>153</v>
      </c>
      <c r="E149" s="69">
        <v>25</v>
      </c>
      <c r="F149" s="69">
        <v>11</v>
      </c>
      <c r="G149" s="69">
        <v>0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11</v>
      </c>
      <c r="N149" s="69">
        <v>7</v>
      </c>
      <c r="O149" s="69">
        <v>7</v>
      </c>
      <c r="P149" s="69"/>
      <c r="Q149" s="69"/>
      <c r="R149" s="69"/>
      <c r="S149" s="69"/>
      <c r="T149" s="69"/>
      <c r="U149" s="296"/>
      <c r="V149" s="69"/>
      <c r="W149" s="69"/>
      <c r="X149" s="69"/>
      <c r="Y149" s="69"/>
      <c r="Z149" s="69"/>
      <c r="AA149" s="284"/>
      <c r="AB149" s="69">
        <v>15</v>
      </c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>
        <v>1.4</v>
      </c>
      <c r="AO149" s="69"/>
      <c r="AP149" s="70"/>
      <c r="AQ149" s="275">
        <v>23</v>
      </c>
      <c r="AR149" s="58" t="b">
        <f>EXACT(F149,AQ149)</f>
        <v>0</v>
      </c>
    </row>
    <row r="150" spans="1:44" ht="16.5" customHeight="1">
      <c r="A150" s="62" t="s">
        <v>42</v>
      </c>
      <c r="B150" s="76" t="s">
        <v>45</v>
      </c>
      <c r="C150" s="76" t="s">
        <v>130</v>
      </c>
      <c r="D150" s="107" t="s">
        <v>215</v>
      </c>
      <c r="E150" s="107">
        <v>11</v>
      </c>
      <c r="F150" s="107">
        <v>7</v>
      </c>
      <c r="G150" s="107">
        <v>1</v>
      </c>
      <c r="H150" s="107">
        <v>0</v>
      </c>
      <c r="I150" s="107">
        <v>1</v>
      </c>
      <c r="J150" s="107">
        <v>0</v>
      </c>
      <c r="K150" s="107">
        <v>0</v>
      </c>
      <c r="L150" s="107">
        <v>0</v>
      </c>
      <c r="M150" s="107">
        <v>6</v>
      </c>
      <c r="N150" s="107">
        <v>5</v>
      </c>
      <c r="O150" s="107">
        <v>5</v>
      </c>
      <c r="P150" s="107"/>
      <c r="Q150" s="107"/>
      <c r="R150" s="107"/>
      <c r="S150" s="107"/>
      <c r="T150" s="107"/>
      <c r="U150" s="314"/>
      <c r="V150" s="107"/>
      <c r="W150" s="107"/>
      <c r="X150" s="107"/>
      <c r="Y150" s="107"/>
      <c r="Z150" s="107"/>
      <c r="AA150" s="315"/>
      <c r="AB150" s="107">
        <v>233</v>
      </c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>
        <v>7.9</v>
      </c>
      <c r="AO150" s="107"/>
      <c r="AP150" s="107"/>
      <c r="AQ150" s="106">
        <v>0</v>
      </c>
      <c r="AR150" s="106">
        <v>0</v>
      </c>
    </row>
    <row r="151" spans="1:44">
      <c r="A151" s="62" t="s">
        <v>204</v>
      </c>
      <c r="B151" s="404" t="s">
        <v>46</v>
      </c>
      <c r="C151" s="405"/>
      <c r="D151" s="73" t="s">
        <v>114</v>
      </c>
      <c r="E151" s="74">
        <v>69</v>
      </c>
      <c r="F151" s="74">
        <v>54</v>
      </c>
      <c r="G151" s="74">
        <v>9</v>
      </c>
      <c r="H151" s="74">
        <v>4</v>
      </c>
      <c r="I151" s="74">
        <v>5</v>
      </c>
      <c r="J151" s="74">
        <v>0</v>
      </c>
      <c r="K151" s="74">
        <v>0</v>
      </c>
      <c r="L151" s="74">
        <v>0</v>
      </c>
      <c r="M151" s="74">
        <v>45</v>
      </c>
      <c r="N151" s="74">
        <v>38</v>
      </c>
      <c r="O151" s="74">
        <v>38</v>
      </c>
      <c r="P151" s="74"/>
      <c r="Q151" s="74"/>
      <c r="R151" s="74"/>
      <c r="S151" s="74"/>
      <c r="T151" s="74"/>
      <c r="U151" s="287"/>
      <c r="V151" s="74"/>
      <c r="W151" s="74"/>
      <c r="X151" s="74"/>
      <c r="Y151" s="74"/>
      <c r="Z151" s="74"/>
      <c r="AA151" s="288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90"/>
      <c r="AQ151" s="275">
        <v>35</v>
      </c>
      <c r="AR151" s="58" t="b">
        <f>EXACT(F151,AQ151)</f>
        <v>0</v>
      </c>
    </row>
    <row r="152" spans="1:44" ht="16.5" customHeight="1">
      <c r="A152" s="62" t="s">
        <v>204</v>
      </c>
      <c r="B152" s="76" t="s">
        <v>46</v>
      </c>
      <c r="C152" s="76" t="s">
        <v>115</v>
      </c>
      <c r="D152" s="68" t="s">
        <v>123</v>
      </c>
      <c r="E152" s="69">
        <v>25</v>
      </c>
      <c r="F152" s="69">
        <v>25</v>
      </c>
      <c r="G152" s="69">
        <v>5</v>
      </c>
      <c r="H152" s="69">
        <v>3</v>
      </c>
      <c r="I152" s="69">
        <v>2</v>
      </c>
      <c r="J152" s="69">
        <v>0</v>
      </c>
      <c r="K152" s="69">
        <v>0</v>
      </c>
      <c r="L152" s="69">
        <v>0</v>
      </c>
      <c r="M152" s="69">
        <v>20</v>
      </c>
      <c r="N152" s="69">
        <v>16</v>
      </c>
      <c r="O152" s="69">
        <v>16</v>
      </c>
      <c r="P152" s="69"/>
      <c r="Q152" s="69"/>
      <c r="R152" s="69"/>
      <c r="S152" s="69"/>
      <c r="T152" s="69"/>
      <c r="U152" s="296"/>
      <c r="V152" s="69"/>
      <c r="W152" s="69"/>
      <c r="X152" s="69"/>
      <c r="Y152" s="69"/>
      <c r="Z152" s="69"/>
      <c r="AA152" s="284"/>
      <c r="AB152" s="69">
        <v>30</v>
      </c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>
        <v>1.4</v>
      </c>
      <c r="AO152" s="69"/>
      <c r="AP152" s="70"/>
      <c r="AQ152" s="275">
        <v>24</v>
      </c>
      <c r="AR152" s="58" t="b">
        <f>EXACT(F152,AQ152)</f>
        <v>0</v>
      </c>
    </row>
    <row r="153" spans="1:44" ht="17.25" customHeight="1">
      <c r="A153" s="62" t="s">
        <v>204</v>
      </c>
      <c r="B153" s="76" t="s">
        <v>46</v>
      </c>
      <c r="C153" s="76" t="s">
        <v>115</v>
      </c>
      <c r="D153" s="68" t="s">
        <v>216</v>
      </c>
      <c r="E153" s="69">
        <v>25</v>
      </c>
      <c r="F153" s="69">
        <v>19</v>
      </c>
      <c r="G153" s="69">
        <v>1</v>
      </c>
      <c r="H153" s="69">
        <v>0</v>
      </c>
      <c r="I153" s="69">
        <v>1</v>
      </c>
      <c r="J153" s="69">
        <v>0</v>
      </c>
      <c r="K153" s="69">
        <v>0</v>
      </c>
      <c r="L153" s="69">
        <v>0</v>
      </c>
      <c r="M153" s="69">
        <v>18</v>
      </c>
      <c r="N153" s="69">
        <v>16</v>
      </c>
      <c r="O153" s="69">
        <v>16</v>
      </c>
      <c r="P153" s="69"/>
      <c r="Q153" s="69"/>
      <c r="R153" s="69"/>
      <c r="S153" s="69"/>
      <c r="T153" s="69"/>
      <c r="U153" s="296"/>
      <c r="V153" s="69"/>
      <c r="W153" s="69"/>
      <c r="X153" s="69"/>
      <c r="Y153" s="69"/>
      <c r="Z153" s="69"/>
      <c r="AA153" s="284"/>
      <c r="AB153" s="69">
        <v>429</v>
      </c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>
        <v>6.5</v>
      </c>
      <c r="AO153" s="69"/>
      <c r="AP153" s="70"/>
      <c r="AQ153" s="275">
        <v>25</v>
      </c>
      <c r="AR153" s="58" t="b">
        <f>EXACT(F153,AQ153)</f>
        <v>0</v>
      </c>
    </row>
    <row r="154" spans="1:44" ht="17.25" customHeight="1">
      <c r="A154" s="62" t="s">
        <v>204</v>
      </c>
      <c r="B154" s="76" t="s">
        <v>46</v>
      </c>
      <c r="C154" s="76" t="s">
        <v>130</v>
      </c>
      <c r="D154" s="106" t="s">
        <v>217</v>
      </c>
      <c r="E154" s="107">
        <v>19</v>
      </c>
      <c r="F154" s="107">
        <v>10</v>
      </c>
      <c r="G154" s="107">
        <v>3</v>
      </c>
      <c r="H154" s="107">
        <v>1</v>
      </c>
      <c r="I154" s="107">
        <v>2</v>
      </c>
      <c r="J154" s="107">
        <v>0</v>
      </c>
      <c r="K154" s="107">
        <v>0</v>
      </c>
      <c r="L154" s="107">
        <v>0</v>
      </c>
      <c r="M154" s="107">
        <v>7</v>
      </c>
      <c r="N154" s="107">
        <v>6</v>
      </c>
      <c r="O154" s="107">
        <v>6</v>
      </c>
      <c r="P154" s="107"/>
      <c r="Q154" s="107"/>
      <c r="R154" s="107"/>
      <c r="S154" s="107"/>
      <c r="T154" s="107"/>
      <c r="U154" s="314"/>
      <c r="V154" s="107"/>
      <c r="W154" s="107"/>
      <c r="X154" s="107"/>
      <c r="Y154" s="107"/>
      <c r="Z154" s="107"/>
      <c r="AA154" s="315"/>
      <c r="AB154" s="107">
        <v>122</v>
      </c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>
        <v>-2.6</v>
      </c>
      <c r="AO154" s="107"/>
      <c r="AP154" s="107"/>
      <c r="AQ154" s="106">
        <v>0</v>
      </c>
      <c r="AR154" s="106">
        <v>0</v>
      </c>
    </row>
    <row r="155" spans="1:44" ht="17.25" customHeight="1">
      <c r="A155" s="62" t="s">
        <v>204</v>
      </c>
      <c r="B155" s="404" t="s">
        <v>47</v>
      </c>
      <c r="C155" s="405"/>
      <c r="D155" s="73" t="s">
        <v>114</v>
      </c>
      <c r="E155" s="74">
        <v>2</v>
      </c>
      <c r="F155" s="74">
        <v>1</v>
      </c>
      <c r="G155" s="74">
        <v>0</v>
      </c>
      <c r="H155" s="74">
        <v>0</v>
      </c>
      <c r="I155" s="74">
        <v>0</v>
      </c>
      <c r="J155" s="74">
        <v>0</v>
      </c>
      <c r="K155" s="74">
        <v>0</v>
      </c>
      <c r="L155" s="74">
        <v>0</v>
      </c>
      <c r="M155" s="74">
        <v>1</v>
      </c>
      <c r="N155" s="74">
        <v>0</v>
      </c>
      <c r="O155" s="74">
        <v>0</v>
      </c>
      <c r="P155" s="74"/>
      <c r="Q155" s="74"/>
      <c r="R155" s="74"/>
      <c r="S155" s="74"/>
      <c r="T155" s="74"/>
      <c r="U155" s="287"/>
      <c r="V155" s="74"/>
      <c r="W155" s="74"/>
      <c r="X155" s="74"/>
      <c r="Y155" s="74"/>
      <c r="Z155" s="74"/>
      <c r="AA155" s="288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90"/>
      <c r="AQ155" s="275">
        <v>13</v>
      </c>
      <c r="AR155" s="58" t="b">
        <f t="shared" ref="AR155:AR164" si="9">EXACT(F155,AQ155)</f>
        <v>0</v>
      </c>
    </row>
    <row r="156" spans="1:44" ht="17.25" customHeight="1">
      <c r="A156" s="62" t="s">
        <v>204</v>
      </c>
      <c r="B156" s="76" t="s">
        <v>47</v>
      </c>
      <c r="C156" s="76" t="s">
        <v>130</v>
      </c>
      <c r="D156" s="106" t="s">
        <v>217</v>
      </c>
      <c r="E156" s="107">
        <v>2</v>
      </c>
      <c r="F156" s="107">
        <v>1</v>
      </c>
      <c r="G156" s="107">
        <v>0</v>
      </c>
      <c r="H156" s="107">
        <v>0</v>
      </c>
      <c r="I156" s="107">
        <v>0</v>
      </c>
      <c r="J156" s="107">
        <v>0</v>
      </c>
      <c r="K156" s="107">
        <v>0</v>
      </c>
      <c r="L156" s="107">
        <v>0</v>
      </c>
      <c r="M156" s="107">
        <v>1</v>
      </c>
      <c r="N156" s="107">
        <v>0</v>
      </c>
      <c r="O156" s="107">
        <v>0</v>
      </c>
      <c r="P156" s="107"/>
      <c r="Q156" s="107"/>
      <c r="R156" s="107"/>
      <c r="S156" s="107"/>
      <c r="T156" s="107"/>
      <c r="U156" s="148"/>
      <c r="V156" s="107"/>
      <c r="W156" s="107"/>
      <c r="X156" s="107"/>
      <c r="Y156" s="107"/>
      <c r="Z156" s="107"/>
      <c r="AA156" s="107"/>
      <c r="AB156" s="107">
        <v>456</v>
      </c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>
        <v>-3.9</v>
      </c>
      <c r="AO156" s="107"/>
      <c r="AP156" s="107"/>
      <c r="AQ156" s="121">
        <v>0</v>
      </c>
      <c r="AR156" s="58" t="b">
        <f t="shared" si="9"/>
        <v>0</v>
      </c>
    </row>
    <row r="157" spans="1:44" ht="16.5" customHeight="1">
      <c r="A157" s="118" t="s">
        <v>48</v>
      </c>
      <c r="B157" s="416" t="s">
        <v>113</v>
      </c>
      <c r="C157" s="417"/>
      <c r="D157" s="405"/>
      <c r="E157" s="79">
        <v>732</v>
      </c>
      <c r="F157" s="79">
        <v>517</v>
      </c>
      <c r="G157" s="79">
        <v>40</v>
      </c>
      <c r="H157" s="79">
        <v>13</v>
      </c>
      <c r="I157" s="79">
        <v>20</v>
      </c>
      <c r="J157" s="79">
        <v>2</v>
      </c>
      <c r="K157" s="79">
        <v>0</v>
      </c>
      <c r="L157" s="79">
        <v>5</v>
      </c>
      <c r="M157" s="79">
        <v>477</v>
      </c>
      <c r="N157" s="79">
        <v>381</v>
      </c>
      <c r="O157" s="79">
        <v>356</v>
      </c>
      <c r="P157" s="79"/>
      <c r="Q157" s="79"/>
      <c r="R157" s="79"/>
      <c r="S157" s="79"/>
      <c r="T157" s="79"/>
      <c r="U157" s="297"/>
      <c r="V157" s="79"/>
      <c r="W157" s="79"/>
      <c r="X157" s="79"/>
      <c r="Y157" s="79"/>
      <c r="Z157" s="79"/>
      <c r="AA157" s="303"/>
      <c r="AB157" s="79">
        <v>373</v>
      </c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>
        <v>0.2</v>
      </c>
      <c r="AO157" s="79"/>
      <c r="AP157" s="122"/>
      <c r="AQ157" s="275">
        <v>737</v>
      </c>
      <c r="AR157" s="58" t="b">
        <f t="shared" si="9"/>
        <v>0</v>
      </c>
    </row>
    <row r="158" spans="1:44">
      <c r="A158" s="62" t="s">
        <v>48</v>
      </c>
      <c r="B158" s="404" t="s">
        <v>49</v>
      </c>
      <c r="C158" s="405"/>
      <c r="D158" s="73" t="s">
        <v>114</v>
      </c>
      <c r="E158" s="74">
        <v>290</v>
      </c>
      <c r="F158" s="74">
        <v>225</v>
      </c>
      <c r="G158" s="74">
        <v>15</v>
      </c>
      <c r="H158" s="74">
        <v>4</v>
      </c>
      <c r="I158" s="74">
        <v>5</v>
      </c>
      <c r="J158" s="74">
        <v>1</v>
      </c>
      <c r="K158" s="74">
        <v>0</v>
      </c>
      <c r="L158" s="74">
        <v>5</v>
      </c>
      <c r="M158" s="74">
        <v>210</v>
      </c>
      <c r="N158" s="74">
        <v>164</v>
      </c>
      <c r="O158" s="74">
        <v>152</v>
      </c>
      <c r="P158" s="74"/>
      <c r="Q158" s="74"/>
      <c r="R158" s="74"/>
      <c r="S158" s="74"/>
      <c r="T158" s="74"/>
      <c r="U158" s="287"/>
      <c r="V158" s="74"/>
      <c r="W158" s="74"/>
      <c r="X158" s="74"/>
      <c r="Y158" s="74"/>
      <c r="Z158" s="74"/>
      <c r="AA158" s="288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294"/>
      <c r="AO158" s="294"/>
      <c r="AP158" s="295"/>
      <c r="AQ158" s="275">
        <v>477</v>
      </c>
      <c r="AR158" s="58" t="b">
        <f t="shared" si="9"/>
        <v>0</v>
      </c>
    </row>
    <row r="159" spans="1:44" ht="16.5" customHeight="1">
      <c r="A159" s="62" t="s">
        <v>48</v>
      </c>
      <c r="B159" s="76" t="s">
        <v>49</v>
      </c>
      <c r="C159" s="75" t="s">
        <v>115</v>
      </c>
      <c r="D159" s="68" t="s">
        <v>155</v>
      </c>
      <c r="E159" s="69">
        <v>60</v>
      </c>
      <c r="F159" s="69">
        <v>41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41</v>
      </c>
      <c r="N159" s="69">
        <v>31</v>
      </c>
      <c r="O159" s="69">
        <v>30</v>
      </c>
      <c r="P159" s="69"/>
      <c r="Q159" s="69"/>
      <c r="R159" s="69"/>
      <c r="S159" s="69"/>
      <c r="T159" s="69"/>
      <c r="U159" s="296"/>
      <c r="V159" s="69"/>
      <c r="W159" s="69"/>
      <c r="X159" s="69"/>
      <c r="Y159" s="69"/>
      <c r="Z159" s="69"/>
      <c r="AA159" s="284"/>
      <c r="AB159" s="69">
        <v>27</v>
      </c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>
        <v>0.6</v>
      </c>
      <c r="AO159" s="69"/>
      <c r="AP159" s="70"/>
      <c r="AQ159" s="275">
        <v>24</v>
      </c>
      <c r="AR159" s="58" t="b">
        <f t="shared" si="9"/>
        <v>0</v>
      </c>
    </row>
    <row r="160" spans="1:44" ht="16.5" customHeight="1">
      <c r="A160" s="62" t="s">
        <v>48</v>
      </c>
      <c r="B160" s="76" t="s">
        <v>49</v>
      </c>
      <c r="C160" s="75" t="s">
        <v>115</v>
      </c>
      <c r="D160" s="68" t="s">
        <v>143</v>
      </c>
      <c r="E160" s="69">
        <v>60</v>
      </c>
      <c r="F160" s="69">
        <v>56</v>
      </c>
      <c r="G160" s="69">
        <v>2</v>
      </c>
      <c r="H160" s="69">
        <v>0</v>
      </c>
      <c r="I160" s="69">
        <v>1</v>
      </c>
      <c r="J160" s="69">
        <v>0</v>
      </c>
      <c r="K160" s="69">
        <v>0</v>
      </c>
      <c r="L160" s="69">
        <v>1</v>
      </c>
      <c r="M160" s="69">
        <v>54</v>
      </c>
      <c r="N160" s="69">
        <v>41</v>
      </c>
      <c r="O160" s="69">
        <v>40</v>
      </c>
      <c r="P160" s="69"/>
      <c r="Q160" s="69"/>
      <c r="R160" s="69"/>
      <c r="S160" s="69"/>
      <c r="T160" s="69"/>
      <c r="U160" s="296"/>
      <c r="V160" s="69"/>
      <c r="W160" s="69"/>
      <c r="X160" s="69"/>
      <c r="Y160" s="69"/>
      <c r="Z160" s="69"/>
      <c r="AA160" s="284"/>
      <c r="AB160" s="69">
        <v>404</v>
      </c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>
        <v>2.6</v>
      </c>
      <c r="AO160" s="69"/>
      <c r="AP160" s="70"/>
      <c r="AQ160" s="275">
        <v>25</v>
      </c>
      <c r="AR160" s="58" t="b">
        <f t="shared" si="9"/>
        <v>0</v>
      </c>
    </row>
    <row r="161" spans="1:44" ht="16.5" customHeight="1">
      <c r="A161" s="62" t="s">
        <v>48</v>
      </c>
      <c r="B161" s="76" t="s">
        <v>49</v>
      </c>
      <c r="C161" s="75" t="s">
        <v>115</v>
      </c>
      <c r="D161" s="68" t="s">
        <v>218</v>
      </c>
      <c r="E161" s="69">
        <v>30</v>
      </c>
      <c r="F161" s="69">
        <v>29</v>
      </c>
      <c r="G161" s="69">
        <v>5</v>
      </c>
      <c r="H161" s="69">
        <v>2</v>
      </c>
      <c r="I161" s="69">
        <v>2</v>
      </c>
      <c r="J161" s="69">
        <v>0</v>
      </c>
      <c r="K161" s="69">
        <v>0</v>
      </c>
      <c r="L161" s="69">
        <v>1</v>
      </c>
      <c r="M161" s="69">
        <v>24</v>
      </c>
      <c r="N161" s="69">
        <v>16</v>
      </c>
      <c r="O161" s="69">
        <v>13</v>
      </c>
      <c r="P161" s="69"/>
      <c r="Q161" s="69"/>
      <c r="R161" s="69"/>
      <c r="S161" s="69"/>
      <c r="T161" s="69"/>
      <c r="U161" s="296"/>
      <c r="V161" s="69"/>
      <c r="W161" s="69"/>
      <c r="X161" s="69"/>
      <c r="Y161" s="69"/>
      <c r="Z161" s="69"/>
      <c r="AA161" s="284"/>
      <c r="AB161" s="69">
        <v>104</v>
      </c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>
        <v>-4.9000000000000004</v>
      </c>
      <c r="AO161" s="69"/>
      <c r="AP161" s="70"/>
      <c r="AQ161" s="275">
        <v>26</v>
      </c>
      <c r="AR161" s="58" t="b">
        <f t="shared" si="9"/>
        <v>0</v>
      </c>
    </row>
    <row r="162" spans="1:44" ht="16.5" customHeight="1">
      <c r="A162" s="62" t="s">
        <v>48</v>
      </c>
      <c r="B162" s="76" t="s">
        <v>49</v>
      </c>
      <c r="C162" s="75" t="s">
        <v>115</v>
      </c>
      <c r="D162" s="68" t="s">
        <v>156</v>
      </c>
      <c r="E162" s="69">
        <v>30</v>
      </c>
      <c r="F162" s="69">
        <v>29</v>
      </c>
      <c r="G162" s="69">
        <v>2</v>
      </c>
      <c r="H162" s="69">
        <v>2</v>
      </c>
      <c r="I162" s="69">
        <v>0</v>
      </c>
      <c r="J162" s="69">
        <v>0</v>
      </c>
      <c r="K162" s="69">
        <v>0</v>
      </c>
      <c r="L162" s="69">
        <v>0</v>
      </c>
      <c r="M162" s="69">
        <v>27</v>
      </c>
      <c r="N162" s="69">
        <v>22</v>
      </c>
      <c r="O162" s="69">
        <v>19</v>
      </c>
      <c r="P162" s="69"/>
      <c r="Q162" s="69"/>
      <c r="R162" s="69"/>
      <c r="S162" s="69"/>
      <c r="T162" s="69"/>
      <c r="U162" s="296"/>
      <c r="V162" s="69"/>
      <c r="W162" s="69"/>
      <c r="X162" s="69"/>
      <c r="Y162" s="69"/>
      <c r="Z162" s="69"/>
      <c r="AA162" s="284"/>
      <c r="AB162" s="69">
        <v>383</v>
      </c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>
        <v>5.7</v>
      </c>
      <c r="AO162" s="69"/>
      <c r="AP162" s="70"/>
      <c r="AQ162" s="275">
        <v>27</v>
      </c>
      <c r="AR162" s="58" t="b">
        <f t="shared" si="9"/>
        <v>0</v>
      </c>
    </row>
    <row r="163" spans="1:44" ht="16.5" customHeight="1">
      <c r="A163" s="62" t="s">
        <v>48</v>
      </c>
      <c r="B163" s="76" t="s">
        <v>49</v>
      </c>
      <c r="C163" s="75" t="s">
        <v>115</v>
      </c>
      <c r="D163" s="68" t="s">
        <v>219</v>
      </c>
      <c r="E163" s="69">
        <v>30</v>
      </c>
      <c r="F163" s="69">
        <v>17</v>
      </c>
      <c r="G163" s="69">
        <v>2</v>
      </c>
      <c r="H163" s="69">
        <v>0</v>
      </c>
      <c r="I163" s="69">
        <v>0</v>
      </c>
      <c r="J163" s="69">
        <v>1</v>
      </c>
      <c r="K163" s="69">
        <v>0</v>
      </c>
      <c r="L163" s="69">
        <v>1</v>
      </c>
      <c r="M163" s="69">
        <v>15</v>
      </c>
      <c r="N163" s="69">
        <v>11</v>
      </c>
      <c r="O163" s="69">
        <v>9</v>
      </c>
      <c r="P163" s="69"/>
      <c r="Q163" s="69"/>
      <c r="R163" s="69"/>
      <c r="S163" s="69"/>
      <c r="T163" s="69"/>
      <c r="U163" s="296"/>
      <c r="V163" s="69"/>
      <c r="W163" s="69"/>
      <c r="X163" s="69"/>
      <c r="Y163" s="69"/>
      <c r="Z163" s="69"/>
      <c r="AA163" s="284"/>
      <c r="AB163" s="69">
        <v>215</v>
      </c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>
        <v>-4.5999999999999996</v>
      </c>
      <c r="AO163" s="69"/>
      <c r="AP163" s="70"/>
      <c r="AQ163" s="275">
        <v>28</v>
      </c>
      <c r="AR163" s="58" t="b">
        <f t="shared" si="9"/>
        <v>0</v>
      </c>
    </row>
    <row r="164" spans="1:44" ht="16.5" customHeight="1">
      <c r="A164" s="62" t="s">
        <v>48</v>
      </c>
      <c r="B164" s="76" t="s">
        <v>49</v>
      </c>
      <c r="C164" s="75" t="s">
        <v>115</v>
      </c>
      <c r="D164" s="68" t="s">
        <v>147</v>
      </c>
      <c r="E164" s="69">
        <v>60</v>
      </c>
      <c r="F164" s="69">
        <v>39</v>
      </c>
      <c r="G164" s="69">
        <v>3</v>
      </c>
      <c r="H164" s="69">
        <v>0</v>
      </c>
      <c r="I164" s="69">
        <v>1</v>
      </c>
      <c r="J164" s="69">
        <v>0</v>
      </c>
      <c r="K164" s="69">
        <v>0</v>
      </c>
      <c r="L164" s="69">
        <v>2</v>
      </c>
      <c r="M164" s="69">
        <v>36</v>
      </c>
      <c r="N164" s="69">
        <v>31</v>
      </c>
      <c r="O164" s="69">
        <v>30</v>
      </c>
      <c r="P164" s="69"/>
      <c r="Q164" s="69"/>
      <c r="R164" s="69"/>
      <c r="S164" s="69"/>
      <c r="T164" s="69"/>
      <c r="U164" s="296"/>
      <c r="V164" s="69"/>
      <c r="W164" s="69"/>
      <c r="X164" s="69"/>
      <c r="Y164" s="69"/>
      <c r="Z164" s="69"/>
      <c r="AA164" s="284"/>
      <c r="AB164" s="69">
        <v>450</v>
      </c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>
        <v>-0.5</v>
      </c>
      <c r="AO164" s="69"/>
      <c r="AP164" s="70"/>
      <c r="AQ164" s="275">
        <v>29</v>
      </c>
      <c r="AR164" s="58" t="b">
        <f t="shared" si="9"/>
        <v>0</v>
      </c>
    </row>
    <row r="165" spans="1:44" ht="16.5" customHeight="1">
      <c r="A165" s="62" t="s">
        <v>48</v>
      </c>
      <c r="B165" s="76" t="s">
        <v>49</v>
      </c>
      <c r="C165" s="76" t="s">
        <v>130</v>
      </c>
      <c r="D165" s="106" t="s">
        <v>220</v>
      </c>
      <c r="E165" s="107">
        <v>13</v>
      </c>
      <c r="F165" s="107">
        <v>8</v>
      </c>
      <c r="G165" s="107">
        <v>0</v>
      </c>
      <c r="H165" s="107">
        <v>0</v>
      </c>
      <c r="I165" s="107">
        <v>0</v>
      </c>
      <c r="J165" s="107">
        <v>0</v>
      </c>
      <c r="K165" s="107">
        <v>0</v>
      </c>
      <c r="L165" s="107">
        <v>0</v>
      </c>
      <c r="M165" s="107">
        <v>8</v>
      </c>
      <c r="N165" s="107">
        <v>7</v>
      </c>
      <c r="O165" s="107">
        <v>7</v>
      </c>
      <c r="P165" s="107"/>
      <c r="Q165" s="107"/>
      <c r="R165" s="107"/>
      <c r="S165" s="107"/>
      <c r="T165" s="107"/>
      <c r="U165" s="314"/>
      <c r="V165" s="107"/>
      <c r="W165" s="107"/>
      <c r="X165" s="107"/>
      <c r="Y165" s="107"/>
      <c r="Z165" s="107"/>
      <c r="AA165" s="315"/>
      <c r="AB165" s="107">
        <v>319</v>
      </c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>
        <v>1.2</v>
      </c>
      <c r="AO165" s="107"/>
      <c r="AP165" s="107"/>
      <c r="AQ165" s="275"/>
      <c r="AR165" s="58"/>
    </row>
    <row r="166" spans="1:44" ht="16.5" customHeight="1">
      <c r="A166" s="62" t="s">
        <v>48</v>
      </c>
      <c r="B166" s="76" t="s">
        <v>49</v>
      </c>
      <c r="C166" s="76" t="s">
        <v>130</v>
      </c>
      <c r="D166" s="106" t="s">
        <v>221</v>
      </c>
      <c r="E166" s="107">
        <v>7</v>
      </c>
      <c r="F166" s="107">
        <v>6</v>
      </c>
      <c r="G166" s="107">
        <v>1</v>
      </c>
      <c r="H166" s="107">
        <v>0</v>
      </c>
      <c r="I166" s="107">
        <v>1</v>
      </c>
      <c r="J166" s="107">
        <v>0</v>
      </c>
      <c r="K166" s="107">
        <v>0</v>
      </c>
      <c r="L166" s="107">
        <v>0</v>
      </c>
      <c r="M166" s="107">
        <v>5</v>
      </c>
      <c r="N166" s="107">
        <v>5</v>
      </c>
      <c r="O166" s="107">
        <v>4</v>
      </c>
      <c r="P166" s="107"/>
      <c r="Q166" s="107"/>
      <c r="R166" s="107"/>
      <c r="S166" s="107"/>
      <c r="T166" s="107"/>
      <c r="U166" s="314"/>
      <c r="V166" s="107"/>
      <c r="W166" s="107"/>
      <c r="X166" s="107"/>
      <c r="Y166" s="107"/>
      <c r="Z166" s="107"/>
      <c r="AA166" s="315"/>
      <c r="AB166" s="107">
        <v>90</v>
      </c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>
        <v>1.4</v>
      </c>
      <c r="AO166" s="107"/>
      <c r="AP166" s="107"/>
      <c r="AQ166" s="107">
        <v>0</v>
      </c>
      <c r="AR166" s="107">
        <v>0</v>
      </c>
    </row>
    <row r="167" spans="1:44" ht="15.75" customHeight="1">
      <c r="A167" s="62" t="s">
        <v>48</v>
      </c>
      <c r="B167" s="404" t="s">
        <v>50</v>
      </c>
      <c r="C167" s="405"/>
      <c r="D167" s="73" t="s">
        <v>114</v>
      </c>
      <c r="E167" s="74">
        <v>256</v>
      </c>
      <c r="F167" s="74">
        <v>207</v>
      </c>
      <c r="G167" s="74">
        <v>9</v>
      </c>
      <c r="H167" s="74">
        <v>0</v>
      </c>
      <c r="I167" s="74">
        <v>8</v>
      </c>
      <c r="J167" s="74">
        <v>1</v>
      </c>
      <c r="K167" s="74">
        <v>0</v>
      </c>
      <c r="L167" s="74">
        <v>0</v>
      </c>
      <c r="M167" s="74">
        <v>198</v>
      </c>
      <c r="N167" s="74">
        <v>156</v>
      </c>
      <c r="O167" s="74">
        <v>154</v>
      </c>
      <c r="P167" s="74"/>
      <c r="Q167" s="74"/>
      <c r="R167" s="74"/>
      <c r="S167" s="74"/>
      <c r="T167" s="74"/>
      <c r="U167" s="287"/>
      <c r="V167" s="74"/>
      <c r="W167" s="74"/>
      <c r="X167" s="74"/>
      <c r="Y167" s="74"/>
      <c r="Z167" s="74"/>
      <c r="AA167" s="288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275">
        <v>236</v>
      </c>
      <c r="AR167" s="58" t="b">
        <f t="shared" ref="AR167:AR172" si="10">EXACT(F167,AQ167)</f>
        <v>0</v>
      </c>
    </row>
    <row r="168" spans="1:44" ht="16.5" customHeight="1">
      <c r="A168" s="62" t="s">
        <v>222</v>
      </c>
      <c r="B168" s="76" t="s">
        <v>50</v>
      </c>
      <c r="C168" s="75" t="s">
        <v>115</v>
      </c>
      <c r="D168" s="68" t="s">
        <v>223</v>
      </c>
      <c r="E168" s="69">
        <v>60</v>
      </c>
      <c r="F168" s="69">
        <v>44</v>
      </c>
      <c r="G168" s="69">
        <v>0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44</v>
      </c>
      <c r="N168" s="69">
        <v>32</v>
      </c>
      <c r="O168" s="69">
        <v>32</v>
      </c>
      <c r="P168" s="69"/>
      <c r="Q168" s="69"/>
      <c r="R168" s="69"/>
      <c r="S168" s="69"/>
      <c r="T168" s="69"/>
      <c r="U168" s="296"/>
      <c r="V168" s="69"/>
      <c r="W168" s="69"/>
      <c r="X168" s="69"/>
      <c r="Y168" s="69"/>
      <c r="Z168" s="69"/>
      <c r="AA168" s="284"/>
      <c r="AB168" s="69">
        <v>249</v>
      </c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>
        <v>5.5</v>
      </c>
      <c r="AO168" s="69"/>
      <c r="AP168" s="70"/>
      <c r="AQ168" s="275">
        <v>24</v>
      </c>
      <c r="AR168" s="58" t="b">
        <f t="shared" si="10"/>
        <v>0</v>
      </c>
    </row>
    <row r="169" spans="1:44" ht="16.5" customHeight="1">
      <c r="A169" s="62" t="s">
        <v>222</v>
      </c>
      <c r="B169" s="76" t="s">
        <v>50</v>
      </c>
      <c r="C169" s="75" t="s">
        <v>115</v>
      </c>
      <c r="D169" s="68" t="s">
        <v>122</v>
      </c>
      <c r="E169" s="69">
        <v>60</v>
      </c>
      <c r="F169" s="69">
        <v>60</v>
      </c>
      <c r="G169" s="69">
        <v>1</v>
      </c>
      <c r="H169" s="69">
        <v>0</v>
      </c>
      <c r="I169" s="69">
        <v>1</v>
      </c>
      <c r="J169" s="69">
        <v>0</v>
      </c>
      <c r="K169" s="69">
        <v>0</v>
      </c>
      <c r="L169" s="69">
        <v>0</v>
      </c>
      <c r="M169" s="69">
        <v>59</v>
      </c>
      <c r="N169" s="69">
        <v>47</v>
      </c>
      <c r="O169" s="69">
        <v>47</v>
      </c>
      <c r="P169" s="69"/>
      <c r="Q169" s="69"/>
      <c r="R169" s="69"/>
      <c r="S169" s="69"/>
      <c r="T169" s="69"/>
      <c r="U169" s="296"/>
      <c r="V169" s="69"/>
      <c r="W169" s="69"/>
      <c r="X169" s="69"/>
      <c r="Y169" s="69"/>
      <c r="Z169" s="69"/>
      <c r="AA169" s="284"/>
      <c r="AB169" s="69">
        <v>332</v>
      </c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>
        <v>-0.4</v>
      </c>
      <c r="AO169" s="69"/>
      <c r="AP169" s="70"/>
      <c r="AQ169" s="275">
        <v>25</v>
      </c>
      <c r="AR169" s="58" t="b">
        <f t="shared" si="10"/>
        <v>0</v>
      </c>
    </row>
    <row r="170" spans="1:44" ht="16.5" customHeight="1">
      <c r="A170" s="62" t="s">
        <v>222</v>
      </c>
      <c r="B170" s="76" t="s">
        <v>50</v>
      </c>
      <c r="C170" s="75" t="s">
        <v>115</v>
      </c>
      <c r="D170" s="68" t="s">
        <v>153</v>
      </c>
      <c r="E170" s="69">
        <v>60</v>
      </c>
      <c r="F170" s="69">
        <v>42</v>
      </c>
      <c r="G170" s="69">
        <v>0</v>
      </c>
      <c r="H170" s="69">
        <v>0</v>
      </c>
      <c r="I170" s="69">
        <v>0</v>
      </c>
      <c r="J170" s="69">
        <v>0</v>
      </c>
      <c r="K170" s="69">
        <v>0</v>
      </c>
      <c r="L170" s="69">
        <v>0</v>
      </c>
      <c r="M170" s="69">
        <v>42</v>
      </c>
      <c r="N170" s="69">
        <v>34</v>
      </c>
      <c r="O170" s="69">
        <v>34</v>
      </c>
      <c r="P170" s="69"/>
      <c r="Q170" s="69"/>
      <c r="R170" s="69"/>
      <c r="S170" s="69"/>
      <c r="T170" s="69"/>
      <c r="U170" s="296"/>
      <c r="V170" s="69"/>
      <c r="W170" s="69"/>
      <c r="X170" s="69"/>
      <c r="Y170" s="69"/>
      <c r="Z170" s="69"/>
      <c r="AA170" s="284"/>
      <c r="AB170" s="69">
        <v>197</v>
      </c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>
        <v>-1.4</v>
      </c>
      <c r="AO170" s="69"/>
      <c r="AP170" s="70"/>
      <c r="AQ170" s="275">
        <v>26</v>
      </c>
      <c r="AR170" s="58" t="b">
        <f t="shared" si="10"/>
        <v>0</v>
      </c>
    </row>
    <row r="171" spans="1:44" ht="16.5" customHeight="1">
      <c r="A171" s="62" t="s">
        <v>222</v>
      </c>
      <c r="B171" s="76" t="s">
        <v>50</v>
      </c>
      <c r="C171" s="75" t="s">
        <v>115</v>
      </c>
      <c r="D171" s="68" t="s">
        <v>224</v>
      </c>
      <c r="E171" s="69">
        <v>25</v>
      </c>
      <c r="F171" s="69">
        <v>25</v>
      </c>
      <c r="G171" s="69">
        <v>3</v>
      </c>
      <c r="H171" s="69">
        <v>0</v>
      </c>
      <c r="I171" s="69">
        <v>2</v>
      </c>
      <c r="J171" s="69">
        <v>1</v>
      </c>
      <c r="K171" s="69">
        <v>0</v>
      </c>
      <c r="L171" s="69">
        <v>0</v>
      </c>
      <c r="M171" s="69">
        <v>22</v>
      </c>
      <c r="N171" s="69">
        <v>16</v>
      </c>
      <c r="O171" s="69">
        <v>15</v>
      </c>
      <c r="P171" s="69"/>
      <c r="Q171" s="69"/>
      <c r="R171" s="69"/>
      <c r="S171" s="69"/>
      <c r="T171" s="69"/>
      <c r="U171" s="296"/>
      <c r="V171" s="69"/>
      <c r="W171" s="69"/>
      <c r="X171" s="69"/>
      <c r="Y171" s="69"/>
      <c r="Z171" s="69"/>
      <c r="AA171" s="284"/>
      <c r="AB171" s="69">
        <v>206</v>
      </c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>
        <v>-1.3</v>
      </c>
      <c r="AO171" s="69"/>
      <c r="AP171" s="70"/>
      <c r="AQ171" s="275">
        <v>27</v>
      </c>
      <c r="AR171" s="58" t="b">
        <f t="shared" si="10"/>
        <v>0</v>
      </c>
    </row>
    <row r="172" spans="1:44" ht="16.5" customHeight="1">
      <c r="A172" s="62" t="s">
        <v>222</v>
      </c>
      <c r="B172" s="76" t="s">
        <v>50</v>
      </c>
      <c r="C172" s="75" t="s">
        <v>115</v>
      </c>
      <c r="D172" s="68" t="s">
        <v>225</v>
      </c>
      <c r="E172" s="69">
        <v>30</v>
      </c>
      <c r="F172" s="69">
        <v>18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18</v>
      </c>
      <c r="N172" s="69">
        <v>16</v>
      </c>
      <c r="O172" s="69">
        <v>15</v>
      </c>
      <c r="P172" s="69"/>
      <c r="Q172" s="69"/>
      <c r="R172" s="69"/>
      <c r="S172" s="69"/>
      <c r="T172" s="69"/>
      <c r="U172" s="296"/>
      <c r="V172" s="69"/>
      <c r="W172" s="69"/>
      <c r="X172" s="69"/>
      <c r="Y172" s="69"/>
      <c r="Z172" s="69"/>
      <c r="AA172" s="284"/>
      <c r="AB172" s="69">
        <v>475</v>
      </c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>
        <v>1.5</v>
      </c>
      <c r="AO172" s="69"/>
      <c r="AP172" s="70"/>
      <c r="AQ172" s="275">
        <v>28</v>
      </c>
      <c r="AR172" s="58" t="b">
        <f t="shared" si="10"/>
        <v>0</v>
      </c>
    </row>
    <row r="173" spans="1:44" ht="16.5" customHeight="1">
      <c r="A173" s="62" t="s">
        <v>222</v>
      </c>
      <c r="B173" s="76" t="s">
        <v>50</v>
      </c>
      <c r="C173" s="76" t="s">
        <v>130</v>
      </c>
      <c r="D173" s="119" t="s">
        <v>226</v>
      </c>
      <c r="E173" s="120">
        <v>21</v>
      </c>
      <c r="F173" s="120">
        <v>18</v>
      </c>
      <c r="G173" s="120">
        <v>5</v>
      </c>
      <c r="H173" s="120">
        <v>0</v>
      </c>
      <c r="I173" s="120">
        <v>5</v>
      </c>
      <c r="J173" s="120">
        <v>0</v>
      </c>
      <c r="K173" s="120">
        <v>0</v>
      </c>
      <c r="L173" s="120">
        <v>0</v>
      </c>
      <c r="M173" s="120">
        <v>13</v>
      </c>
      <c r="N173" s="120">
        <v>11</v>
      </c>
      <c r="O173" s="120">
        <v>11</v>
      </c>
      <c r="P173" s="120"/>
      <c r="Q173" s="120"/>
      <c r="R173" s="120"/>
      <c r="S173" s="120"/>
      <c r="T173" s="120"/>
      <c r="U173" s="319"/>
      <c r="V173" s="120"/>
      <c r="W173" s="120"/>
      <c r="X173" s="120"/>
      <c r="Y173" s="120"/>
      <c r="Z173" s="120"/>
      <c r="AA173" s="320"/>
      <c r="AB173" s="120">
        <v>155</v>
      </c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>
        <v>-3.3</v>
      </c>
      <c r="AO173" s="120"/>
      <c r="AP173" s="120"/>
      <c r="AQ173" s="123">
        <v>0</v>
      </c>
      <c r="AR173" s="123">
        <v>0</v>
      </c>
    </row>
    <row r="174" spans="1:44" ht="15.75" customHeight="1">
      <c r="A174" s="62" t="s">
        <v>222</v>
      </c>
      <c r="B174" s="404" t="s">
        <v>51</v>
      </c>
      <c r="C174" s="405"/>
      <c r="D174" s="73" t="s">
        <v>114</v>
      </c>
      <c r="E174" s="74">
        <v>25</v>
      </c>
      <c r="F174" s="74">
        <v>12</v>
      </c>
      <c r="G174" s="74">
        <v>0</v>
      </c>
      <c r="H174" s="74">
        <v>0</v>
      </c>
      <c r="I174" s="74">
        <v>0</v>
      </c>
      <c r="J174" s="74">
        <v>0</v>
      </c>
      <c r="K174" s="74">
        <v>0</v>
      </c>
      <c r="L174" s="74">
        <v>0</v>
      </c>
      <c r="M174" s="74">
        <v>12</v>
      </c>
      <c r="N174" s="74">
        <v>10</v>
      </c>
      <c r="O174" s="74">
        <v>9</v>
      </c>
      <c r="P174" s="74"/>
      <c r="Q174" s="74"/>
      <c r="R174" s="74"/>
      <c r="S174" s="74"/>
      <c r="T174" s="74"/>
      <c r="U174" s="287"/>
      <c r="V174" s="74"/>
      <c r="W174" s="74"/>
      <c r="X174" s="74"/>
      <c r="Y174" s="74"/>
      <c r="Z174" s="74"/>
      <c r="AA174" s="288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294"/>
      <c r="AO174" s="294"/>
      <c r="AP174" s="295"/>
      <c r="AQ174" s="275">
        <v>24</v>
      </c>
      <c r="AR174" s="58" t="b">
        <f>EXACT(F174,AQ174)</f>
        <v>0</v>
      </c>
    </row>
    <row r="175" spans="1:44" ht="17.25" customHeight="1">
      <c r="A175" s="62" t="s">
        <v>222</v>
      </c>
      <c r="B175" s="75" t="s">
        <v>51</v>
      </c>
      <c r="C175" s="75" t="s">
        <v>115</v>
      </c>
      <c r="D175" s="96" t="s">
        <v>227</v>
      </c>
      <c r="E175" s="97">
        <v>25</v>
      </c>
      <c r="F175" s="97">
        <v>12</v>
      </c>
      <c r="G175" s="97">
        <v>0</v>
      </c>
      <c r="H175" s="97">
        <v>0</v>
      </c>
      <c r="I175" s="97">
        <v>0</v>
      </c>
      <c r="J175" s="97">
        <v>0</v>
      </c>
      <c r="K175" s="97">
        <v>0</v>
      </c>
      <c r="L175" s="97">
        <v>0</v>
      </c>
      <c r="M175" s="97">
        <v>12</v>
      </c>
      <c r="N175" s="97">
        <v>10</v>
      </c>
      <c r="O175" s="97">
        <v>9</v>
      </c>
      <c r="P175" s="97"/>
      <c r="Q175" s="97"/>
      <c r="R175" s="97"/>
      <c r="S175" s="97"/>
      <c r="T175" s="97"/>
      <c r="U175" s="324"/>
      <c r="V175" s="97"/>
      <c r="W175" s="97"/>
      <c r="X175" s="97"/>
      <c r="Y175" s="97"/>
      <c r="Z175" s="97"/>
      <c r="AA175" s="325"/>
      <c r="AB175" s="97">
        <v>465</v>
      </c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>
        <v>1.6</v>
      </c>
      <c r="AO175" s="97"/>
      <c r="AP175" s="98"/>
      <c r="AQ175" s="275">
        <v>24</v>
      </c>
      <c r="AR175" s="58" t="b">
        <f>EXACT(F175,AQ175)</f>
        <v>0</v>
      </c>
    </row>
    <row r="176" spans="1:44" ht="17.25" customHeight="1">
      <c r="A176" s="62" t="s">
        <v>222</v>
      </c>
      <c r="B176" s="406" t="s">
        <v>52</v>
      </c>
      <c r="C176" s="405"/>
      <c r="D176" s="73" t="s">
        <v>114</v>
      </c>
      <c r="E176" s="74">
        <v>161</v>
      </c>
      <c r="F176" s="74">
        <v>73</v>
      </c>
      <c r="G176" s="74">
        <v>16</v>
      </c>
      <c r="H176" s="74">
        <v>9</v>
      </c>
      <c r="I176" s="74">
        <v>7</v>
      </c>
      <c r="J176" s="74">
        <v>0</v>
      </c>
      <c r="K176" s="74">
        <v>0</v>
      </c>
      <c r="L176" s="74">
        <v>0</v>
      </c>
      <c r="M176" s="74">
        <v>57</v>
      </c>
      <c r="N176" s="74">
        <v>51</v>
      </c>
      <c r="O176" s="74">
        <v>41</v>
      </c>
      <c r="P176" s="74"/>
      <c r="Q176" s="74"/>
      <c r="R176" s="74"/>
      <c r="S176" s="74"/>
      <c r="T176" s="74"/>
      <c r="U176" s="287"/>
      <c r="V176" s="326"/>
      <c r="W176" s="74"/>
      <c r="X176" s="74"/>
      <c r="Y176" s="74"/>
      <c r="Z176" s="74"/>
      <c r="AA176" s="288"/>
      <c r="AB176" s="74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7"/>
      <c r="AO176" s="327"/>
      <c r="AP176" s="328"/>
      <c r="AQ176" s="275">
        <v>120</v>
      </c>
      <c r="AR176" s="58" t="b">
        <f>EXACT(F176,AQ176)</f>
        <v>0</v>
      </c>
    </row>
    <row r="177" spans="1:44" ht="17.25" customHeight="1">
      <c r="A177" s="62" t="s">
        <v>222</v>
      </c>
      <c r="B177" s="124" t="s">
        <v>52</v>
      </c>
      <c r="C177" s="124" t="s">
        <v>115</v>
      </c>
      <c r="D177" s="125" t="s">
        <v>228</v>
      </c>
      <c r="E177" s="126">
        <v>30</v>
      </c>
      <c r="F177" s="126">
        <v>16</v>
      </c>
      <c r="G177" s="126">
        <v>3</v>
      </c>
      <c r="H177" s="126">
        <v>3</v>
      </c>
      <c r="I177" s="126">
        <v>0</v>
      </c>
      <c r="J177" s="126">
        <v>0</v>
      </c>
      <c r="K177" s="126">
        <v>0</v>
      </c>
      <c r="L177" s="126">
        <v>0</v>
      </c>
      <c r="M177" s="126">
        <v>13</v>
      </c>
      <c r="N177" s="126">
        <v>12</v>
      </c>
      <c r="O177" s="126">
        <v>8</v>
      </c>
      <c r="P177" s="126"/>
      <c r="Q177" s="126"/>
      <c r="R177" s="126"/>
      <c r="S177" s="126"/>
      <c r="T177" s="126"/>
      <c r="U177" s="329"/>
      <c r="V177" s="126"/>
      <c r="W177" s="126"/>
      <c r="X177" s="126"/>
      <c r="Y177" s="126"/>
      <c r="Z177" s="126"/>
      <c r="AA177" s="330"/>
      <c r="AB177" s="126">
        <v>475</v>
      </c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>
        <v>-1.8</v>
      </c>
      <c r="AO177" s="126"/>
      <c r="AP177" s="127"/>
      <c r="AQ177" s="275">
        <v>18</v>
      </c>
      <c r="AR177" s="58" t="b">
        <f>EXACT(F177,AQ177)</f>
        <v>0</v>
      </c>
    </row>
    <row r="178" spans="1:44" ht="17.25" customHeight="1">
      <c r="A178" s="62" t="s">
        <v>222</v>
      </c>
      <c r="B178" s="124" t="s">
        <v>52</v>
      </c>
      <c r="C178" s="124" t="s">
        <v>115</v>
      </c>
      <c r="D178" s="125" t="s">
        <v>229</v>
      </c>
      <c r="E178" s="126">
        <v>30</v>
      </c>
      <c r="F178" s="126">
        <v>6</v>
      </c>
      <c r="G178" s="126">
        <v>2</v>
      </c>
      <c r="H178" s="126">
        <v>1</v>
      </c>
      <c r="I178" s="126">
        <v>1</v>
      </c>
      <c r="J178" s="126">
        <v>0</v>
      </c>
      <c r="K178" s="126">
        <v>0</v>
      </c>
      <c r="L178" s="126">
        <v>0</v>
      </c>
      <c r="M178" s="126">
        <v>4</v>
      </c>
      <c r="N178" s="126">
        <v>3</v>
      </c>
      <c r="O178" s="126">
        <v>1</v>
      </c>
      <c r="P178" s="126"/>
      <c r="Q178" s="126"/>
      <c r="R178" s="126"/>
      <c r="S178" s="126"/>
      <c r="T178" s="126"/>
      <c r="U178" s="329"/>
      <c r="V178" s="126"/>
      <c r="W178" s="126"/>
      <c r="X178" s="126"/>
      <c r="Y178" s="126"/>
      <c r="Z178" s="126"/>
      <c r="AA178" s="330"/>
      <c r="AB178" s="126">
        <v>375</v>
      </c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>
        <v>3.8</v>
      </c>
      <c r="AO178" s="126"/>
      <c r="AP178" s="127"/>
      <c r="AQ178" s="275">
        <v>22</v>
      </c>
      <c r="AR178" s="58" t="b">
        <f>EXACT(F178,AQ178)</f>
        <v>0</v>
      </c>
    </row>
    <row r="179" spans="1:44" ht="17.25" customHeight="1">
      <c r="A179" s="62" t="s">
        <v>222</v>
      </c>
      <c r="B179" s="124" t="s">
        <v>52</v>
      </c>
      <c r="C179" s="124" t="s">
        <v>115</v>
      </c>
      <c r="D179" s="125" t="s">
        <v>117</v>
      </c>
      <c r="E179" s="126">
        <v>30</v>
      </c>
      <c r="F179" s="126">
        <v>19</v>
      </c>
      <c r="G179" s="126">
        <v>3</v>
      </c>
      <c r="H179" s="126">
        <v>0</v>
      </c>
      <c r="I179" s="126">
        <v>3</v>
      </c>
      <c r="J179" s="126">
        <v>0</v>
      </c>
      <c r="K179" s="126">
        <v>0</v>
      </c>
      <c r="L179" s="126">
        <v>0</v>
      </c>
      <c r="M179" s="126">
        <v>16</v>
      </c>
      <c r="N179" s="126">
        <v>14</v>
      </c>
      <c r="O179" s="126">
        <v>13</v>
      </c>
      <c r="P179" s="126"/>
      <c r="Q179" s="126"/>
      <c r="R179" s="126"/>
      <c r="S179" s="126"/>
      <c r="T179" s="126"/>
      <c r="U179" s="329"/>
      <c r="V179" s="126"/>
      <c r="W179" s="126"/>
      <c r="X179" s="126"/>
      <c r="Y179" s="126"/>
      <c r="Z179" s="126"/>
      <c r="AA179" s="330"/>
      <c r="AB179" s="126">
        <v>161</v>
      </c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>
        <v>7.8</v>
      </c>
      <c r="AO179" s="126"/>
      <c r="AP179" s="127"/>
      <c r="AQ179" s="275"/>
      <c r="AR179" s="58"/>
    </row>
    <row r="180" spans="1:44" ht="17.25" customHeight="1">
      <c r="A180" s="62" t="s">
        <v>222</v>
      </c>
      <c r="B180" s="124" t="s">
        <v>52</v>
      </c>
      <c r="C180" s="124" t="s">
        <v>115</v>
      </c>
      <c r="D180" s="125" t="s">
        <v>230</v>
      </c>
      <c r="E180" s="126">
        <v>60</v>
      </c>
      <c r="F180" s="126">
        <v>24</v>
      </c>
      <c r="G180" s="126">
        <v>6</v>
      </c>
      <c r="H180" s="126">
        <v>5</v>
      </c>
      <c r="I180" s="126">
        <v>1</v>
      </c>
      <c r="J180" s="126">
        <v>0</v>
      </c>
      <c r="K180" s="126">
        <v>0</v>
      </c>
      <c r="L180" s="126">
        <v>0</v>
      </c>
      <c r="M180" s="126">
        <v>18</v>
      </c>
      <c r="N180" s="126">
        <v>16</v>
      </c>
      <c r="O180" s="126">
        <v>13</v>
      </c>
      <c r="P180" s="126"/>
      <c r="Q180" s="126"/>
      <c r="R180" s="126"/>
      <c r="S180" s="126"/>
      <c r="T180" s="126"/>
      <c r="U180" s="329"/>
      <c r="V180" s="126"/>
      <c r="W180" s="126"/>
      <c r="X180" s="126"/>
      <c r="Y180" s="126"/>
      <c r="Z180" s="126"/>
      <c r="AA180" s="330"/>
      <c r="AB180" s="126">
        <v>321</v>
      </c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>
        <v>-4.8</v>
      </c>
      <c r="AO180" s="126"/>
      <c r="AP180" s="126"/>
      <c r="AQ180" s="275"/>
      <c r="AR180" s="58"/>
    </row>
    <row r="181" spans="1:44" ht="17.25" customHeight="1">
      <c r="A181" s="62" t="s">
        <v>222</v>
      </c>
      <c r="B181" s="124" t="s">
        <v>52</v>
      </c>
      <c r="C181" s="76" t="s">
        <v>130</v>
      </c>
      <c r="D181" s="126" t="s">
        <v>231</v>
      </c>
      <c r="E181" s="126">
        <v>11</v>
      </c>
      <c r="F181" s="126">
        <v>8</v>
      </c>
      <c r="G181" s="126">
        <v>2</v>
      </c>
      <c r="H181" s="126">
        <v>0</v>
      </c>
      <c r="I181" s="126">
        <v>2</v>
      </c>
      <c r="J181" s="126">
        <v>0</v>
      </c>
      <c r="K181" s="126">
        <v>0</v>
      </c>
      <c r="L181" s="126">
        <v>0</v>
      </c>
      <c r="M181" s="126">
        <v>6</v>
      </c>
      <c r="N181" s="126">
        <v>6</v>
      </c>
      <c r="O181" s="126">
        <v>6</v>
      </c>
      <c r="P181" s="126"/>
      <c r="Q181" s="126"/>
      <c r="R181" s="126"/>
      <c r="S181" s="126"/>
      <c r="T181" s="126"/>
      <c r="U181" s="329"/>
      <c r="V181" s="126"/>
      <c r="W181" s="126"/>
      <c r="X181" s="126"/>
      <c r="Y181" s="126"/>
      <c r="Z181" s="126"/>
      <c r="AA181" s="330"/>
      <c r="AB181" s="126">
        <v>128</v>
      </c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>
        <v>7.7</v>
      </c>
      <c r="AO181" s="126"/>
      <c r="AP181" s="126"/>
      <c r="AQ181" s="275">
        <v>22</v>
      </c>
      <c r="AR181" s="58" t="b">
        <f t="shared" ref="AR181:AR206" si="11">EXACT(F181,AQ181)</f>
        <v>0</v>
      </c>
    </row>
    <row r="182" spans="1:44" ht="16.5" customHeight="1">
      <c r="A182" s="118" t="s">
        <v>53</v>
      </c>
      <c r="B182" s="416" t="s">
        <v>113</v>
      </c>
      <c r="C182" s="417"/>
      <c r="D182" s="405"/>
      <c r="E182" s="79">
        <v>1441</v>
      </c>
      <c r="F182" s="79">
        <v>1298</v>
      </c>
      <c r="G182" s="79">
        <v>44</v>
      </c>
      <c r="H182" s="79">
        <v>20</v>
      </c>
      <c r="I182" s="79">
        <v>24</v>
      </c>
      <c r="J182" s="79">
        <v>0</v>
      </c>
      <c r="K182" s="79">
        <v>0</v>
      </c>
      <c r="L182" s="79">
        <v>0</v>
      </c>
      <c r="M182" s="79">
        <v>1254</v>
      </c>
      <c r="N182" s="79">
        <v>1011</v>
      </c>
      <c r="O182" s="79">
        <v>991</v>
      </c>
      <c r="P182" s="79"/>
      <c r="Q182" s="79"/>
      <c r="R182" s="79"/>
      <c r="S182" s="79"/>
      <c r="T182" s="79"/>
      <c r="U182" s="297"/>
      <c r="V182" s="79"/>
      <c r="W182" s="79"/>
      <c r="X182" s="79"/>
      <c r="Y182" s="79"/>
      <c r="Z182" s="79"/>
      <c r="AA182" s="303"/>
      <c r="AB182" s="79">
        <v>27</v>
      </c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>
        <v>-2.5</v>
      </c>
      <c r="AO182" s="79"/>
      <c r="AP182" s="79"/>
      <c r="AQ182" s="275">
        <v>1360</v>
      </c>
      <c r="AR182" s="58" t="b">
        <f t="shared" si="11"/>
        <v>0</v>
      </c>
    </row>
    <row r="183" spans="1:44">
      <c r="A183" s="62" t="s">
        <v>53</v>
      </c>
      <c r="B183" s="404" t="s">
        <v>54</v>
      </c>
      <c r="C183" s="405"/>
      <c r="D183" s="73" t="s">
        <v>114</v>
      </c>
      <c r="E183" s="74">
        <v>696</v>
      </c>
      <c r="F183" s="74">
        <v>682</v>
      </c>
      <c r="G183" s="74">
        <v>18</v>
      </c>
      <c r="H183" s="74">
        <v>11</v>
      </c>
      <c r="I183" s="74">
        <v>7</v>
      </c>
      <c r="J183" s="74">
        <v>0</v>
      </c>
      <c r="K183" s="74">
        <v>0</v>
      </c>
      <c r="L183" s="74">
        <v>0</v>
      </c>
      <c r="M183" s="74">
        <v>664</v>
      </c>
      <c r="N183" s="74">
        <v>539</v>
      </c>
      <c r="O183" s="74">
        <v>530</v>
      </c>
      <c r="P183" s="74"/>
      <c r="Q183" s="74"/>
      <c r="R183" s="74"/>
      <c r="S183" s="74"/>
      <c r="T183" s="74"/>
      <c r="U183" s="287"/>
      <c r="V183" s="74"/>
      <c r="W183" s="74"/>
      <c r="X183" s="74"/>
      <c r="Y183" s="74"/>
      <c r="Z183" s="74"/>
      <c r="AA183" s="288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331"/>
      <c r="AO183" s="294"/>
      <c r="AP183" s="295"/>
      <c r="AQ183" s="275">
        <v>619</v>
      </c>
      <c r="AR183" s="58" t="b">
        <f t="shared" si="11"/>
        <v>0</v>
      </c>
    </row>
    <row r="184" spans="1:44" ht="16.5" customHeight="1">
      <c r="A184" s="62" t="s">
        <v>53</v>
      </c>
      <c r="B184" s="128" t="s">
        <v>54</v>
      </c>
      <c r="C184" s="129" t="s">
        <v>115</v>
      </c>
      <c r="D184" s="68" t="s">
        <v>153</v>
      </c>
      <c r="E184" s="69">
        <v>85</v>
      </c>
      <c r="F184" s="69">
        <v>90</v>
      </c>
      <c r="G184" s="69">
        <v>2</v>
      </c>
      <c r="H184" s="69">
        <v>0</v>
      </c>
      <c r="I184" s="69">
        <v>2</v>
      </c>
      <c r="J184" s="69">
        <v>0</v>
      </c>
      <c r="K184" s="69">
        <v>0</v>
      </c>
      <c r="L184" s="69">
        <v>0</v>
      </c>
      <c r="M184" s="69">
        <v>88</v>
      </c>
      <c r="N184" s="69">
        <v>75</v>
      </c>
      <c r="O184" s="69">
        <v>75</v>
      </c>
      <c r="P184" s="69"/>
      <c r="Q184" s="69"/>
      <c r="R184" s="69"/>
      <c r="S184" s="69"/>
      <c r="T184" s="69"/>
      <c r="U184" s="296"/>
      <c r="V184" s="69"/>
      <c r="W184" s="69"/>
      <c r="X184" s="69"/>
      <c r="Y184" s="69"/>
      <c r="Z184" s="69"/>
      <c r="AA184" s="284"/>
      <c r="AB184" s="69">
        <v>338</v>
      </c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>
        <v>-4.5</v>
      </c>
      <c r="AO184" s="69"/>
      <c r="AP184" s="70"/>
      <c r="AQ184" s="275">
        <v>86</v>
      </c>
      <c r="AR184" s="58" t="b">
        <f t="shared" si="11"/>
        <v>0</v>
      </c>
    </row>
    <row r="185" spans="1:44" ht="16.5" customHeight="1">
      <c r="A185" s="62" t="s">
        <v>53</v>
      </c>
      <c r="B185" s="128" t="s">
        <v>54</v>
      </c>
      <c r="C185" s="129" t="s">
        <v>115</v>
      </c>
      <c r="D185" s="68" t="s">
        <v>143</v>
      </c>
      <c r="E185" s="69">
        <v>30</v>
      </c>
      <c r="F185" s="69">
        <v>32</v>
      </c>
      <c r="G185" s="69">
        <v>1</v>
      </c>
      <c r="H185" s="69">
        <v>1</v>
      </c>
      <c r="I185" s="69">
        <v>0</v>
      </c>
      <c r="J185" s="69">
        <v>0</v>
      </c>
      <c r="K185" s="69">
        <v>0</v>
      </c>
      <c r="L185" s="69">
        <v>0</v>
      </c>
      <c r="M185" s="69">
        <v>31</v>
      </c>
      <c r="N185" s="69">
        <v>22</v>
      </c>
      <c r="O185" s="69">
        <v>22</v>
      </c>
      <c r="P185" s="69"/>
      <c r="Q185" s="69"/>
      <c r="R185" s="69"/>
      <c r="S185" s="69"/>
      <c r="T185" s="69"/>
      <c r="U185" s="296"/>
      <c r="V185" s="69"/>
      <c r="W185" s="69"/>
      <c r="X185" s="69"/>
      <c r="Y185" s="69"/>
      <c r="Z185" s="69"/>
      <c r="AA185" s="284"/>
      <c r="AB185" s="69">
        <v>420</v>
      </c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>
        <v>1.9</v>
      </c>
      <c r="AO185" s="69"/>
      <c r="AP185" s="70"/>
      <c r="AQ185" s="275">
        <v>87</v>
      </c>
      <c r="AR185" s="58" t="b">
        <f t="shared" si="11"/>
        <v>0</v>
      </c>
    </row>
    <row r="186" spans="1:44" ht="16.5" customHeight="1">
      <c r="A186" s="62" t="s">
        <v>53</v>
      </c>
      <c r="B186" s="128" t="s">
        <v>54</v>
      </c>
      <c r="C186" s="129" t="s">
        <v>115</v>
      </c>
      <c r="D186" s="68" t="s">
        <v>218</v>
      </c>
      <c r="E186" s="69">
        <v>30</v>
      </c>
      <c r="F186" s="69">
        <v>29</v>
      </c>
      <c r="G186" s="69">
        <v>0</v>
      </c>
      <c r="H186" s="69">
        <v>0</v>
      </c>
      <c r="I186" s="69">
        <v>0</v>
      </c>
      <c r="J186" s="69">
        <v>0</v>
      </c>
      <c r="K186" s="69">
        <v>0</v>
      </c>
      <c r="L186" s="69">
        <v>0</v>
      </c>
      <c r="M186" s="69">
        <v>29</v>
      </c>
      <c r="N186" s="69">
        <v>26</v>
      </c>
      <c r="O186" s="69">
        <v>26</v>
      </c>
      <c r="P186" s="69"/>
      <c r="Q186" s="69"/>
      <c r="R186" s="69"/>
      <c r="S186" s="69"/>
      <c r="T186" s="69"/>
      <c r="U186" s="296"/>
      <c r="V186" s="69"/>
      <c r="W186" s="69"/>
      <c r="X186" s="69"/>
      <c r="Y186" s="69"/>
      <c r="Z186" s="69"/>
      <c r="AA186" s="284"/>
      <c r="AB186" s="69">
        <v>320</v>
      </c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>
        <v>1.4</v>
      </c>
      <c r="AO186" s="69"/>
      <c r="AP186" s="70"/>
      <c r="AQ186" s="275">
        <v>88</v>
      </c>
      <c r="AR186" s="58" t="b">
        <f t="shared" si="11"/>
        <v>0</v>
      </c>
    </row>
    <row r="187" spans="1:44" ht="16.5" customHeight="1">
      <c r="A187" s="62" t="s">
        <v>53</v>
      </c>
      <c r="B187" s="128" t="s">
        <v>54</v>
      </c>
      <c r="C187" s="129" t="s">
        <v>115</v>
      </c>
      <c r="D187" s="68" t="s">
        <v>208</v>
      </c>
      <c r="E187" s="69">
        <v>60</v>
      </c>
      <c r="F187" s="69">
        <v>75</v>
      </c>
      <c r="G187" s="69">
        <v>2</v>
      </c>
      <c r="H187" s="69">
        <v>2</v>
      </c>
      <c r="I187" s="69">
        <v>0</v>
      </c>
      <c r="J187" s="69">
        <v>0</v>
      </c>
      <c r="K187" s="69">
        <v>0</v>
      </c>
      <c r="L187" s="69">
        <v>0</v>
      </c>
      <c r="M187" s="69">
        <v>73</v>
      </c>
      <c r="N187" s="69">
        <v>55</v>
      </c>
      <c r="O187" s="69">
        <v>55</v>
      </c>
      <c r="P187" s="69"/>
      <c r="Q187" s="69"/>
      <c r="R187" s="69"/>
      <c r="S187" s="69"/>
      <c r="T187" s="69"/>
      <c r="U187" s="296"/>
      <c r="V187" s="69"/>
      <c r="W187" s="69"/>
      <c r="X187" s="69"/>
      <c r="Y187" s="69"/>
      <c r="Z187" s="69"/>
      <c r="AA187" s="284"/>
      <c r="AB187" s="69">
        <v>176</v>
      </c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>
        <v>7.7</v>
      </c>
      <c r="AO187" s="69"/>
      <c r="AP187" s="70"/>
      <c r="AQ187" s="275">
        <v>89</v>
      </c>
      <c r="AR187" s="58" t="b">
        <f t="shared" si="11"/>
        <v>0</v>
      </c>
    </row>
    <row r="188" spans="1:44" ht="16.5" customHeight="1">
      <c r="A188" s="130" t="s">
        <v>53</v>
      </c>
      <c r="B188" s="131" t="s">
        <v>54</v>
      </c>
      <c r="C188" s="129" t="s">
        <v>115</v>
      </c>
      <c r="D188" s="68" t="s">
        <v>117</v>
      </c>
      <c r="E188" s="69">
        <v>85</v>
      </c>
      <c r="F188" s="69">
        <v>97</v>
      </c>
      <c r="G188" s="69">
        <v>3</v>
      </c>
      <c r="H188" s="69">
        <v>2</v>
      </c>
      <c r="I188" s="69">
        <v>1</v>
      </c>
      <c r="J188" s="69">
        <v>0</v>
      </c>
      <c r="K188" s="69">
        <v>0</v>
      </c>
      <c r="L188" s="69">
        <v>0</v>
      </c>
      <c r="M188" s="69">
        <v>94</v>
      </c>
      <c r="N188" s="69">
        <v>77</v>
      </c>
      <c r="O188" s="69">
        <v>75</v>
      </c>
      <c r="P188" s="69"/>
      <c r="Q188" s="69"/>
      <c r="R188" s="69"/>
      <c r="S188" s="69"/>
      <c r="T188" s="69"/>
      <c r="U188" s="296"/>
      <c r="V188" s="69"/>
      <c r="W188" s="69"/>
      <c r="X188" s="69"/>
      <c r="Y188" s="69"/>
      <c r="Z188" s="69"/>
      <c r="AA188" s="284"/>
      <c r="AB188" s="69">
        <v>281</v>
      </c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>
        <v>-3.6</v>
      </c>
      <c r="AO188" s="69"/>
      <c r="AP188" s="70"/>
      <c r="AQ188" s="275">
        <v>90</v>
      </c>
      <c r="AR188" s="58" t="b">
        <f t="shared" si="11"/>
        <v>0</v>
      </c>
    </row>
    <row r="189" spans="1:44" ht="16.5" customHeight="1">
      <c r="A189" s="130" t="s">
        <v>53</v>
      </c>
      <c r="B189" s="131" t="s">
        <v>54</v>
      </c>
      <c r="C189" s="129" t="s">
        <v>115</v>
      </c>
      <c r="D189" s="68" t="s">
        <v>155</v>
      </c>
      <c r="E189" s="69">
        <v>60</v>
      </c>
      <c r="F189" s="69">
        <v>66</v>
      </c>
      <c r="G189" s="69">
        <v>0</v>
      </c>
      <c r="H189" s="69">
        <v>0</v>
      </c>
      <c r="I189" s="69">
        <v>0</v>
      </c>
      <c r="J189" s="69">
        <v>0</v>
      </c>
      <c r="K189" s="69">
        <v>0</v>
      </c>
      <c r="L189" s="69">
        <v>0</v>
      </c>
      <c r="M189" s="69">
        <v>66</v>
      </c>
      <c r="N189" s="69">
        <v>56</v>
      </c>
      <c r="O189" s="69">
        <v>56</v>
      </c>
      <c r="P189" s="69"/>
      <c r="Q189" s="69"/>
      <c r="R189" s="69"/>
      <c r="S189" s="69"/>
      <c r="T189" s="69"/>
      <c r="U189" s="296"/>
      <c r="V189" s="69"/>
      <c r="W189" s="69"/>
      <c r="X189" s="69"/>
      <c r="Y189" s="69"/>
      <c r="Z189" s="69"/>
      <c r="AA189" s="284"/>
      <c r="AB189" s="69">
        <v>62</v>
      </c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>
        <v>0.1</v>
      </c>
      <c r="AO189" s="69"/>
      <c r="AP189" s="70"/>
      <c r="AQ189" s="275">
        <v>91</v>
      </c>
      <c r="AR189" s="58" t="b">
        <f t="shared" si="11"/>
        <v>0</v>
      </c>
    </row>
    <row r="190" spans="1:44" ht="16.5" customHeight="1">
      <c r="A190" s="62" t="s">
        <v>53</v>
      </c>
      <c r="B190" s="128" t="s">
        <v>54</v>
      </c>
      <c r="C190" s="129" t="s">
        <v>115</v>
      </c>
      <c r="D190" s="68" t="s">
        <v>156</v>
      </c>
      <c r="E190" s="69">
        <v>30</v>
      </c>
      <c r="F190" s="69">
        <v>25</v>
      </c>
      <c r="G190" s="69">
        <v>1</v>
      </c>
      <c r="H190" s="69">
        <v>1</v>
      </c>
      <c r="I190" s="69">
        <v>0</v>
      </c>
      <c r="J190" s="69">
        <v>0</v>
      </c>
      <c r="K190" s="69">
        <v>0</v>
      </c>
      <c r="L190" s="69">
        <v>0</v>
      </c>
      <c r="M190" s="69">
        <v>24</v>
      </c>
      <c r="N190" s="69">
        <v>18</v>
      </c>
      <c r="O190" s="69">
        <v>18</v>
      </c>
      <c r="P190" s="69"/>
      <c r="Q190" s="69"/>
      <c r="R190" s="69"/>
      <c r="S190" s="69"/>
      <c r="T190" s="69"/>
      <c r="U190" s="296"/>
      <c r="V190" s="69"/>
      <c r="W190" s="69"/>
      <c r="X190" s="69"/>
      <c r="Y190" s="69"/>
      <c r="Z190" s="69"/>
      <c r="AA190" s="284"/>
      <c r="AB190" s="69">
        <v>11</v>
      </c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>
        <v>-2.9</v>
      </c>
      <c r="AO190" s="69"/>
      <c r="AP190" s="70"/>
      <c r="AQ190" s="275">
        <v>92</v>
      </c>
      <c r="AR190" s="58" t="b">
        <f t="shared" si="11"/>
        <v>0</v>
      </c>
    </row>
    <row r="191" spans="1:44" ht="16.5" customHeight="1">
      <c r="A191" s="62" t="s">
        <v>53</v>
      </c>
      <c r="B191" s="128" t="s">
        <v>54</v>
      </c>
      <c r="C191" s="129" t="s">
        <v>115</v>
      </c>
      <c r="D191" s="68" t="s">
        <v>232</v>
      </c>
      <c r="E191" s="69">
        <v>30</v>
      </c>
      <c r="F191" s="69">
        <v>27</v>
      </c>
      <c r="G191" s="69">
        <v>3</v>
      </c>
      <c r="H191" s="69">
        <v>3</v>
      </c>
      <c r="I191" s="69">
        <v>0</v>
      </c>
      <c r="J191" s="69">
        <v>0</v>
      </c>
      <c r="K191" s="69">
        <v>0</v>
      </c>
      <c r="L191" s="69">
        <v>0</v>
      </c>
      <c r="M191" s="69">
        <v>24</v>
      </c>
      <c r="N191" s="69">
        <v>16</v>
      </c>
      <c r="O191" s="69">
        <v>16</v>
      </c>
      <c r="P191" s="69"/>
      <c r="Q191" s="69"/>
      <c r="R191" s="69"/>
      <c r="S191" s="69"/>
      <c r="T191" s="69"/>
      <c r="U191" s="296"/>
      <c r="V191" s="69"/>
      <c r="W191" s="69"/>
      <c r="X191" s="69"/>
      <c r="Y191" s="69"/>
      <c r="Z191" s="69"/>
      <c r="AA191" s="284"/>
      <c r="AB191" s="69">
        <v>299</v>
      </c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>
        <v>3</v>
      </c>
      <c r="AO191" s="69"/>
      <c r="AP191" s="70"/>
      <c r="AQ191" s="275">
        <v>93</v>
      </c>
      <c r="AR191" s="58" t="b">
        <f t="shared" si="11"/>
        <v>0</v>
      </c>
    </row>
    <row r="192" spans="1:44" ht="16.5" customHeight="1">
      <c r="A192" s="62" t="s">
        <v>53</v>
      </c>
      <c r="B192" s="128" t="s">
        <v>54</v>
      </c>
      <c r="C192" s="129" t="s">
        <v>115</v>
      </c>
      <c r="D192" s="68" t="s">
        <v>121</v>
      </c>
      <c r="E192" s="69">
        <v>60</v>
      </c>
      <c r="F192" s="69">
        <v>54</v>
      </c>
      <c r="G192" s="69">
        <v>2</v>
      </c>
      <c r="H192" s="69">
        <v>1</v>
      </c>
      <c r="I192" s="69">
        <v>1</v>
      </c>
      <c r="J192" s="69">
        <v>0</v>
      </c>
      <c r="K192" s="69">
        <v>0</v>
      </c>
      <c r="L192" s="69">
        <v>0</v>
      </c>
      <c r="M192" s="69">
        <v>52</v>
      </c>
      <c r="N192" s="69">
        <v>42</v>
      </c>
      <c r="O192" s="69">
        <v>40</v>
      </c>
      <c r="P192" s="69"/>
      <c r="Q192" s="69"/>
      <c r="R192" s="69"/>
      <c r="S192" s="69"/>
      <c r="T192" s="69"/>
      <c r="U192" s="296"/>
      <c r="V192" s="69"/>
      <c r="W192" s="69"/>
      <c r="X192" s="69"/>
      <c r="Y192" s="69"/>
      <c r="Z192" s="69"/>
      <c r="AA192" s="284"/>
      <c r="AB192" s="69">
        <v>163</v>
      </c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>
        <v>5.3</v>
      </c>
      <c r="AO192" s="69"/>
      <c r="AP192" s="70"/>
      <c r="AQ192" s="275">
        <v>94</v>
      </c>
      <c r="AR192" s="58" t="b">
        <f t="shared" si="11"/>
        <v>0</v>
      </c>
    </row>
    <row r="193" spans="1:44" ht="16.5" customHeight="1">
      <c r="A193" s="62" t="s">
        <v>53</v>
      </c>
      <c r="B193" s="128" t="s">
        <v>54</v>
      </c>
      <c r="C193" s="129" t="s">
        <v>115</v>
      </c>
      <c r="D193" s="68" t="s">
        <v>124</v>
      </c>
      <c r="E193" s="69">
        <v>75</v>
      </c>
      <c r="F193" s="69">
        <v>69</v>
      </c>
      <c r="G193" s="69">
        <v>1</v>
      </c>
      <c r="H193" s="69">
        <v>1</v>
      </c>
      <c r="I193" s="69">
        <v>0</v>
      </c>
      <c r="J193" s="69">
        <v>0</v>
      </c>
      <c r="K193" s="69">
        <v>0</v>
      </c>
      <c r="L193" s="69">
        <v>0</v>
      </c>
      <c r="M193" s="69">
        <v>68</v>
      </c>
      <c r="N193" s="69">
        <v>57</v>
      </c>
      <c r="O193" s="69">
        <v>55</v>
      </c>
      <c r="P193" s="69"/>
      <c r="Q193" s="69"/>
      <c r="R193" s="69"/>
      <c r="S193" s="69"/>
      <c r="T193" s="69"/>
      <c r="U193" s="296"/>
      <c r="V193" s="69"/>
      <c r="W193" s="69"/>
      <c r="X193" s="69"/>
      <c r="Y193" s="69"/>
      <c r="Z193" s="69"/>
      <c r="AA193" s="284"/>
      <c r="AB193" s="69">
        <v>83</v>
      </c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>
        <v>-2.2999999999999998</v>
      </c>
      <c r="AO193" s="69"/>
      <c r="AP193" s="70"/>
      <c r="AQ193" s="275">
        <v>95</v>
      </c>
      <c r="AR193" s="58" t="b">
        <f t="shared" si="11"/>
        <v>0</v>
      </c>
    </row>
    <row r="194" spans="1:44" ht="16.5" customHeight="1">
      <c r="A194" s="62" t="s">
        <v>53</v>
      </c>
      <c r="B194" s="128" t="s">
        <v>54</v>
      </c>
      <c r="C194" s="129" t="s">
        <v>115</v>
      </c>
      <c r="D194" s="68" t="s">
        <v>233</v>
      </c>
      <c r="E194" s="69">
        <v>50</v>
      </c>
      <c r="F194" s="69">
        <v>62</v>
      </c>
      <c r="G194" s="69">
        <v>0</v>
      </c>
      <c r="H194" s="69">
        <v>0</v>
      </c>
      <c r="I194" s="69">
        <v>0</v>
      </c>
      <c r="J194" s="69">
        <v>0</v>
      </c>
      <c r="K194" s="69">
        <v>0</v>
      </c>
      <c r="L194" s="69">
        <v>0</v>
      </c>
      <c r="M194" s="69">
        <v>62</v>
      </c>
      <c r="N194" s="69">
        <v>46</v>
      </c>
      <c r="O194" s="69">
        <v>44</v>
      </c>
      <c r="P194" s="69"/>
      <c r="Q194" s="69"/>
      <c r="R194" s="69"/>
      <c r="S194" s="69"/>
      <c r="T194" s="69"/>
      <c r="U194" s="296"/>
      <c r="V194" s="69"/>
      <c r="W194" s="69"/>
      <c r="X194" s="69"/>
      <c r="Y194" s="69"/>
      <c r="Z194" s="69"/>
      <c r="AA194" s="284"/>
      <c r="AB194" s="69">
        <v>140</v>
      </c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>
        <v>3.2</v>
      </c>
      <c r="AO194" s="69"/>
      <c r="AP194" s="70"/>
      <c r="AQ194" s="275">
        <v>96</v>
      </c>
      <c r="AR194" s="58" t="b">
        <f t="shared" si="11"/>
        <v>0</v>
      </c>
    </row>
    <row r="195" spans="1:44" ht="16.5" customHeight="1">
      <c r="A195" s="62" t="s">
        <v>53</v>
      </c>
      <c r="B195" s="128" t="s">
        <v>54</v>
      </c>
      <c r="C195" s="129" t="s">
        <v>127</v>
      </c>
      <c r="D195" s="68" t="s">
        <v>234</v>
      </c>
      <c r="E195" s="69">
        <v>25</v>
      </c>
      <c r="F195" s="69">
        <v>15</v>
      </c>
      <c r="G195" s="69">
        <v>0</v>
      </c>
      <c r="H195" s="69">
        <v>0</v>
      </c>
      <c r="I195" s="69">
        <v>0</v>
      </c>
      <c r="J195" s="69">
        <v>0</v>
      </c>
      <c r="K195" s="69">
        <v>0</v>
      </c>
      <c r="L195" s="69">
        <v>0</v>
      </c>
      <c r="M195" s="69">
        <v>15</v>
      </c>
      <c r="N195" s="69">
        <v>15</v>
      </c>
      <c r="O195" s="69">
        <v>15</v>
      </c>
      <c r="P195" s="69"/>
      <c r="Q195" s="69"/>
      <c r="R195" s="69"/>
      <c r="S195" s="69"/>
      <c r="T195" s="69"/>
      <c r="U195" s="296"/>
      <c r="V195" s="69"/>
      <c r="W195" s="69"/>
      <c r="X195" s="69"/>
      <c r="Y195" s="69"/>
      <c r="Z195" s="69"/>
      <c r="AA195" s="284"/>
      <c r="AB195" s="69">
        <v>254</v>
      </c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>
        <v>7.5</v>
      </c>
      <c r="AO195" s="69"/>
      <c r="AP195" s="70"/>
      <c r="AQ195" s="275">
        <v>11</v>
      </c>
      <c r="AR195" s="58" t="b">
        <f t="shared" si="11"/>
        <v>0</v>
      </c>
    </row>
    <row r="196" spans="1:44" ht="16.5" customHeight="1">
      <c r="A196" s="62" t="s">
        <v>53</v>
      </c>
      <c r="B196" s="128" t="s">
        <v>54</v>
      </c>
      <c r="C196" s="129" t="s">
        <v>127</v>
      </c>
      <c r="D196" s="68" t="s">
        <v>164</v>
      </c>
      <c r="E196" s="69">
        <v>25</v>
      </c>
      <c r="F196" s="69">
        <v>12</v>
      </c>
      <c r="G196" s="69">
        <v>0</v>
      </c>
      <c r="H196" s="69">
        <v>0</v>
      </c>
      <c r="I196" s="69">
        <v>0</v>
      </c>
      <c r="J196" s="69">
        <v>0</v>
      </c>
      <c r="K196" s="69">
        <v>0</v>
      </c>
      <c r="L196" s="69">
        <v>0</v>
      </c>
      <c r="M196" s="69">
        <v>12</v>
      </c>
      <c r="N196" s="69">
        <v>11</v>
      </c>
      <c r="O196" s="69">
        <v>10</v>
      </c>
      <c r="P196" s="69"/>
      <c r="Q196" s="69"/>
      <c r="R196" s="69"/>
      <c r="S196" s="69"/>
      <c r="T196" s="69"/>
      <c r="U196" s="296"/>
      <c r="V196" s="69"/>
      <c r="W196" s="69"/>
      <c r="X196" s="69"/>
      <c r="Y196" s="69"/>
      <c r="Z196" s="69"/>
      <c r="AA196" s="284"/>
      <c r="AB196" s="69">
        <v>493</v>
      </c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>
        <v>2.6</v>
      </c>
      <c r="AO196" s="69"/>
      <c r="AP196" s="70"/>
      <c r="AQ196" s="275">
        <v>24</v>
      </c>
      <c r="AR196" s="58" t="b">
        <f t="shared" si="11"/>
        <v>0</v>
      </c>
    </row>
    <row r="197" spans="1:44" ht="16.5" customHeight="1">
      <c r="A197" s="62" t="s">
        <v>53</v>
      </c>
      <c r="B197" s="128" t="s">
        <v>54</v>
      </c>
      <c r="C197" s="129" t="s">
        <v>127</v>
      </c>
      <c r="D197" s="68" t="s">
        <v>128</v>
      </c>
      <c r="E197" s="69">
        <v>25</v>
      </c>
      <c r="F197" s="69">
        <v>4</v>
      </c>
      <c r="G197" s="69">
        <v>0</v>
      </c>
      <c r="H197" s="69">
        <v>0</v>
      </c>
      <c r="I197" s="69">
        <v>0</v>
      </c>
      <c r="J197" s="69">
        <v>0</v>
      </c>
      <c r="K197" s="69">
        <v>0</v>
      </c>
      <c r="L197" s="69">
        <v>0</v>
      </c>
      <c r="M197" s="69">
        <v>4</v>
      </c>
      <c r="N197" s="69">
        <v>4</v>
      </c>
      <c r="O197" s="69">
        <v>4</v>
      </c>
      <c r="P197" s="69"/>
      <c r="Q197" s="69"/>
      <c r="R197" s="69"/>
      <c r="S197" s="69"/>
      <c r="T197" s="69"/>
      <c r="U197" s="296"/>
      <c r="V197" s="69"/>
      <c r="W197" s="69"/>
      <c r="X197" s="69"/>
      <c r="Y197" s="69"/>
      <c r="Z197" s="69"/>
      <c r="AA197" s="284"/>
      <c r="AB197" s="69">
        <v>136</v>
      </c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>
        <v>2.7</v>
      </c>
      <c r="AO197" s="69"/>
      <c r="AP197" s="70"/>
      <c r="AQ197" s="275">
        <v>15</v>
      </c>
      <c r="AR197" s="58" t="b">
        <f t="shared" si="11"/>
        <v>0</v>
      </c>
    </row>
    <row r="198" spans="1:44" ht="16.5" customHeight="1">
      <c r="A198" s="62" t="s">
        <v>53</v>
      </c>
      <c r="B198" s="128" t="s">
        <v>54</v>
      </c>
      <c r="C198" s="76" t="s">
        <v>130</v>
      </c>
      <c r="D198" s="106" t="s">
        <v>168</v>
      </c>
      <c r="E198" s="107">
        <v>26</v>
      </c>
      <c r="F198" s="107">
        <v>25</v>
      </c>
      <c r="G198" s="107">
        <v>3</v>
      </c>
      <c r="H198" s="107">
        <v>0</v>
      </c>
      <c r="I198" s="107">
        <v>3</v>
      </c>
      <c r="J198" s="107">
        <v>0</v>
      </c>
      <c r="K198" s="107">
        <v>0</v>
      </c>
      <c r="L198" s="107">
        <v>0</v>
      </c>
      <c r="M198" s="107">
        <v>22</v>
      </c>
      <c r="N198" s="107">
        <v>19</v>
      </c>
      <c r="O198" s="107">
        <v>19</v>
      </c>
      <c r="P198" s="107"/>
      <c r="Q198" s="107"/>
      <c r="R198" s="107"/>
      <c r="S198" s="107"/>
      <c r="T198" s="107"/>
      <c r="U198" s="314"/>
      <c r="V198" s="107"/>
      <c r="W198" s="107"/>
      <c r="X198" s="107"/>
      <c r="Y198" s="107"/>
      <c r="Z198" s="107"/>
      <c r="AA198" s="315"/>
      <c r="AB198" s="107">
        <v>419</v>
      </c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>
        <v>-0.4</v>
      </c>
      <c r="AO198" s="107"/>
      <c r="AP198" s="107"/>
      <c r="AQ198" s="275">
        <v>13</v>
      </c>
      <c r="AR198" s="58" t="b">
        <f t="shared" si="11"/>
        <v>0</v>
      </c>
    </row>
    <row r="199" spans="1:44">
      <c r="A199" s="62" t="s">
        <v>53</v>
      </c>
      <c r="B199" s="404" t="s">
        <v>55</v>
      </c>
      <c r="C199" s="405"/>
      <c r="D199" s="73" t="s">
        <v>114</v>
      </c>
      <c r="E199" s="74">
        <v>407</v>
      </c>
      <c r="F199" s="74">
        <v>318</v>
      </c>
      <c r="G199" s="74">
        <v>23</v>
      </c>
      <c r="H199" s="74">
        <v>7</v>
      </c>
      <c r="I199" s="74">
        <v>16</v>
      </c>
      <c r="J199" s="74">
        <v>0</v>
      </c>
      <c r="K199" s="74">
        <v>0</v>
      </c>
      <c r="L199" s="74">
        <v>0</v>
      </c>
      <c r="M199" s="74">
        <v>295</v>
      </c>
      <c r="N199" s="74">
        <v>228</v>
      </c>
      <c r="O199" s="74">
        <v>221</v>
      </c>
      <c r="P199" s="74"/>
      <c r="Q199" s="74"/>
      <c r="R199" s="74"/>
      <c r="S199" s="74"/>
      <c r="T199" s="74"/>
      <c r="U199" s="287"/>
      <c r="V199" s="74"/>
      <c r="W199" s="74"/>
      <c r="X199" s="74"/>
      <c r="Y199" s="74"/>
      <c r="Z199" s="74"/>
      <c r="AA199" s="288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275">
        <v>382</v>
      </c>
      <c r="AR199" s="58" t="b">
        <f t="shared" si="11"/>
        <v>0</v>
      </c>
    </row>
    <row r="200" spans="1:44" ht="16.5" customHeight="1">
      <c r="A200" s="62" t="s">
        <v>53</v>
      </c>
      <c r="B200" s="87" t="s">
        <v>55</v>
      </c>
      <c r="C200" s="75" t="s">
        <v>115</v>
      </c>
      <c r="D200" s="289" t="s">
        <v>235</v>
      </c>
      <c r="E200" s="290">
        <v>30</v>
      </c>
      <c r="F200" s="290">
        <v>26</v>
      </c>
      <c r="G200" s="290">
        <v>3</v>
      </c>
      <c r="H200" s="290">
        <v>3</v>
      </c>
      <c r="I200" s="290">
        <v>0</v>
      </c>
      <c r="J200" s="290">
        <v>0</v>
      </c>
      <c r="K200" s="290">
        <v>0</v>
      </c>
      <c r="L200" s="290">
        <v>0</v>
      </c>
      <c r="M200" s="290">
        <v>23</v>
      </c>
      <c r="N200" s="290">
        <v>18</v>
      </c>
      <c r="O200" s="290">
        <v>18</v>
      </c>
      <c r="P200" s="290"/>
      <c r="Q200" s="290"/>
      <c r="R200" s="290"/>
      <c r="S200" s="290"/>
      <c r="T200" s="290"/>
      <c r="U200" s="323"/>
      <c r="V200" s="290"/>
      <c r="W200" s="290"/>
      <c r="X200" s="290"/>
      <c r="Y200" s="290"/>
      <c r="Z200" s="290"/>
      <c r="AA200" s="281"/>
      <c r="AB200" s="290">
        <v>340</v>
      </c>
      <c r="AC200" s="290"/>
      <c r="AD200" s="290"/>
      <c r="AE200" s="290"/>
      <c r="AF200" s="290"/>
      <c r="AG200" s="290"/>
      <c r="AH200" s="290"/>
      <c r="AI200" s="290"/>
      <c r="AJ200" s="290"/>
      <c r="AK200" s="290"/>
      <c r="AL200" s="290"/>
      <c r="AM200" s="290"/>
      <c r="AN200" s="290">
        <v>4.4000000000000004</v>
      </c>
      <c r="AO200" s="290"/>
      <c r="AP200" s="292"/>
      <c r="AQ200" s="275">
        <v>36</v>
      </c>
      <c r="AR200" s="58" t="b">
        <f t="shared" si="11"/>
        <v>0</v>
      </c>
    </row>
    <row r="201" spans="1:44" ht="16.5" customHeight="1">
      <c r="A201" s="62" t="s">
        <v>53</v>
      </c>
      <c r="B201" s="87" t="s">
        <v>55</v>
      </c>
      <c r="C201" s="75" t="s">
        <v>115</v>
      </c>
      <c r="D201" s="289" t="s">
        <v>218</v>
      </c>
      <c r="E201" s="290">
        <v>60</v>
      </c>
      <c r="F201" s="290">
        <v>26</v>
      </c>
      <c r="G201" s="290">
        <v>3</v>
      </c>
      <c r="H201" s="290">
        <v>0</v>
      </c>
      <c r="I201" s="290">
        <v>3</v>
      </c>
      <c r="J201" s="290">
        <v>0</v>
      </c>
      <c r="K201" s="290">
        <v>0</v>
      </c>
      <c r="L201" s="290">
        <v>0</v>
      </c>
      <c r="M201" s="290">
        <v>23</v>
      </c>
      <c r="N201" s="290">
        <v>17</v>
      </c>
      <c r="O201" s="290">
        <v>17</v>
      </c>
      <c r="P201" s="290"/>
      <c r="Q201" s="290"/>
      <c r="R201" s="290"/>
      <c r="S201" s="290"/>
      <c r="T201" s="290"/>
      <c r="U201" s="323"/>
      <c r="V201" s="290"/>
      <c r="W201" s="290"/>
      <c r="X201" s="290"/>
      <c r="Y201" s="290"/>
      <c r="Z201" s="290"/>
      <c r="AA201" s="281"/>
      <c r="AB201" s="290">
        <v>223</v>
      </c>
      <c r="AC201" s="290"/>
      <c r="AD201" s="290"/>
      <c r="AE201" s="290"/>
      <c r="AF201" s="290"/>
      <c r="AG201" s="290"/>
      <c r="AH201" s="290"/>
      <c r="AI201" s="290"/>
      <c r="AJ201" s="290"/>
      <c r="AK201" s="290"/>
      <c r="AL201" s="290"/>
      <c r="AM201" s="290"/>
      <c r="AN201" s="290">
        <v>4.2</v>
      </c>
      <c r="AO201" s="290"/>
      <c r="AP201" s="292"/>
      <c r="AQ201" s="275">
        <v>37</v>
      </c>
      <c r="AR201" s="58" t="b">
        <f t="shared" si="11"/>
        <v>0</v>
      </c>
    </row>
    <row r="202" spans="1:44" ht="16.5" customHeight="1">
      <c r="A202" s="62" t="s">
        <v>53</v>
      </c>
      <c r="B202" s="87" t="s">
        <v>55</v>
      </c>
      <c r="C202" s="75" t="s">
        <v>115</v>
      </c>
      <c r="D202" s="289" t="s">
        <v>236</v>
      </c>
      <c r="E202" s="290">
        <v>30</v>
      </c>
      <c r="F202" s="290">
        <v>26</v>
      </c>
      <c r="G202" s="290">
        <v>1</v>
      </c>
      <c r="H202" s="290">
        <v>0</v>
      </c>
      <c r="I202" s="290">
        <v>1</v>
      </c>
      <c r="J202" s="290">
        <v>0</v>
      </c>
      <c r="K202" s="290">
        <v>0</v>
      </c>
      <c r="L202" s="290">
        <v>0</v>
      </c>
      <c r="M202" s="290">
        <v>25</v>
      </c>
      <c r="N202" s="290">
        <v>18</v>
      </c>
      <c r="O202" s="290">
        <v>18</v>
      </c>
      <c r="P202" s="290"/>
      <c r="Q202" s="290"/>
      <c r="R202" s="290"/>
      <c r="S202" s="290"/>
      <c r="T202" s="290"/>
      <c r="U202" s="323"/>
      <c r="V202" s="290"/>
      <c r="W202" s="290"/>
      <c r="X202" s="290"/>
      <c r="Y202" s="290"/>
      <c r="Z202" s="290"/>
      <c r="AA202" s="281"/>
      <c r="AB202" s="290">
        <v>330</v>
      </c>
      <c r="AC202" s="290"/>
      <c r="AD202" s="290"/>
      <c r="AE202" s="290"/>
      <c r="AF202" s="290"/>
      <c r="AG202" s="290"/>
      <c r="AH202" s="290"/>
      <c r="AI202" s="290"/>
      <c r="AJ202" s="290"/>
      <c r="AK202" s="290"/>
      <c r="AL202" s="290"/>
      <c r="AM202" s="290"/>
      <c r="AN202" s="290">
        <v>3</v>
      </c>
      <c r="AO202" s="290"/>
      <c r="AP202" s="292"/>
      <c r="AQ202" s="275">
        <v>38</v>
      </c>
      <c r="AR202" s="58" t="b">
        <f t="shared" si="11"/>
        <v>0</v>
      </c>
    </row>
    <row r="203" spans="1:44" ht="16.5" customHeight="1">
      <c r="A203" s="62" t="s">
        <v>53</v>
      </c>
      <c r="B203" s="87" t="s">
        <v>55</v>
      </c>
      <c r="C203" s="75" t="s">
        <v>115</v>
      </c>
      <c r="D203" s="289" t="s">
        <v>121</v>
      </c>
      <c r="E203" s="290">
        <v>60</v>
      </c>
      <c r="F203" s="290">
        <v>35</v>
      </c>
      <c r="G203" s="290">
        <v>2</v>
      </c>
      <c r="H203" s="290">
        <v>1</v>
      </c>
      <c r="I203" s="290">
        <v>1</v>
      </c>
      <c r="J203" s="290">
        <v>0</v>
      </c>
      <c r="K203" s="290">
        <v>0</v>
      </c>
      <c r="L203" s="290">
        <v>0</v>
      </c>
      <c r="M203" s="290">
        <v>33</v>
      </c>
      <c r="N203" s="290">
        <v>21</v>
      </c>
      <c r="O203" s="290">
        <v>21</v>
      </c>
      <c r="P203" s="290"/>
      <c r="Q203" s="290"/>
      <c r="R203" s="290"/>
      <c r="S203" s="290"/>
      <c r="T203" s="290"/>
      <c r="U203" s="323"/>
      <c r="V203" s="290"/>
      <c r="W203" s="290"/>
      <c r="X203" s="290"/>
      <c r="Y203" s="290"/>
      <c r="Z203" s="290"/>
      <c r="AA203" s="281"/>
      <c r="AB203" s="290">
        <v>119</v>
      </c>
      <c r="AC203" s="290"/>
      <c r="AD203" s="290"/>
      <c r="AE203" s="290"/>
      <c r="AF203" s="290"/>
      <c r="AG203" s="290"/>
      <c r="AH203" s="290"/>
      <c r="AI203" s="290"/>
      <c r="AJ203" s="290"/>
      <c r="AK203" s="290"/>
      <c r="AL203" s="290"/>
      <c r="AM203" s="290"/>
      <c r="AN203" s="290">
        <v>-0.9</v>
      </c>
      <c r="AO203" s="290"/>
      <c r="AP203" s="292"/>
      <c r="AQ203" s="275">
        <v>39</v>
      </c>
      <c r="AR203" s="58" t="b">
        <f t="shared" si="11"/>
        <v>0</v>
      </c>
    </row>
    <row r="204" spans="1:44" ht="16.5" customHeight="1">
      <c r="A204" s="62" t="s">
        <v>53</v>
      </c>
      <c r="B204" s="87" t="s">
        <v>55</v>
      </c>
      <c r="C204" s="75" t="s">
        <v>115</v>
      </c>
      <c r="D204" s="289" t="s">
        <v>122</v>
      </c>
      <c r="E204" s="290">
        <v>85</v>
      </c>
      <c r="F204" s="290">
        <v>91</v>
      </c>
      <c r="G204" s="290">
        <v>4</v>
      </c>
      <c r="H204" s="290">
        <v>2</v>
      </c>
      <c r="I204" s="290">
        <v>2</v>
      </c>
      <c r="J204" s="290">
        <v>0</v>
      </c>
      <c r="K204" s="290">
        <v>0</v>
      </c>
      <c r="L204" s="290">
        <v>0</v>
      </c>
      <c r="M204" s="290">
        <v>87</v>
      </c>
      <c r="N204" s="290">
        <v>73</v>
      </c>
      <c r="O204" s="290">
        <v>69</v>
      </c>
      <c r="P204" s="290"/>
      <c r="Q204" s="290"/>
      <c r="R204" s="290"/>
      <c r="S204" s="290"/>
      <c r="T204" s="290"/>
      <c r="U204" s="323"/>
      <c r="V204" s="290"/>
      <c r="W204" s="290"/>
      <c r="X204" s="290"/>
      <c r="Y204" s="290"/>
      <c r="Z204" s="290"/>
      <c r="AA204" s="281"/>
      <c r="AB204" s="290">
        <v>19</v>
      </c>
      <c r="AC204" s="290"/>
      <c r="AD204" s="290"/>
      <c r="AE204" s="290"/>
      <c r="AF204" s="290"/>
      <c r="AG204" s="290"/>
      <c r="AH204" s="290"/>
      <c r="AI204" s="290"/>
      <c r="AJ204" s="290"/>
      <c r="AK204" s="290"/>
      <c r="AL204" s="290"/>
      <c r="AM204" s="290"/>
      <c r="AN204" s="290">
        <v>1.1000000000000001</v>
      </c>
      <c r="AO204" s="290"/>
      <c r="AP204" s="292"/>
      <c r="AQ204" s="275">
        <v>40</v>
      </c>
      <c r="AR204" s="58" t="b">
        <f t="shared" si="11"/>
        <v>0</v>
      </c>
    </row>
    <row r="205" spans="1:44" ht="16.5" customHeight="1">
      <c r="A205" s="62" t="s">
        <v>53</v>
      </c>
      <c r="B205" s="87" t="s">
        <v>55</v>
      </c>
      <c r="C205" s="75" t="s">
        <v>115</v>
      </c>
      <c r="D205" s="289" t="s">
        <v>153</v>
      </c>
      <c r="E205" s="290">
        <v>60</v>
      </c>
      <c r="F205" s="290">
        <v>50</v>
      </c>
      <c r="G205" s="290">
        <v>2</v>
      </c>
      <c r="H205" s="290">
        <v>1</v>
      </c>
      <c r="I205" s="290">
        <v>1</v>
      </c>
      <c r="J205" s="290">
        <v>0</v>
      </c>
      <c r="K205" s="290">
        <v>0</v>
      </c>
      <c r="L205" s="290">
        <v>0</v>
      </c>
      <c r="M205" s="290">
        <v>48</v>
      </c>
      <c r="N205" s="290">
        <v>40</v>
      </c>
      <c r="O205" s="290">
        <v>37</v>
      </c>
      <c r="P205" s="290"/>
      <c r="Q205" s="290"/>
      <c r="R205" s="290"/>
      <c r="S205" s="290"/>
      <c r="T205" s="290"/>
      <c r="U205" s="323"/>
      <c r="V205" s="290"/>
      <c r="W205" s="290"/>
      <c r="X205" s="290"/>
      <c r="Y205" s="290"/>
      <c r="Z205" s="290"/>
      <c r="AA205" s="281"/>
      <c r="AB205" s="290">
        <v>483</v>
      </c>
      <c r="AC205" s="290"/>
      <c r="AD205" s="290"/>
      <c r="AE205" s="290"/>
      <c r="AF205" s="290"/>
      <c r="AG205" s="290"/>
      <c r="AH205" s="290"/>
      <c r="AI205" s="290"/>
      <c r="AJ205" s="290"/>
      <c r="AK205" s="290"/>
      <c r="AL205" s="290"/>
      <c r="AM205" s="290"/>
      <c r="AN205" s="290">
        <v>3.6</v>
      </c>
      <c r="AO205" s="290"/>
      <c r="AP205" s="292"/>
      <c r="AQ205" s="275">
        <v>41</v>
      </c>
      <c r="AR205" s="58" t="b">
        <f t="shared" si="11"/>
        <v>0</v>
      </c>
    </row>
    <row r="206" spans="1:44" ht="16.5" customHeight="1">
      <c r="A206" s="62" t="s">
        <v>53</v>
      </c>
      <c r="B206" s="87" t="s">
        <v>55</v>
      </c>
      <c r="C206" s="75" t="s">
        <v>115</v>
      </c>
      <c r="D206" s="289" t="s">
        <v>237</v>
      </c>
      <c r="E206" s="290">
        <v>60</v>
      </c>
      <c r="F206" s="290">
        <v>46</v>
      </c>
      <c r="G206" s="290">
        <v>0</v>
      </c>
      <c r="H206" s="290">
        <v>0</v>
      </c>
      <c r="I206" s="290">
        <v>0</v>
      </c>
      <c r="J206" s="290">
        <v>0</v>
      </c>
      <c r="K206" s="290">
        <v>0</v>
      </c>
      <c r="L206" s="290">
        <v>0</v>
      </c>
      <c r="M206" s="290">
        <v>46</v>
      </c>
      <c r="N206" s="290">
        <v>33</v>
      </c>
      <c r="O206" s="290">
        <v>33</v>
      </c>
      <c r="P206" s="290"/>
      <c r="Q206" s="290"/>
      <c r="R206" s="290"/>
      <c r="S206" s="290"/>
      <c r="T206" s="290"/>
      <c r="U206" s="323"/>
      <c r="V206" s="290"/>
      <c r="W206" s="290"/>
      <c r="X206" s="290"/>
      <c r="Y206" s="290"/>
      <c r="Z206" s="290"/>
      <c r="AA206" s="281"/>
      <c r="AB206" s="290">
        <v>414</v>
      </c>
      <c r="AC206" s="290"/>
      <c r="AD206" s="290"/>
      <c r="AE206" s="290"/>
      <c r="AF206" s="290"/>
      <c r="AG206" s="290"/>
      <c r="AH206" s="290"/>
      <c r="AI206" s="290"/>
      <c r="AJ206" s="290"/>
      <c r="AK206" s="290"/>
      <c r="AL206" s="290"/>
      <c r="AM206" s="290"/>
      <c r="AN206" s="290">
        <v>-2.5</v>
      </c>
      <c r="AO206" s="290"/>
      <c r="AP206" s="292"/>
      <c r="AQ206" s="275">
        <v>42</v>
      </c>
      <c r="AR206" s="58" t="b">
        <f t="shared" si="11"/>
        <v>0</v>
      </c>
    </row>
    <row r="207" spans="1:44" ht="16.5" customHeight="1">
      <c r="A207" s="62" t="s">
        <v>53</v>
      </c>
      <c r="B207" s="87" t="s">
        <v>55</v>
      </c>
      <c r="C207" s="76" t="s">
        <v>130</v>
      </c>
      <c r="D207" s="63" t="s">
        <v>238</v>
      </c>
      <c r="E207" s="95">
        <v>22</v>
      </c>
      <c r="F207" s="95">
        <v>18</v>
      </c>
      <c r="G207" s="95">
        <v>8</v>
      </c>
      <c r="H207" s="95">
        <v>0</v>
      </c>
      <c r="I207" s="95">
        <v>8</v>
      </c>
      <c r="J207" s="95">
        <v>0</v>
      </c>
      <c r="K207" s="95">
        <v>0</v>
      </c>
      <c r="L207" s="95">
        <v>0</v>
      </c>
      <c r="M207" s="95">
        <v>10</v>
      </c>
      <c r="N207" s="95">
        <v>8</v>
      </c>
      <c r="O207" s="95">
        <v>8</v>
      </c>
      <c r="P207" s="95"/>
      <c r="Q207" s="95"/>
      <c r="R207" s="95"/>
      <c r="S207" s="95"/>
      <c r="T207" s="95"/>
      <c r="U207" s="323"/>
      <c r="V207" s="95"/>
      <c r="W207" s="95"/>
      <c r="X207" s="95"/>
      <c r="Y207" s="95"/>
      <c r="Z207" s="95"/>
      <c r="AA207" s="281"/>
      <c r="AB207" s="95">
        <v>237</v>
      </c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>
        <v>7.5</v>
      </c>
      <c r="AO207" s="95"/>
      <c r="AP207" s="95"/>
      <c r="AQ207" s="275"/>
      <c r="AR207" s="58"/>
    </row>
    <row r="208" spans="1:44">
      <c r="A208" s="62" t="s">
        <v>53</v>
      </c>
      <c r="B208" s="404" t="s">
        <v>56</v>
      </c>
      <c r="C208" s="405"/>
      <c r="D208" s="73" t="s">
        <v>114</v>
      </c>
      <c r="E208" s="74">
        <v>325</v>
      </c>
      <c r="F208" s="74">
        <v>290</v>
      </c>
      <c r="G208" s="74">
        <v>2</v>
      </c>
      <c r="H208" s="74">
        <v>1</v>
      </c>
      <c r="I208" s="74">
        <v>1</v>
      </c>
      <c r="J208" s="74">
        <v>0</v>
      </c>
      <c r="K208" s="74">
        <v>0</v>
      </c>
      <c r="L208" s="74">
        <v>0</v>
      </c>
      <c r="M208" s="74">
        <v>288</v>
      </c>
      <c r="N208" s="74">
        <v>238</v>
      </c>
      <c r="O208" s="74">
        <v>234</v>
      </c>
      <c r="P208" s="74"/>
      <c r="Q208" s="74"/>
      <c r="R208" s="74"/>
      <c r="S208" s="74"/>
      <c r="T208" s="74"/>
      <c r="U208" s="287"/>
      <c r="V208" s="74"/>
      <c r="W208" s="74"/>
      <c r="X208" s="74"/>
      <c r="Y208" s="74"/>
      <c r="Z208" s="74"/>
      <c r="AA208" s="288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275">
        <v>359</v>
      </c>
      <c r="AR208" s="58" t="b">
        <f t="shared" ref="AR208:AR214" si="12">EXACT(F208,AQ208)</f>
        <v>0</v>
      </c>
    </row>
    <row r="209" spans="1:44" ht="16.5" customHeight="1">
      <c r="A209" s="62" t="s">
        <v>53</v>
      </c>
      <c r="B209" s="132" t="s">
        <v>56</v>
      </c>
      <c r="C209" s="75" t="s">
        <v>115</v>
      </c>
      <c r="D209" s="125" t="s">
        <v>156</v>
      </c>
      <c r="E209" s="126">
        <v>30</v>
      </c>
      <c r="F209" s="126">
        <v>26</v>
      </c>
      <c r="G209" s="126">
        <v>0</v>
      </c>
      <c r="H209" s="126">
        <v>0</v>
      </c>
      <c r="I209" s="126">
        <v>0</v>
      </c>
      <c r="J209" s="126">
        <v>0</v>
      </c>
      <c r="K209" s="126">
        <v>0</v>
      </c>
      <c r="L209" s="126">
        <v>0</v>
      </c>
      <c r="M209" s="126">
        <v>26</v>
      </c>
      <c r="N209" s="126">
        <v>20</v>
      </c>
      <c r="O209" s="126">
        <v>20</v>
      </c>
      <c r="P209" s="126"/>
      <c r="Q209" s="126"/>
      <c r="R209" s="126"/>
      <c r="S209" s="126"/>
      <c r="T209" s="126"/>
      <c r="U209" s="329"/>
      <c r="V209" s="126"/>
      <c r="W209" s="126"/>
      <c r="X209" s="126"/>
      <c r="Y209" s="126"/>
      <c r="Z209" s="126"/>
      <c r="AA209" s="330"/>
      <c r="AB209" s="126">
        <v>496</v>
      </c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>
        <v>5.8</v>
      </c>
      <c r="AO209" s="126"/>
      <c r="AP209" s="127"/>
      <c r="AQ209" s="275">
        <v>41</v>
      </c>
      <c r="AR209" s="58" t="b">
        <f t="shared" si="12"/>
        <v>0</v>
      </c>
    </row>
    <row r="210" spans="1:44" ht="16.5" customHeight="1">
      <c r="A210" s="62" t="s">
        <v>53</v>
      </c>
      <c r="B210" s="132" t="s">
        <v>56</v>
      </c>
      <c r="C210" s="75" t="s">
        <v>115</v>
      </c>
      <c r="D210" s="125" t="s">
        <v>223</v>
      </c>
      <c r="E210" s="126">
        <v>60</v>
      </c>
      <c r="F210" s="126">
        <v>44</v>
      </c>
      <c r="G210" s="126">
        <v>0</v>
      </c>
      <c r="H210" s="126">
        <v>0</v>
      </c>
      <c r="I210" s="126">
        <v>0</v>
      </c>
      <c r="J210" s="126">
        <v>0</v>
      </c>
      <c r="K210" s="126">
        <v>0</v>
      </c>
      <c r="L210" s="126">
        <v>0</v>
      </c>
      <c r="M210" s="126">
        <v>44</v>
      </c>
      <c r="N210" s="126">
        <v>36</v>
      </c>
      <c r="O210" s="126">
        <v>36</v>
      </c>
      <c r="P210" s="126"/>
      <c r="Q210" s="126"/>
      <c r="R210" s="126"/>
      <c r="S210" s="126"/>
      <c r="T210" s="126"/>
      <c r="U210" s="329"/>
      <c r="V210" s="126"/>
      <c r="W210" s="126"/>
      <c r="X210" s="126"/>
      <c r="Y210" s="126"/>
      <c r="Z210" s="126"/>
      <c r="AA210" s="330"/>
      <c r="AB210" s="126">
        <v>332</v>
      </c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>
        <v>8</v>
      </c>
      <c r="AO210" s="126"/>
      <c r="AP210" s="127"/>
      <c r="AQ210" s="275">
        <v>42</v>
      </c>
      <c r="AR210" s="58" t="b">
        <f t="shared" si="12"/>
        <v>0</v>
      </c>
    </row>
    <row r="211" spans="1:44" ht="16.5" customHeight="1">
      <c r="A211" s="62" t="s">
        <v>53</v>
      </c>
      <c r="B211" s="132" t="s">
        <v>56</v>
      </c>
      <c r="C211" s="75" t="s">
        <v>115</v>
      </c>
      <c r="D211" s="125" t="s">
        <v>122</v>
      </c>
      <c r="E211" s="126">
        <v>85</v>
      </c>
      <c r="F211" s="126">
        <v>71</v>
      </c>
      <c r="G211" s="126">
        <v>1</v>
      </c>
      <c r="H211" s="126">
        <v>1</v>
      </c>
      <c r="I211" s="126">
        <v>0</v>
      </c>
      <c r="J211" s="126">
        <v>0</v>
      </c>
      <c r="K211" s="126">
        <v>0</v>
      </c>
      <c r="L211" s="126">
        <v>0</v>
      </c>
      <c r="M211" s="126">
        <v>70</v>
      </c>
      <c r="N211" s="126">
        <v>59</v>
      </c>
      <c r="O211" s="126">
        <v>57</v>
      </c>
      <c r="P211" s="126"/>
      <c r="Q211" s="126"/>
      <c r="R211" s="126"/>
      <c r="S211" s="126"/>
      <c r="T211" s="126"/>
      <c r="U211" s="329"/>
      <c r="V211" s="126"/>
      <c r="W211" s="126"/>
      <c r="X211" s="126"/>
      <c r="Y211" s="126"/>
      <c r="Z211" s="126"/>
      <c r="AA211" s="330"/>
      <c r="AB211" s="126">
        <v>69</v>
      </c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>
        <v>-3.2</v>
      </c>
      <c r="AO211" s="126"/>
      <c r="AP211" s="127"/>
      <c r="AQ211" s="275">
        <v>43</v>
      </c>
      <c r="AR211" s="58" t="b">
        <f t="shared" si="12"/>
        <v>0</v>
      </c>
    </row>
    <row r="212" spans="1:44" ht="16.5" customHeight="1">
      <c r="A212" s="62" t="s">
        <v>53</v>
      </c>
      <c r="B212" s="132" t="s">
        <v>56</v>
      </c>
      <c r="C212" s="75" t="s">
        <v>115</v>
      </c>
      <c r="D212" s="125" t="s">
        <v>239</v>
      </c>
      <c r="E212" s="126">
        <v>60</v>
      </c>
      <c r="F212" s="126">
        <v>65</v>
      </c>
      <c r="G212" s="126">
        <v>1</v>
      </c>
      <c r="H212" s="126">
        <v>0</v>
      </c>
      <c r="I212" s="126">
        <v>1</v>
      </c>
      <c r="J212" s="126">
        <v>0</v>
      </c>
      <c r="K212" s="126">
        <v>0</v>
      </c>
      <c r="L212" s="126">
        <v>0</v>
      </c>
      <c r="M212" s="126">
        <v>64</v>
      </c>
      <c r="N212" s="126">
        <v>56</v>
      </c>
      <c r="O212" s="126">
        <v>55</v>
      </c>
      <c r="P212" s="126"/>
      <c r="Q212" s="126"/>
      <c r="R212" s="126"/>
      <c r="S212" s="126"/>
      <c r="T212" s="126"/>
      <c r="U212" s="329"/>
      <c r="V212" s="126"/>
      <c r="W212" s="126"/>
      <c r="X212" s="126"/>
      <c r="Y212" s="126"/>
      <c r="Z212" s="126"/>
      <c r="AA212" s="330"/>
      <c r="AB212" s="126">
        <v>389</v>
      </c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>
        <v>4.4000000000000004</v>
      </c>
      <c r="AO212" s="126"/>
      <c r="AP212" s="127"/>
      <c r="AQ212" s="275">
        <v>44</v>
      </c>
      <c r="AR212" s="58" t="b">
        <f t="shared" si="12"/>
        <v>0</v>
      </c>
    </row>
    <row r="213" spans="1:44" ht="16.5" customHeight="1">
      <c r="A213" s="62" t="s">
        <v>53</v>
      </c>
      <c r="B213" s="132" t="s">
        <v>56</v>
      </c>
      <c r="C213" s="75" t="s">
        <v>115</v>
      </c>
      <c r="D213" s="125" t="s">
        <v>240</v>
      </c>
      <c r="E213" s="126">
        <v>60</v>
      </c>
      <c r="F213" s="126">
        <v>67</v>
      </c>
      <c r="G213" s="126">
        <v>0</v>
      </c>
      <c r="H213" s="126">
        <v>0</v>
      </c>
      <c r="I213" s="126">
        <v>0</v>
      </c>
      <c r="J213" s="126">
        <v>0</v>
      </c>
      <c r="K213" s="126">
        <v>0</v>
      </c>
      <c r="L213" s="126">
        <v>0</v>
      </c>
      <c r="M213" s="126">
        <v>67</v>
      </c>
      <c r="N213" s="126">
        <v>53</v>
      </c>
      <c r="O213" s="126">
        <v>52</v>
      </c>
      <c r="P213" s="126"/>
      <c r="Q213" s="126"/>
      <c r="R213" s="126"/>
      <c r="S213" s="126"/>
      <c r="T213" s="126"/>
      <c r="U213" s="329"/>
      <c r="V213" s="126"/>
      <c r="W213" s="126"/>
      <c r="X213" s="126"/>
      <c r="Y213" s="126"/>
      <c r="Z213" s="126"/>
      <c r="AA213" s="330"/>
      <c r="AB213" s="126">
        <v>444</v>
      </c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>
        <v>-2.6</v>
      </c>
      <c r="AO213" s="126"/>
      <c r="AP213" s="127"/>
      <c r="AQ213" s="275">
        <v>45</v>
      </c>
      <c r="AR213" s="58" t="b">
        <f t="shared" si="12"/>
        <v>0</v>
      </c>
    </row>
    <row r="214" spans="1:44" ht="16.5" customHeight="1">
      <c r="A214" s="62" t="s">
        <v>53</v>
      </c>
      <c r="B214" s="132" t="s">
        <v>56</v>
      </c>
      <c r="C214" s="75" t="s">
        <v>115</v>
      </c>
      <c r="D214" s="125" t="s">
        <v>241</v>
      </c>
      <c r="E214" s="126">
        <v>30</v>
      </c>
      <c r="F214" s="126">
        <v>17</v>
      </c>
      <c r="G214" s="126">
        <v>0</v>
      </c>
      <c r="H214" s="126">
        <v>0</v>
      </c>
      <c r="I214" s="126">
        <v>0</v>
      </c>
      <c r="J214" s="126">
        <v>0</v>
      </c>
      <c r="K214" s="126">
        <v>0</v>
      </c>
      <c r="L214" s="126">
        <v>0</v>
      </c>
      <c r="M214" s="126">
        <v>17</v>
      </c>
      <c r="N214" s="126">
        <v>14</v>
      </c>
      <c r="O214" s="126">
        <v>14</v>
      </c>
      <c r="P214" s="126"/>
      <c r="Q214" s="126"/>
      <c r="R214" s="126"/>
      <c r="S214" s="126"/>
      <c r="T214" s="126"/>
      <c r="U214" s="329"/>
      <c r="V214" s="126"/>
      <c r="W214" s="126"/>
      <c r="X214" s="126"/>
      <c r="Y214" s="126"/>
      <c r="Z214" s="126"/>
      <c r="AA214" s="330"/>
      <c r="AB214" s="126">
        <v>403</v>
      </c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>
        <v>0.6</v>
      </c>
      <c r="AO214" s="126"/>
      <c r="AP214" s="127"/>
      <c r="AQ214" s="275">
        <v>46</v>
      </c>
      <c r="AR214" s="58" t="b">
        <f t="shared" si="12"/>
        <v>0</v>
      </c>
    </row>
    <row r="215" spans="1:44" ht="16.5" customHeight="1">
      <c r="A215" s="62" t="s">
        <v>53</v>
      </c>
      <c r="B215" s="404" t="s">
        <v>57</v>
      </c>
      <c r="C215" s="405"/>
      <c r="D215" s="73" t="s">
        <v>114</v>
      </c>
      <c r="E215" s="74">
        <v>5</v>
      </c>
      <c r="F215" s="74">
        <v>4</v>
      </c>
      <c r="G215" s="74">
        <v>1</v>
      </c>
      <c r="H215" s="74">
        <v>1</v>
      </c>
      <c r="I215" s="74">
        <v>0</v>
      </c>
      <c r="J215" s="74">
        <v>0</v>
      </c>
      <c r="K215" s="74">
        <v>0</v>
      </c>
      <c r="L215" s="74">
        <v>0</v>
      </c>
      <c r="M215" s="74">
        <v>3</v>
      </c>
      <c r="N215" s="74">
        <v>2</v>
      </c>
      <c r="O215" s="74">
        <v>2</v>
      </c>
      <c r="P215" s="74"/>
      <c r="Q215" s="74"/>
      <c r="R215" s="74"/>
      <c r="S215" s="74"/>
      <c r="T215" s="74"/>
      <c r="U215" s="149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275"/>
      <c r="AR215" s="58"/>
    </row>
    <row r="216" spans="1:44" ht="16.5" customHeight="1">
      <c r="A216" s="62" t="s">
        <v>53</v>
      </c>
      <c r="B216" s="132" t="s">
        <v>57</v>
      </c>
      <c r="C216" s="76" t="s">
        <v>130</v>
      </c>
      <c r="D216" s="126" t="s">
        <v>242</v>
      </c>
      <c r="E216" s="126">
        <v>5</v>
      </c>
      <c r="F216" s="126">
        <v>4</v>
      </c>
      <c r="G216" s="126">
        <v>1</v>
      </c>
      <c r="H216" s="126">
        <v>1</v>
      </c>
      <c r="I216" s="126">
        <v>0</v>
      </c>
      <c r="J216" s="126">
        <v>0</v>
      </c>
      <c r="K216" s="126">
        <v>0</v>
      </c>
      <c r="L216" s="126">
        <v>0</v>
      </c>
      <c r="M216" s="126">
        <v>3</v>
      </c>
      <c r="N216" s="126">
        <v>2</v>
      </c>
      <c r="O216" s="126">
        <v>2</v>
      </c>
      <c r="P216" s="126"/>
      <c r="Q216" s="126"/>
      <c r="R216" s="126"/>
      <c r="S216" s="126"/>
      <c r="T216" s="126"/>
      <c r="U216" s="329"/>
      <c r="V216" s="126"/>
      <c r="W216" s="126"/>
      <c r="X216" s="126"/>
      <c r="Y216" s="126"/>
      <c r="Z216" s="126"/>
      <c r="AA216" s="330"/>
      <c r="AB216" s="126">
        <v>161</v>
      </c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>
        <v>7.3</v>
      </c>
      <c r="AO216" s="126"/>
      <c r="AP216" s="126"/>
      <c r="AQ216" s="275"/>
      <c r="AR216" s="58"/>
    </row>
    <row r="217" spans="1:44" ht="16.5" customHeight="1">
      <c r="A217" s="62" t="s">
        <v>53</v>
      </c>
      <c r="B217" s="404" t="s">
        <v>58</v>
      </c>
      <c r="C217" s="405"/>
      <c r="D217" s="73" t="s">
        <v>114</v>
      </c>
      <c r="E217" s="74">
        <v>8</v>
      </c>
      <c r="F217" s="74">
        <v>4</v>
      </c>
      <c r="G217" s="74">
        <v>0</v>
      </c>
      <c r="H217" s="74">
        <v>0</v>
      </c>
      <c r="I217" s="74">
        <v>0</v>
      </c>
      <c r="J217" s="74">
        <v>0</v>
      </c>
      <c r="K217" s="74">
        <v>0</v>
      </c>
      <c r="L217" s="74">
        <v>0</v>
      </c>
      <c r="M217" s="74">
        <v>4</v>
      </c>
      <c r="N217" s="74">
        <v>4</v>
      </c>
      <c r="O217" s="74">
        <v>4</v>
      </c>
      <c r="P217" s="74"/>
      <c r="Q217" s="74"/>
      <c r="R217" s="74"/>
      <c r="S217" s="74"/>
      <c r="T217" s="74"/>
      <c r="U217" s="149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275"/>
      <c r="AR217" s="58"/>
    </row>
    <row r="218" spans="1:44" ht="16.5" customHeight="1">
      <c r="A218" s="62" t="s">
        <v>53</v>
      </c>
      <c r="B218" s="132" t="s">
        <v>58</v>
      </c>
      <c r="C218" s="76" t="s">
        <v>130</v>
      </c>
      <c r="D218" s="126" t="s">
        <v>168</v>
      </c>
      <c r="E218" s="126">
        <v>8</v>
      </c>
      <c r="F218" s="126">
        <v>4</v>
      </c>
      <c r="G218" s="126">
        <v>0</v>
      </c>
      <c r="H218" s="126">
        <v>0</v>
      </c>
      <c r="I218" s="126">
        <v>0</v>
      </c>
      <c r="J218" s="126">
        <v>0</v>
      </c>
      <c r="K218" s="126">
        <v>0</v>
      </c>
      <c r="L218" s="126">
        <v>0</v>
      </c>
      <c r="M218" s="126">
        <v>4</v>
      </c>
      <c r="N218" s="126">
        <v>4</v>
      </c>
      <c r="O218" s="126">
        <v>4</v>
      </c>
      <c r="P218" s="126"/>
      <c r="Q218" s="126"/>
      <c r="R218" s="126"/>
      <c r="S218" s="126"/>
      <c r="T218" s="126"/>
      <c r="U218" s="329"/>
      <c r="V218" s="126"/>
      <c r="W218" s="126"/>
      <c r="X218" s="126"/>
      <c r="Y218" s="126"/>
      <c r="Z218" s="126"/>
      <c r="AA218" s="330"/>
      <c r="AB218" s="126">
        <v>361</v>
      </c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>
        <v>-3.7</v>
      </c>
      <c r="AO218" s="126"/>
      <c r="AP218" s="126"/>
      <c r="AQ218" s="275"/>
      <c r="AR218" s="58"/>
    </row>
    <row r="219" spans="1:44" ht="16.5" customHeight="1">
      <c r="A219" s="118" t="s">
        <v>59</v>
      </c>
      <c r="B219" s="434" t="s">
        <v>113</v>
      </c>
      <c r="C219" s="417"/>
      <c r="D219" s="405"/>
      <c r="E219" s="79">
        <v>887</v>
      </c>
      <c r="F219" s="79">
        <v>620</v>
      </c>
      <c r="G219" s="79">
        <v>37</v>
      </c>
      <c r="H219" s="79">
        <v>28</v>
      </c>
      <c r="I219" s="79">
        <v>8</v>
      </c>
      <c r="J219" s="79">
        <v>0</v>
      </c>
      <c r="K219" s="79">
        <v>0</v>
      </c>
      <c r="L219" s="79">
        <v>1</v>
      </c>
      <c r="M219" s="79">
        <v>583</v>
      </c>
      <c r="N219" s="79">
        <v>430</v>
      </c>
      <c r="O219" s="79">
        <v>427</v>
      </c>
      <c r="P219" s="79"/>
      <c r="Q219" s="79"/>
      <c r="R219" s="79"/>
      <c r="S219" s="79"/>
      <c r="T219" s="79"/>
      <c r="U219" s="297"/>
      <c r="V219" s="79"/>
      <c r="W219" s="79"/>
      <c r="X219" s="79"/>
      <c r="Y219" s="79"/>
      <c r="Z219" s="79"/>
      <c r="AA219" s="303"/>
      <c r="AB219" s="79">
        <v>309</v>
      </c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>
        <v>3.5</v>
      </c>
      <c r="AO219" s="79"/>
      <c r="AP219" s="79"/>
      <c r="AQ219" s="275">
        <v>516</v>
      </c>
      <c r="AR219" s="58" t="b">
        <f>EXACT(F219,AQ219)</f>
        <v>0</v>
      </c>
    </row>
    <row r="220" spans="1:44">
      <c r="A220" s="62" t="s">
        <v>59</v>
      </c>
      <c r="B220" s="404" t="s">
        <v>60</v>
      </c>
      <c r="C220" s="405"/>
      <c r="D220" s="73" t="s">
        <v>114</v>
      </c>
      <c r="E220" s="74">
        <v>180</v>
      </c>
      <c r="F220" s="74">
        <v>190</v>
      </c>
      <c r="G220" s="74">
        <v>3</v>
      </c>
      <c r="H220" s="74">
        <v>2</v>
      </c>
      <c r="I220" s="74">
        <v>0</v>
      </c>
      <c r="J220" s="74">
        <v>0</v>
      </c>
      <c r="K220" s="74">
        <v>0</v>
      </c>
      <c r="L220" s="74">
        <v>1</v>
      </c>
      <c r="M220" s="74">
        <v>187</v>
      </c>
      <c r="N220" s="74">
        <v>141</v>
      </c>
      <c r="O220" s="74">
        <v>141</v>
      </c>
      <c r="P220" s="74"/>
      <c r="Q220" s="74"/>
      <c r="R220" s="74"/>
      <c r="S220" s="74"/>
      <c r="T220" s="74"/>
      <c r="U220" s="287"/>
      <c r="V220" s="74"/>
      <c r="W220" s="74"/>
      <c r="X220" s="74"/>
      <c r="Y220" s="74"/>
      <c r="Z220" s="74"/>
      <c r="AA220" s="288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294"/>
      <c r="AO220" s="294"/>
      <c r="AP220" s="295"/>
      <c r="AQ220" s="275">
        <v>167</v>
      </c>
      <c r="AR220" s="58" t="b">
        <f>EXACT(F220,AQ220)</f>
        <v>0</v>
      </c>
    </row>
    <row r="221" spans="1:44" ht="16.5" customHeight="1">
      <c r="A221" s="62" t="s">
        <v>59</v>
      </c>
      <c r="B221" s="76" t="s">
        <v>60</v>
      </c>
      <c r="C221" s="76" t="s">
        <v>115</v>
      </c>
      <c r="D221" s="125" t="s">
        <v>243</v>
      </c>
      <c r="E221" s="126">
        <v>30</v>
      </c>
      <c r="F221" s="126">
        <v>35</v>
      </c>
      <c r="G221" s="126">
        <v>0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35</v>
      </c>
      <c r="N221" s="126">
        <v>28</v>
      </c>
      <c r="O221" s="126">
        <v>28</v>
      </c>
      <c r="P221" s="126"/>
      <c r="Q221" s="126"/>
      <c r="R221" s="126"/>
      <c r="S221" s="126"/>
      <c r="T221" s="126"/>
      <c r="U221" s="329"/>
      <c r="V221" s="126"/>
      <c r="W221" s="126"/>
      <c r="X221" s="126"/>
      <c r="Y221" s="126"/>
      <c r="Z221" s="126"/>
      <c r="AA221" s="330"/>
      <c r="AB221" s="126">
        <v>86</v>
      </c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>
        <v>-3.6</v>
      </c>
      <c r="AO221" s="126"/>
      <c r="AP221" s="127"/>
      <c r="AQ221" s="133">
        <v>0</v>
      </c>
      <c r="AR221" s="134">
        <v>0</v>
      </c>
    </row>
    <row r="222" spans="1:44" ht="16.5" customHeight="1">
      <c r="A222" s="62" t="s">
        <v>59</v>
      </c>
      <c r="B222" s="76" t="s">
        <v>60</v>
      </c>
      <c r="C222" s="76" t="s">
        <v>115</v>
      </c>
      <c r="D222" s="125" t="s">
        <v>244</v>
      </c>
      <c r="E222" s="126">
        <v>30</v>
      </c>
      <c r="F222" s="126">
        <v>34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34</v>
      </c>
      <c r="N222" s="126">
        <v>29</v>
      </c>
      <c r="O222" s="126">
        <v>29</v>
      </c>
      <c r="P222" s="126"/>
      <c r="Q222" s="126"/>
      <c r="R222" s="126"/>
      <c r="S222" s="126"/>
      <c r="T222" s="126"/>
      <c r="U222" s="329"/>
      <c r="V222" s="126"/>
      <c r="W222" s="126"/>
      <c r="X222" s="126"/>
      <c r="Y222" s="126"/>
      <c r="Z222" s="126"/>
      <c r="AA222" s="330"/>
      <c r="AB222" s="126">
        <v>164</v>
      </c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>
        <v>7.2</v>
      </c>
      <c r="AO222" s="126"/>
      <c r="AP222" s="127"/>
      <c r="AQ222" s="275">
        <v>32</v>
      </c>
      <c r="AR222" s="58" t="b">
        <f t="shared" ref="AR222:AR227" si="13">EXACT(F222,AQ222)</f>
        <v>0</v>
      </c>
    </row>
    <row r="223" spans="1:44" ht="16.5" customHeight="1">
      <c r="A223" s="62" t="s">
        <v>59</v>
      </c>
      <c r="B223" s="76" t="s">
        <v>60</v>
      </c>
      <c r="C223" s="76" t="s">
        <v>115</v>
      </c>
      <c r="D223" s="125" t="s">
        <v>245</v>
      </c>
      <c r="E223" s="126">
        <v>30</v>
      </c>
      <c r="F223" s="126">
        <v>42</v>
      </c>
      <c r="G223" s="126">
        <v>0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42</v>
      </c>
      <c r="N223" s="126">
        <v>26</v>
      </c>
      <c r="O223" s="126">
        <v>26</v>
      </c>
      <c r="P223" s="126"/>
      <c r="Q223" s="126"/>
      <c r="R223" s="126"/>
      <c r="S223" s="126"/>
      <c r="T223" s="126"/>
      <c r="U223" s="329"/>
      <c r="V223" s="126"/>
      <c r="W223" s="126"/>
      <c r="X223" s="126"/>
      <c r="Y223" s="126"/>
      <c r="Z223" s="126"/>
      <c r="AA223" s="330"/>
      <c r="AB223" s="126">
        <v>226</v>
      </c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>
        <v>-2.4</v>
      </c>
      <c r="AO223" s="126"/>
      <c r="AP223" s="127"/>
      <c r="AQ223" s="275">
        <v>26</v>
      </c>
      <c r="AR223" s="58" t="b">
        <f t="shared" si="13"/>
        <v>0</v>
      </c>
    </row>
    <row r="224" spans="1:44" ht="17.25" customHeight="1">
      <c r="A224" s="62" t="s">
        <v>59</v>
      </c>
      <c r="B224" s="76" t="s">
        <v>60</v>
      </c>
      <c r="C224" s="76" t="s">
        <v>115</v>
      </c>
      <c r="D224" s="125" t="s">
        <v>246</v>
      </c>
      <c r="E224" s="126">
        <v>30</v>
      </c>
      <c r="F224" s="126">
        <v>19</v>
      </c>
      <c r="G224" s="126">
        <v>3</v>
      </c>
      <c r="H224" s="126">
        <v>2</v>
      </c>
      <c r="I224" s="126">
        <v>0</v>
      </c>
      <c r="J224" s="126">
        <v>0</v>
      </c>
      <c r="K224" s="126">
        <v>0</v>
      </c>
      <c r="L224" s="126">
        <v>1</v>
      </c>
      <c r="M224" s="126">
        <v>16</v>
      </c>
      <c r="N224" s="126">
        <v>11</v>
      </c>
      <c r="O224" s="126">
        <v>11</v>
      </c>
      <c r="P224" s="126"/>
      <c r="Q224" s="126"/>
      <c r="R224" s="126"/>
      <c r="S224" s="126"/>
      <c r="T224" s="126"/>
      <c r="U224" s="329"/>
      <c r="V224" s="126"/>
      <c r="W224" s="126"/>
      <c r="X224" s="126"/>
      <c r="Y224" s="126"/>
      <c r="Z224" s="126"/>
      <c r="AA224" s="330"/>
      <c r="AB224" s="126">
        <v>217</v>
      </c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>
        <v>4.4000000000000004</v>
      </c>
      <c r="AO224" s="126"/>
      <c r="AP224" s="127"/>
      <c r="AQ224" s="275">
        <v>25</v>
      </c>
      <c r="AR224" s="58" t="b">
        <f t="shared" si="13"/>
        <v>0</v>
      </c>
    </row>
    <row r="225" spans="1:44" ht="16.5" customHeight="1">
      <c r="A225" s="62" t="s">
        <v>59</v>
      </c>
      <c r="B225" s="76" t="s">
        <v>60</v>
      </c>
      <c r="C225" s="76" t="s">
        <v>115</v>
      </c>
      <c r="D225" s="125" t="s">
        <v>247</v>
      </c>
      <c r="E225" s="126">
        <v>30</v>
      </c>
      <c r="F225" s="126">
        <v>36</v>
      </c>
      <c r="G225" s="126">
        <v>0</v>
      </c>
      <c r="H225" s="126">
        <v>0</v>
      </c>
      <c r="I225" s="126">
        <v>0</v>
      </c>
      <c r="J225" s="126">
        <v>0</v>
      </c>
      <c r="K225" s="126">
        <v>0</v>
      </c>
      <c r="L225" s="126">
        <v>0</v>
      </c>
      <c r="M225" s="126">
        <v>36</v>
      </c>
      <c r="N225" s="126">
        <v>29</v>
      </c>
      <c r="O225" s="126">
        <v>29</v>
      </c>
      <c r="P225" s="126"/>
      <c r="Q225" s="126"/>
      <c r="R225" s="126"/>
      <c r="S225" s="126"/>
      <c r="T225" s="126"/>
      <c r="U225" s="329"/>
      <c r="V225" s="126"/>
      <c r="W225" s="126"/>
      <c r="X225" s="126"/>
      <c r="Y225" s="126"/>
      <c r="Z225" s="126"/>
      <c r="AA225" s="330"/>
      <c r="AB225" s="126">
        <v>377</v>
      </c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>
        <v>4.9000000000000004</v>
      </c>
      <c r="AO225" s="126"/>
      <c r="AP225" s="127"/>
      <c r="AQ225" s="275">
        <v>27</v>
      </c>
      <c r="AR225" s="58" t="b">
        <f t="shared" si="13"/>
        <v>0</v>
      </c>
    </row>
    <row r="226" spans="1:44" ht="16.5" customHeight="1">
      <c r="A226" s="62" t="s">
        <v>59</v>
      </c>
      <c r="B226" s="76" t="s">
        <v>60</v>
      </c>
      <c r="C226" s="76" t="s">
        <v>115</v>
      </c>
      <c r="D226" s="125" t="s">
        <v>248</v>
      </c>
      <c r="E226" s="126">
        <v>30</v>
      </c>
      <c r="F226" s="126">
        <v>24</v>
      </c>
      <c r="G226" s="126">
        <v>0</v>
      </c>
      <c r="H226" s="126">
        <v>0</v>
      </c>
      <c r="I226" s="126">
        <v>0</v>
      </c>
      <c r="J226" s="126">
        <v>0</v>
      </c>
      <c r="K226" s="126">
        <v>0</v>
      </c>
      <c r="L226" s="126">
        <v>0</v>
      </c>
      <c r="M226" s="126">
        <v>24</v>
      </c>
      <c r="N226" s="126">
        <v>18</v>
      </c>
      <c r="O226" s="126">
        <v>18</v>
      </c>
      <c r="P226" s="126"/>
      <c r="Q226" s="126"/>
      <c r="R226" s="126"/>
      <c r="S226" s="126"/>
      <c r="T226" s="126"/>
      <c r="U226" s="329"/>
      <c r="V226" s="126"/>
      <c r="W226" s="126"/>
      <c r="X226" s="126"/>
      <c r="Y226" s="126"/>
      <c r="Z226" s="126"/>
      <c r="AA226" s="330"/>
      <c r="AB226" s="126">
        <v>188</v>
      </c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>
        <v>-0.4</v>
      </c>
      <c r="AO226" s="126"/>
      <c r="AP226" s="127"/>
      <c r="AQ226" s="275">
        <v>24</v>
      </c>
      <c r="AR226" s="58" t="b">
        <f t="shared" si="13"/>
        <v>1</v>
      </c>
    </row>
    <row r="227" spans="1:44">
      <c r="A227" s="62" t="s">
        <v>59</v>
      </c>
      <c r="B227" s="406" t="s">
        <v>61</v>
      </c>
      <c r="C227" s="405"/>
      <c r="D227" s="73" t="s">
        <v>114</v>
      </c>
      <c r="E227" s="74">
        <v>259</v>
      </c>
      <c r="F227" s="74">
        <v>169</v>
      </c>
      <c r="G227" s="74">
        <v>15</v>
      </c>
      <c r="H227" s="74">
        <v>11</v>
      </c>
      <c r="I227" s="74">
        <v>4</v>
      </c>
      <c r="J227" s="74">
        <v>0</v>
      </c>
      <c r="K227" s="74">
        <v>0</v>
      </c>
      <c r="L227" s="74">
        <v>0</v>
      </c>
      <c r="M227" s="74">
        <v>154</v>
      </c>
      <c r="N227" s="74">
        <v>109</v>
      </c>
      <c r="O227" s="74">
        <v>109</v>
      </c>
      <c r="P227" s="74"/>
      <c r="Q227" s="74"/>
      <c r="R227" s="74"/>
      <c r="S227" s="74"/>
      <c r="T227" s="74"/>
      <c r="U227" s="287"/>
      <c r="V227" s="326"/>
      <c r="W227" s="74"/>
      <c r="X227" s="74"/>
      <c r="Y227" s="74"/>
      <c r="Z227" s="74"/>
      <c r="AA227" s="288"/>
      <c r="AB227" s="74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7"/>
      <c r="AO227" s="294"/>
      <c r="AP227" s="295"/>
      <c r="AQ227" s="275">
        <v>229</v>
      </c>
      <c r="AR227" s="58" t="b">
        <f t="shared" si="13"/>
        <v>0</v>
      </c>
    </row>
    <row r="228" spans="1:44" ht="15.75" customHeight="1">
      <c r="A228" s="62" t="s">
        <v>59</v>
      </c>
      <c r="B228" s="75" t="s">
        <v>61</v>
      </c>
      <c r="C228" s="75" t="s">
        <v>115</v>
      </c>
      <c r="D228" s="125" t="s">
        <v>249</v>
      </c>
      <c r="E228" s="126">
        <v>60</v>
      </c>
      <c r="F228" s="126">
        <v>38</v>
      </c>
      <c r="G228" s="126">
        <v>5</v>
      </c>
      <c r="H228" s="126">
        <v>4</v>
      </c>
      <c r="I228" s="126">
        <v>1</v>
      </c>
      <c r="J228" s="126">
        <v>0</v>
      </c>
      <c r="K228" s="126">
        <v>0</v>
      </c>
      <c r="L228" s="126">
        <v>0</v>
      </c>
      <c r="M228" s="126">
        <v>33</v>
      </c>
      <c r="N228" s="126">
        <v>23</v>
      </c>
      <c r="O228" s="126">
        <v>23</v>
      </c>
      <c r="P228" s="126"/>
      <c r="Q228" s="126"/>
      <c r="R228" s="126"/>
      <c r="S228" s="126"/>
      <c r="T228" s="126"/>
      <c r="U228" s="329"/>
      <c r="V228" s="126"/>
      <c r="W228" s="126"/>
      <c r="X228" s="126"/>
      <c r="Y228" s="126"/>
      <c r="Z228" s="126"/>
      <c r="AA228" s="330"/>
      <c r="AB228" s="126">
        <v>298</v>
      </c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>
        <v>0.3</v>
      </c>
      <c r="AO228" s="126"/>
      <c r="AP228" s="127"/>
      <c r="AQ228" s="133">
        <v>0</v>
      </c>
      <c r="AR228" s="134">
        <v>0</v>
      </c>
    </row>
    <row r="229" spans="1:44" ht="16.5" customHeight="1">
      <c r="A229" s="62" t="s">
        <v>59</v>
      </c>
      <c r="B229" s="75" t="s">
        <v>61</v>
      </c>
      <c r="C229" s="75" t="s">
        <v>115</v>
      </c>
      <c r="D229" s="125" t="s">
        <v>250</v>
      </c>
      <c r="E229" s="126">
        <v>60</v>
      </c>
      <c r="F229" s="126">
        <v>26</v>
      </c>
      <c r="G229" s="126">
        <v>2</v>
      </c>
      <c r="H229" s="126">
        <v>2</v>
      </c>
      <c r="I229" s="126">
        <v>0</v>
      </c>
      <c r="J229" s="126">
        <v>0</v>
      </c>
      <c r="K229" s="126">
        <v>0</v>
      </c>
      <c r="L229" s="126">
        <v>0</v>
      </c>
      <c r="M229" s="126">
        <v>24</v>
      </c>
      <c r="N229" s="126">
        <v>20</v>
      </c>
      <c r="O229" s="126">
        <v>20</v>
      </c>
      <c r="P229" s="126"/>
      <c r="Q229" s="126"/>
      <c r="R229" s="126"/>
      <c r="S229" s="126"/>
      <c r="T229" s="126"/>
      <c r="U229" s="329"/>
      <c r="V229" s="126"/>
      <c r="W229" s="126"/>
      <c r="X229" s="126"/>
      <c r="Y229" s="126"/>
      <c r="Z229" s="126"/>
      <c r="AA229" s="330"/>
      <c r="AB229" s="126">
        <v>294</v>
      </c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>
        <v>3.1</v>
      </c>
      <c r="AO229" s="126"/>
      <c r="AP229" s="127"/>
      <c r="AQ229" s="275">
        <v>53</v>
      </c>
      <c r="AR229" s="58" t="b">
        <f t="shared" ref="AR229:AR240" si="14">EXACT(F229,AQ229)</f>
        <v>0</v>
      </c>
    </row>
    <row r="230" spans="1:44" ht="16.5" customHeight="1">
      <c r="A230" s="62" t="s">
        <v>59</v>
      </c>
      <c r="B230" s="75" t="s">
        <v>61</v>
      </c>
      <c r="C230" s="75" t="s">
        <v>115</v>
      </c>
      <c r="D230" s="125" t="s">
        <v>251</v>
      </c>
      <c r="E230" s="126">
        <v>60</v>
      </c>
      <c r="F230" s="126">
        <v>44</v>
      </c>
      <c r="G230" s="126">
        <v>5</v>
      </c>
      <c r="H230" s="126">
        <v>3</v>
      </c>
      <c r="I230" s="126">
        <v>2</v>
      </c>
      <c r="J230" s="126">
        <v>0</v>
      </c>
      <c r="K230" s="126">
        <v>0</v>
      </c>
      <c r="L230" s="126">
        <v>0</v>
      </c>
      <c r="M230" s="126">
        <v>39</v>
      </c>
      <c r="N230" s="126">
        <v>23</v>
      </c>
      <c r="O230" s="126">
        <v>23</v>
      </c>
      <c r="P230" s="126"/>
      <c r="Q230" s="126"/>
      <c r="R230" s="126"/>
      <c r="S230" s="126"/>
      <c r="T230" s="126"/>
      <c r="U230" s="329"/>
      <c r="V230" s="126"/>
      <c r="W230" s="126"/>
      <c r="X230" s="126"/>
      <c r="Y230" s="126"/>
      <c r="Z230" s="126"/>
      <c r="AA230" s="330"/>
      <c r="AB230" s="126">
        <v>231</v>
      </c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>
        <v>6.2</v>
      </c>
      <c r="AO230" s="126"/>
      <c r="AP230" s="127"/>
      <c r="AQ230" s="275">
        <v>32</v>
      </c>
      <c r="AR230" s="58" t="b">
        <f t="shared" si="14"/>
        <v>0</v>
      </c>
    </row>
    <row r="231" spans="1:44" ht="16.5" customHeight="1">
      <c r="A231" s="62" t="s">
        <v>59</v>
      </c>
      <c r="B231" s="75" t="s">
        <v>61</v>
      </c>
      <c r="C231" s="75" t="s">
        <v>115</v>
      </c>
      <c r="D231" s="125" t="s">
        <v>252</v>
      </c>
      <c r="E231" s="126">
        <v>60</v>
      </c>
      <c r="F231" s="126">
        <v>47</v>
      </c>
      <c r="G231" s="126">
        <v>3</v>
      </c>
      <c r="H231" s="126">
        <v>2</v>
      </c>
      <c r="I231" s="126">
        <v>1</v>
      </c>
      <c r="J231" s="126">
        <v>0</v>
      </c>
      <c r="K231" s="126">
        <v>0</v>
      </c>
      <c r="L231" s="126">
        <v>0</v>
      </c>
      <c r="M231" s="126">
        <v>44</v>
      </c>
      <c r="N231" s="126">
        <v>30</v>
      </c>
      <c r="O231" s="126">
        <v>30</v>
      </c>
      <c r="P231" s="126"/>
      <c r="Q231" s="126"/>
      <c r="R231" s="126"/>
      <c r="S231" s="126"/>
      <c r="T231" s="126"/>
      <c r="U231" s="329"/>
      <c r="V231" s="126"/>
      <c r="W231" s="126"/>
      <c r="X231" s="126"/>
      <c r="Y231" s="126"/>
      <c r="Z231" s="126"/>
      <c r="AA231" s="330"/>
      <c r="AB231" s="126">
        <v>184</v>
      </c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>
        <v>6</v>
      </c>
      <c r="AO231" s="126"/>
      <c r="AP231" s="127"/>
      <c r="AQ231" s="275">
        <v>33</v>
      </c>
      <c r="AR231" s="135" t="b">
        <f t="shared" si="14"/>
        <v>0</v>
      </c>
    </row>
    <row r="232" spans="1:44" ht="17.25" customHeight="1" thickBot="1">
      <c r="A232" s="62" t="s">
        <v>59</v>
      </c>
      <c r="B232" s="75" t="s">
        <v>61</v>
      </c>
      <c r="C232" s="75" t="s">
        <v>130</v>
      </c>
      <c r="D232" s="106" t="s">
        <v>253</v>
      </c>
      <c r="E232" s="107">
        <v>19</v>
      </c>
      <c r="F232" s="107">
        <v>14</v>
      </c>
      <c r="G232" s="107">
        <v>0</v>
      </c>
      <c r="H232" s="107">
        <v>0</v>
      </c>
      <c r="I232" s="107">
        <v>0</v>
      </c>
      <c r="J232" s="107">
        <v>0</v>
      </c>
      <c r="K232" s="107">
        <v>0</v>
      </c>
      <c r="L232" s="107">
        <v>0</v>
      </c>
      <c r="M232" s="107">
        <v>14</v>
      </c>
      <c r="N232" s="107">
        <v>13</v>
      </c>
      <c r="O232" s="107">
        <v>13</v>
      </c>
      <c r="P232" s="107"/>
      <c r="Q232" s="107"/>
      <c r="R232" s="107"/>
      <c r="S232" s="107"/>
      <c r="T232" s="107"/>
      <c r="U232" s="314"/>
      <c r="V232" s="107"/>
      <c r="W232" s="107"/>
      <c r="X232" s="107"/>
      <c r="Y232" s="107"/>
      <c r="Z232" s="107"/>
      <c r="AA232" s="315"/>
      <c r="AB232" s="107">
        <v>48</v>
      </c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>
        <v>0</v>
      </c>
      <c r="AO232" s="107"/>
      <c r="AP232" s="107"/>
      <c r="AQ232" s="136">
        <v>0</v>
      </c>
      <c r="AR232" s="58" t="b">
        <f t="shared" si="14"/>
        <v>0</v>
      </c>
    </row>
    <row r="233" spans="1:44">
      <c r="A233" s="62" t="s">
        <v>59</v>
      </c>
      <c r="B233" s="404" t="s">
        <v>62</v>
      </c>
      <c r="C233" s="405"/>
      <c r="D233" s="73" t="s">
        <v>114</v>
      </c>
      <c r="E233" s="74">
        <v>348</v>
      </c>
      <c r="F233" s="74">
        <v>228</v>
      </c>
      <c r="G233" s="74">
        <v>15</v>
      </c>
      <c r="H233" s="74">
        <v>11</v>
      </c>
      <c r="I233" s="74">
        <v>4</v>
      </c>
      <c r="J233" s="74">
        <v>0</v>
      </c>
      <c r="K233" s="74">
        <v>0</v>
      </c>
      <c r="L233" s="74">
        <v>0</v>
      </c>
      <c r="M233" s="74">
        <v>213</v>
      </c>
      <c r="N233" s="74">
        <v>158</v>
      </c>
      <c r="O233" s="74">
        <v>158</v>
      </c>
      <c r="P233" s="74"/>
      <c r="Q233" s="74"/>
      <c r="R233" s="74"/>
      <c r="S233" s="74"/>
      <c r="T233" s="74"/>
      <c r="U233" s="287"/>
      <c r="V233" s="74"/>
      <c r="W233" s="74"/>
      <c r="X233" s="74"/>
      <c r="Y233" s="74"/>
      <c r="Z233" s="74"/>
      <c r="AA233" s="288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294"/>
      <c r="AO233" s="294"/>
      <c r="AP233" s="295"/>
      <c r="AQ233" s="275">
        <v>208</v>
      </c>
      <c r="AR233" s="137" t="b">
        <f t="shared" si="14"/>
        <v>0</v>
      </c>
    </row>
    <row r="234" spans="1:44" ht="15.75" customHeight="1">
      <c r="A234" s="62" t="s">
        <v>59</v>
      </c>
      <c r="B234" s="129" t="s">
        <v>62</v>
      </c>
      <c r="C234" s="75" t="s">
        <v>115</v>
      </c>
      <c r="D234" s="68" t="s">
        <v>254</v>
      </c>
      <c r="E234" s="138">
        <v>50</v>
      </c>
      <c r="F234" s="138">
        <v>37</v>
      </c>
      <c r="G234" s="138">
        <v>0</v>
      </c>
      <c r="H234" s="138">
        <v>0</v>
      </c>
      <c r="I234" s="138">
        <v>0</v>
      </c>
      <c r="J234" s="138">
        <v>0</v>
      </c>
      <c r="K234" s="138">
        <v>0</v>
      </c>
      <c r="L234" s="138">
        <v>0</v>
      </c>
      <c r="M234" s="138">
        <v>37</v>
      </c>
      <c r="N234" s="138">
        <v>28</v>
      </c>
      <c r="O234" s="138">
        <v>28</v>
      </c>
      <c r="P234" s="138"/>
      <c r="Q234" s="138"/>
      <c r="R234" s="138"/>
      <c r="S234" s="138"/>
      <c r="T234" s="138"/>
      <c r="U234" s="296"/>
      <c r="V234" s="138"/>
      <c r="W234" s="138"/>
      <c r="X234" s="138"/>
      <c r="Y234" s="138"/>
      <c r="Z234" s="138"/>
      <c r="AA234" s="284"/>
      <c r="AB234" s="69">
        <v>203</v>
      </c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>
        <v>6.2</v>
      </c>
      <c r="AO234" s="69"/>
      <c r="AP234" s="70"/>
      <c r="AQ234" s="275">
        <v>19</v>
      </c>
      <c r="AR234" s="58" t="b">
        <f t="shared" si="14"/>
        <v>0</v>
      </c>
    </row>
    <row r="235" spans="1:44" ht="16.5" customHeight="1">
      <c r="A235" s="62" t="s">
        <v>59</v>
      </c>
      <c r="B235" s="129" t="s">
        <v>62</v>
      </c>
      <c r="C235" s="75" t="s">
        <v>115</v>
      </c>
      <c r="D235" s="68" t="s">
        <v>255</v>
      </c>
      <c r="E235" s="138">
        <v>50</v>
      </c>
      <c r="F235" s="138">
        <v>23</v>
      </c>
      <c r="G235" s="138">
        <v>0</v>
      </c>
      <c r="H235" s="138">
        <v>0</v>
      </c>
      <c r="I235" s="138">
        <v>0</v>
      </c>
      <c r="J235" s="138">
        <v>0</v>
      </c>
      <c r="K235" s="138">
        <v>0</v>
      </c>
      <c r="L235" s="138">
        <v>0</v>
      </c>
      <c r="M235" s="138">
        <v>23</v>
      </c>
      <c r="N235" s="138">
        <v>16</v>
      </c>
      <c r="O235" s="138">
        <v>16</v>
      </c>
      <c r="P235" s="138"/>
      <c r="Q235" s="138"/>
      <c r="R235" s="138"/>
      <c r="S235" s="138"/>
      <c r="T235" s="138"/>
      <c r="U235" s="296"/>
      <c r="V235" s="138"/>
      <c r="W235" s="138"/>
      <c r="X235" s="138"/>
      <c r="Y235" s="138"/>
      <c r="Z235" s="138"/>
      <c r="AA235" s="284"/>
      <c r="AB235" s="69">
        <v>245</v>
      </c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>
        <v>2.2000000000000002</v>
      </c>
      <c r="AO235" s="69"/>
      <c r="AP235" s="70"/>
      <c r="AQ235" s="275">
        <v>10</v>
      </c>
      <c r="AR235" s="58" t="b">
        <f t="shared" si="14"/>
        <v>0</v>
      </c>
    </row>
    <row r="236" spans="1:44" ht="16.5" customHeight="1">
      <c r="A236" s="62" t="s">
        <v>59</v>
      </c>
      <c r="B236" s="129" t="s">
        <v>62</v>
      </c>
      <c r="C236" s="75" t="s">
        <v>115</v>
      </c>
      <c r="D236" s="68" t="s">
        <v>256</v>
      </c>
      <c r="E236" s="138">
        <v>50</v>
      </c>
      <c r="F236" s="138">
        <v>21</v>
      </c>
      <c r="G236" s="138">
        <v>6</v>
      </c>
      <c r="H236" s="138">
        <v>6</v>
      </c>
      <c r="I236" s="138">
        <v>0</v>
      </c>
      <c r="J236" s="138">
        <v>0</v>
      </c>
      <c r="K236" s="138">
        <v>0</v>
      </c>
      <c r="L236" s="138">
        <v>0</v>
      </c>
      <c r="M236" s="138">
        <v>15</v>
      </c>
      <c r="N236" s="138">
        <v>12</v>
      </c>
      <c r="O236" s="138">
        <v>12</v>
      </c>
      <c r="P236" s="138"/>
      <c r="Q236" s="138"/>
      <c r="R236" s="138"/>
      <c r="S236" s="138"/>
      <c r="T236" s="138"/>
      <c r="U236" s="296"/>
      <c r="V236" s="138"/>
      <c r="W236" s="138"/>
      <c r="X236" s="138"/>
      <c r="Y236" s="138"/>
      <c r="Z236" s="138"/>
      <c r="AA236" s="284"/>
      <c r="AB236" s="69">
        <v>331</v>
      </c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>
        <v>1.2</v>
      </c>
      <c r="AO236" s="69"/>
      <c r="AP236" s="70"/>
      <c r="AQ236" s="275">
        <v>52</v>
      </c>
      <c r="AR236" s="58" t="b">
        <f t="shared" si="14"/>
        <v>0</v>
      </c>
    </row>
    <row r="237" spans="1:44" ht="16.5" customHeight="1">
      <c r="A237" s="62" t="s">
        <v>59</v>
      </c>
      <c r="B237" s="129" t="s">
        <v>62</v>
      </c>
      <c r="C237" s="75" t="s">
        <v>115</v>
      </c>
      <c r="D237" s="68" t="s">
        <v>257</v>
      </c>
      <c r="E237" s="138">
        <v>50</v>
      </c>
      <c r="F237" s="138">
        <v>46</v>
      </c>
      <c r="G237" s="138">
        <v>3</v>
      </c>
      <c r="H237" s="138">
        <v>3</v>
      </c>
      <c r="I237" s="138">
        <v>0</v>
      </c>
      <c r="J237" s="138">
        <v>0</v>
      </c>
      <c r="K237" s="138">
        <v>0</v>
      </c>
      <c r="L237" s="138">
        <v>0</v>
      </c>
      <c r="M237" s="138">
        <v>43</v>
      </c>
      <c r="N237" s="138">
        <v>30</v>
      </c>
      <c r="O237" s="138">
        <v>30</v>
      </c>
      <c r="P237" s="138"/>
      <c r="Q237" s="138"/>
      <c r="R237" s="138"/>
      <c r="S237" s="138"/>
      <c r="T237" s="138"/>
      <c r="U237" s="296"/>
      <c r="V237" s="138"/>
      <c r="W237" s="138"/>
      <c r="X237" s="138"/>
      <c r="Y237" s="138"/>
      <c r="Z237" s="138"/>
      <c r="AA237" s="284"/>
      <c r="AB237" s="69">
        <v>217</v>
      </c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>
        <v>3.2</v>
      </c>
      <c r="AO237" s="69"/>
      <c r="AP237" s="70"/>
      <c r="AQ237" s="275">
        <v>31</v>
      </c>
      <c r="AR237" s="58" t="b">
        <f t="shared" si="14"/>
        <v>0</v>
      </c>
    </row>
    <row r="238" spans="1:44" ht="16.5" customHeight="1">
      <c r="A238" s="62" t="s">
        <v>59</v>
      </c>
      <c r="B238" s="129" t="s">
        <v>62</v>
      </c>
      <c r="C238" s="75" t="s">
        <v>115</v>
      </c>
      <c r="D238" s="68" t="s">
        <v>258</v>
      </c>
      <c r="E238" s="138">
        <v>50</v>
      </c>
      <c r="F238" s="138">
        <v>39</v>
      </c>
      <c r="G238" s="138">
        <v>2</v>
      </c>
      <c r="H238" s="138">
        <v>1</v>
      </c>
      <c r="I238" s="138">
        <v>1</v>
      </c>
      <c r="J238" s="138">
        <v>0</v>
      </c>
      <c r="K238" s="138">
        <v>0</v>
      </c>
      <c r="L238" s="138">
        <v>0</v>
      </c>
      <c r="M238" s="138">
        <v>37</v>
      </c>
      <c r="N238" s="138">
        <v>33</v>
      </c>
      <c r="O238" s="138">
        <v>33</v>
      </c>
      <c r="P238" s="138"/>
      <c r="Q238" s="138"/>
      <c r="R238" s="138"/>
      <c r="S238" s="138"/>
      <c r="T238" s="138"/>
      <c r="U238" s="296"/>
      <c r="V238" s="138"/>
      <c r="W238" s="138"/>
      <c r="X238" s="138"/>
      <c r="Y238" s="138"/>
      <c r="Z238" s="138"/>
      <c r="AA238" s="284"/>
      <c r="AB238" s="69">
        <v>389</v>
      </c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>
        <v>-3.3</v>
      </c>
      <c r="AO238" s="69"/>
      <c r="AP238" s="70"/>
      <c r="AQ238" s="275">
        <v>26</v>
      </c>
      <c r="AR238" s="58" t="b">
        <f t="shared" si="14"/>
        <v>0</v>
      </c>
    </row>
    <row r="239" spans="1:44" ht="16.5" customHeight="1">
      <c r="A239" s="62" t="s">
        <v>59</v>
      </c>
      <c r="B239" s="129" t="s">
        <v>62</v>
      </c>
      <c r="C239" s="75" t="s">
        <v>115</v>
      </c>
      <c r="D239" s="68" t="s">
        <v>259</v>
      </c>
      <c r="E239" s="138">
        <v>50</v>
      </c>
      <c r="F239" s="138">
        <v>31</v>
      </c>
      <c r="G239" s="138">
        <v>0</v>
      </c>
      <c r="H239" s="138">
        <v>0</v>
      </c>
      <c r="I239" s="138">
        <v>0</v>
      </c>
      <c r="J239" s="138">
        <v>0</v>
      </c>
      <c r="K239" s="138">
        <v>0</v>
      </c>
      <c r="L239" s="138">
        <v>0</v>
      </c>
      <c r="M239" s="138">
        <v>31</v>
      </c>
      <c r="N239" s="138">
        <v>24</v>
      </c>
      <c r="O239" s="138">
        <v>24</v>
      </c>
      <c r="P239" s="138"/>
      <c r="Q239" s="138"/>
      <c r="R239" s="138"/>
      <c r="S239" s="138"/>
      <c r="T239" s="138"/>
      <c r="U239" s="296"/>
      <c r="V239" s="138"/>
      <c r="W239" s="138"/>
      <c r="X239" s="138"/>
      <c r="Y239" s="138"/>
      <c r="Z239" s="138"/>
      <c r="AA239" s="284"/>
      <c r="AB239" s="69">
        <v>183</v>
      </c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>
        <v>5.6</v>
      </c>
      <c r="AO239" s="69"/>
      <c r="AP239" s="70"/>
      <c r="AQ239" s="275">
        <v>28</v>
      </c>
      <c r="AR239" s="58" t="b">
        <f t="shared" si="14"/>
        <v>0</v>
      </c>
    </row>
    <row r="240" spans="1:44" ht="17.25" customHeight="1">
      <c r="A240" s="62" t="s">
        <v>59</v>
      </c>
      <c r="B240" s="129" t="s">
        <v>62</v>
      </c>
      <c r="C240" s="75" t="s">
        <v>115</v>
      </c>
      <c r="D240" s="68" t="s">
        <v>260</v>
      </c>
      <c r="E240" s="138">
        <v>30</v>
      </c>
      <c r="F240" s="138">
        <v>21</v>
      </c>
      <c r="G240" s="138">
        <v>3</v>
      </c>
      <c r="H240" s="138">
        <v>1</v>
      </c>
      <c r="I240" s="138">
        <v>2</v>
      </c>
      <c r="J240" s="138">
        <v>0</v>
      </c>
      <c r="K240" s="138">
        <v>0</v>
      </c>
      <c r="L240" s="138">
        <v>0</v>
      </c>
      <c r="M240" s="138">
        <v>18</v>
      </c>
      <c r="N240" s="138">
        <v>6</v>
      </c>
      <c r="O240" s="138">
        <v>6</v>
      </c>
      <c r="P240" s="138"/>
      <c r="Q240" s="138"/>
      <c r="R240" s="138"/>
      <c r="S240" s="138"/>
      <c r="T240" s="138"/>
      <c r="U240" s="296"/>
      <c r="V240" s="138"/>
      <c r="W240" s="138"/>
      <c r="X240" s="138"/>
      <c r="Y240" s="138"/>
      <c r="Z240" s="138"/>
      <c r="AA240" s="284"/>
      <c r="AB240" s="69">
        <v>374</v>
      </c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>
        <v>1.5</v>
      </c>
      <c r="AO240" s="69"/>
      <c r="AP240" s="70"/>
      <c r="AQ240" s="275">
        <v>37</v>
      </c>
      <c r="AR240" s="58" t="b">
        <f t="shared" si="14"/>
        <v>0</v>
      </c>
    </row>
    <row r="241" spans="1:44" ht="17.25" customHeight="1" thickBot="1">
      <c r="A241" s="139" t="s">
        <v>59</v>
      </c>
      <c r="B241" s="140" t="s">
        <v>62</v>
      </c>
      <c r="C241" s="141" t="s">
        <v>130</v>
      </c>
      <c r="D241" s="142" t="s">
        <v>261</v>
      </c>
      <c r="E241" s="143">
        <v>18</v>
      </c>
      <c r="F241" s="143">
        <v>10</v>
      </c>
      <c r="G241" s="143">
        <v>1</v>
      </c>
      <c r="H241" s="143">
        <v>0</v>
      </c>
      <c r="I241" s="143">
        <v>1</v>
      </c>
      <c r="J241" s="143">
        <v>0</v>
      </c>
      <c r="K241" s="143">
        <v>0</v>
      </c>
      <c r="L241" s="143">
        <v>0</v>
      </c>
      <c r="M241" s="143">
        <v>9</v>
      </c>
      <c r="N241" s="143">
        <v>9</v>
      </c>
      <c r="O241" s="143">
        <v>9</v>
      </c>
      <c r="P241" s="143"/>
      <c r="Q241" s="143"/>
      <c r="R241" s="143"/>
      <c r="S241" s="143"/>
      <c r="T241" s="143"/>
      <c r="U241" s="332"/>
      <c r="V241" s="143"/>
      <c r="W241" s="143"/>
      <c r="X241" s="143"/>
      <c r="Y241" s="143"/>
      <c r="Z241" s="143"/>
      <c r="AA241" s="333"/>
      <c r="AB241" s="144">
        <v>402</v>
      </c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>
        <v>3.4</v>
      </c>
      <c r="AO241" s="144"/>
      <c r="AP241" s="144"/>
      <c r="AQ241" s="142">
        <v>0</v>
      </c>
      <c r="AR241" s="142">
        <v>0</v>
      </c>
    </row>
    <row r="242" spans="1:44">
      <c r="A242" s="62" t="s">
        <v>59</v>
      </c>
      <c r="B242" s="404" t="s">
        <v>262</v>
      </c>
      <c r="C242" s="405"/>
      <c r="D242" s="73" t="s">
        <v>114</v>
      </c>
      <c r="E242" s="74">
        <v>100</v>
      </c>
      <c r="F242" s="74">
        <v>33</v>
      </c>
      <c r="G242" s="74">
        <v>4</v>
      </c>
      <c r="H242" s="74">
        <v>4</v>
      </c>
      <c r="I242" s="74">
        <v>0</v>
      </c>
      <c r="J242" s="74">
        <v>0</v>
      </c>
      <c r="K242" s="74">
        <v>0</v>
      </c>
      <c r="L242" s="74">
        <v>0</v>
      </c>
      <c r="M242" s="74">
        <v>29</v>
      </c>
      <c r="N242" s="74">
        <v>22</v>
      </c>
      <c r="O242" s="74">
        <v>19</v>
      </c>
      <c r="P242" s="74"/>
      <c r="Q242" s="74"/>
      <c r="R242" s="74"/>
      <c r="S242" s="74"/>
      <c r="T242" s="74"/>
      <c r="U242" s="287"/>
      <c r="V242" s="74"/>
      <c r="W242" s="74"/>
      <c r="X242" s="74"/>
      <c r="Y242" s="74"/>
      <c r="Z242" s="74"/>
      <c r="AA242" s="288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275">
        <v>208</v>
      </c>
      <c r="AR242" s="137" t="b">
        <f>EXACT(F242,AQ242)</f>
        <v>0</v>
      </c>
    </row>
    <row r="243" spans="1:44" ht="15.75" customHeight="1">
      <c r="A243" s="62" t="s">
        <v>59</v>
      </c>
      <c r="B243" s="129" t="s">
        <v>262</v>
      </c>
      <c r="C243" s="75" t="s">
        <v>115</v>
      </c>
      <c r="D243" s="145" t="s">
        <v>263</v>
      </c>
      <c r="E243" s="138">
        <v>25</v>
      </c>
      <c r="F243" s="138">
        <v>6</v>
      </c>
      <c r="G243" s="138">
        <v>1</v>
      </c>
      <c r="H243" s="138">
        <v>1</v>
      </c>
      <c r="I243" s="138">
        <v>0</v>
      </c>
      <c r="J243" s="138">
        <v>0</v>
      </c>
      <c r="K243" s="138">
        <v>0</v>
      </c>
      <c r="L243" s="138">
        <v>0</v>
      </c>
      <c r="M243" s="138">
        <v>5</v>
      </c>
      <c r="N243" s="138">
        <v>4</v>
      </c>
      <c r="O243" s="138">
        <v>4</v>
      </c>
      <c r="P243" s="138"/>
      <c r="Q243" s="138"/>
      <c r="R243" s="138"/>
      <c r="S243" s="138"/>
      <c r="T243" s="138"/>
      <c r="U243" s="296"/>
      <c r="V243" s="138"/>
      <c r="W243" s="138"/>
      <c r="X243" s="138"/>
      <c r="Y243" s="138"/>
      <c r="Z243" s="138"/>
      <c r="AA243" s="284"/>
      <c r="AB243" s="138">
        <v>176</v>
      </c>
      <c r="AC243" s="138"/>
      <c r="AD243" s="138"/>
      <c r="AE243" s="138"/>
      <c r="AF243" s="138"/>
      <c r="AG243" s="138"/>
      <c r="AH243" s="138"/>
      <c r="AI243" s="138"/>
      <c r="AJ243" s="138"/>
      <c r="AK243" s="138"/>
      <c r="AL243" s="138"/>
      <c r="AM243" s="138"/>
      <c r="AN243" s="138">
        <v>-3.3</v>
      </c>
      <c r="AO243" s="138"/>
      <c r="AP243" s="138"/>
      <c r="AQ243" s="275">
        <v>19</v>
      </c>
      <c r="AR243" s="58" t="b">
        <f>EXACT(F243,AQ243)</f>
        <v>0</v>
      </c>
    </row>
    <row r="244" spans="1:44" ht="16.5" customHeight="1">
      <c r="A244" s="62" t="s">
        <v>59</v>
      </c>
      <c r="B244" s="129" t="s">
        <v>262</v>
      </c>
      <c r="C244" s="75" t="s">
        <v>115</v>
      </c>
      <c r="D244" s="145" t="s">
        <v>264</v>
      </c>
      <c r="E244" s="138">
        <v>25</v>
      </c>
      <c r="F244" s="138">
        <v>8</v>
      </c>
      <c r="G244" s="138">
        <v>1</v>
      </c>
      <c r="H244" s="138">
        <v>1</v>
      </c>
      <c r="I244" s="138">
        <v>0</v>
      </c>
      <c r="J244" s="138">
        <v>0</v>
      </c>
      <c r="K244" s="138">
        <v>0</v>
      </c>
      <c r="L244" s="138">
        <v>0</v>
      </c>
      <c r="M244" s="138">
        <v>7</v>
      </c>
      <c r="N244" s="138">
        <v>6</v>
      </c>
      <c r="O244" s="138">
        <v>6</v>
      </c>
      <c r="P244" s="138"/>
      <c r="Q244" s="138"/>
      <c r="R244" s="138"/>
      <c r="S244" s="138"/>
      <c r="T244" s="138"/>
      <c r="U244" s="296"/>
      <c r="V244" s="138"/>
      <c r="W244" s="138"/>
      <c r="X244" s="138"/>
      <c r="Y244" s="138"/>
      <c r="Z244" s="138"/>
      <c r="AA244" s="284"/>
      <c r="AB244" s="138">
        <v>140</v>
      </c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>
        <v>-4.8</v>
      </c>
      <c r="AO244" s="138"/>
      <c r="AP244" s="138"/>
      <c r="AQ244" s="275">
        <v>10</v>
      </c>
      <c r="AR244" s="58" t="b">
        <f>EXACT(F244,AQ244)</f>
        <v>0</v>
      </c>
    </row>
    <row r="245" spans="1:44" ht="16.5" customHeight="1">
      <c r="A245" s="62" t="s">
        <v>59</v>
      </c>
      <c r="B245" s="129" t="s">
        <v>262</v>
      </c>
      <c r="C245" s="75" t="s">
        <v>115</v>
      </c>
      <c r="D245" s="145" t="s">
        <v>265</v>
      </c>
      <c r="E245" s="138">
        <v>25</v>
      </c>
      <c r="F245" s="138">
        <v>10</v>
      </c>
      <c r="G245" s="138">
        <v>1</v>
      </c>
      <c r="H245" s="138">
        <v>1</v>
      </c>
      <c r="I245" s="138">
        <v>0</v>
      </c>
      <c r="J245" s="138">
        <v>0</v>
      </c>
      <c r="K245" s="138">
        <v>0</v>
      </c>
      <c r="L245" s="138">
        <v>0</v>
      </c>
      <c r="M245" s="138">
        <v>9</v>
      </c>
      <c r="N245" s="138">
        <v>5</v>
      </c>
      <c r="O245" s="138">
        <v>3</v>
      </c>
      <c r="P245" s="138"/>
      <c r="Q245" s="138"/>
      <c r="R245" s="138"/>
      <c r="S245" s="138"/>
      <c r="T245" s="138"/>
      <c r="U245" s="296"/>
      <c r="V245" s="138"/>
      <c r="W245" s="138"/>
      <c r="X245" s="138"/>
      <c r="Y245" s="138"/>
      <c r="Z245" s="138"/>
      <c r="AA245" s="284"/>
      <c r="AB245" s="138">
        <v>449</v>
      </c>
      <c r="AC245" s="138"/>
      <c r="AD245" s="138"/>
      <c r="AE245" s="138"/>
      <c r="AF245" s="138"/>
      <c r="AG245" s="138"/>
      <c r="AH245" s="138"/>
      <c r="AI245" s="138"/>
      <c r="AJ245" s="138"/>
      <c r="AK245" s="138"/>
      <c r="AL245" s="138"/>
      <c r="AM245" s="138"/>
      <c r="AN245" s="138">
        <v>-0.6</v>
      </c>
      <c r="AO245" s="138"/>
      <c r="AP245" s="138"/>
      <c r="AQ245" s="275">
        <v>52</v>
      </c>
      <c r="AR245" s="58" t="b">
        <f>EXACT(F245,AQ245)</f>
        <v>0</v>
      </c>
    </row>
    <row r="246" spans="1:44" ht="16.5" customHeight="1">
      <c r="A246" s="62" t="s">
        <v>59</v>
      </c>
      <c r="B246" s="129" t="s">
        <v>262</v>
      </c>
      <c r="C246" s="75" t="s">
        <v>115</v>
      </c>
      <c r="D246" s="145" t="s">
        <v>266</v>
      </c>
      <c r="E246" s="138">
        <v>25</v>
      </c>
      <c r="F246" s="138">
        <v>9</v>
      </c>
      <c r="G246" s="138">
        <v>1</v>
      </c>
      <c r="H246" s="138">
        <v>1</v>
      </c>
      <c r="I246" s="138">
        <v>0</v>
      </c>
      <c r="J246" s="138">
        <v>0</v>
      </c>
      <c r="K246" s="138">
        <v>0</v>
      </c>
      <c r="L246" s="138">
        <v>0</v>
      </c>
      <c r="M246" s="138">
        <v>8</v>
      </c>
      <c r="N246" s="138">
        <v>7</v>
      </c>
      <c r="O246" s="138">
        <v>6</v>
      </c>
      <c r="P246" s="138"/>
      <c r="Q246" s="138"/>
      <c r="R246" s="138"/>
      <c r="S246" s="138"/>
      <c r="T246" s="138"/>
      <c r="U246" s="296"/>
      <c r="V246" s="138"/>
      <c r="W246" s="138"/>
      <c r="X246" s="138"/>
      <c r="Y246" s="138"/>
      <c r="Z246" s="138"/>
      <c r="AA246" s="284"/>
      <c r="AB246" s="138">
        <v>106</v>
      </c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  <c r="AN246" s="138">
        <v>-2.4</v>
      </c>
      <c r="AO246" s="138"/>
      <c r="AP246" s="138"/>
      <c r="AQ246" s="275">
        <v>31</v>
      </c>
      <c r="AR246" s="58" t="b">
        <f>EXACT(F246,AQ246)</f>
        <v>0</v>
      </c>
    </row>
  </sheetData>
  <autoFilter ref="A5:AR246"/>
  <mergeCells count="69">
    <mergeCell ref="B219:D219"/>
    <mergeCell ref="B110:C110"/>
    <mergeCell ref="B79:C79"/>
    <mergeCell ref="A3:A5"/>
    <mergeCell ref="AE4:AE5"/>
    <mergeCell ref="B85:C85"/>
    <mergeCell ref="AG4:AG5"/>
    <mergeCell ref="B89:C89"/>
    <mergeCell ref="D3:D5"/>
    <mergeCell ref="AB3:AM3"/>
    <mergeCell ref="B158:C158"/>
    <mergeCell ref="B217:C217"/>
    <mergeCell ref="B183:C183"/>
    <mergeCell ref="B26:C26"/>
    <mergeCell ref="B76:C76"/>
    <mergeCell ref="B220:C220"/>
    <mergeCell ref="AN2:AP2"/>
    <mergeCell ref="B151:C151"/>
    <mergeCell ref="C3:C5"/>
    <mergeCell ref="N3:AA3"/>
    <mergeCell ref="N4:T4"/>
    <mergeCell ref="AA4:AA5"/>
    <mergeCell ref="E3:E5"/>
    <mergeCell ref="AI4:AI5"/>
    <mergeCell ref="AC4:AC5"/>
    <mergeCell ref="B92:D92"/>
    <mergeCell ref="B145:C145"/>
    <mergeCell ref="B3:B5"/>
    <mergeCell ref="AM4:AM5"/>
    <mergeCell ref="B8:C8"/>
    <mergeCell ref="B73:C73"/>
    <mergeCell ref="AN3:AP4"/>
    <mergeCell ref="B43:C43"/>
    <mergeCell ref="V4:Z4"/>
    <mergeCell ref="B176:C176"/>
    <mergeCell ref="B167:C167"/>
    <mergeCell ref="B45:D45"/>
    <mergeCell ref="B34:C34"/>
    <mergeCell ref="B174:C174"/>
    <mergeCell ref="AD4:AD5"/>
    <mergeCell ref="F3:F5"/>
    <mergeCell ref="G3:L4"/>
    <mergeCell ref="AJ4:AJ5"/>
    <mergeCell ref="U4:U5"/>
    <mergeCell ref="AL4:AL5"/>
    <mergeCell ref="B7:D7"/>
    <mergeCell ref="B126:D126"/>
    <mergeCell ref="B78:D78"/>
    <mergeCell ref="B102:C102"/>
    <mergeCell ref="B157:D157"/>
    <mergeCell ref="B182:D182"/>
    <mergeCell ref="B215:C215"/>
    <mergeCell ref="B127:C127"/>
    <mergeCell ref="B242:C242"/>
    <mergeCell ref="B233:C233"/>
    <mergeCell ref="B138:C138"/>
    <mergeCell ref="B227:C227"/>
    <mergeCell ref="A1:AP1"/>
    <mergeCell ref="M3:M5"/>
    <mergeCell ref="B199:C199"/>
    <mergeCell ref="AB4:AB5"/>
    <mergeCell ref="B208:C208"/>
    <mergeCell ref="B46:C46"/>
    <mergeCell ref="B121:C121"/>
    <mergeCell ref="AF4:AF5"/>
    <mergeCell ref="B155:C155"/>
    <mergeCell ref="B93:C93"/>
    <mergeCell ref="AH4:AH5"/>
    <mergeCell ref="AK4:AK5"/>
  </mergeCells>
  <phoneticPr fontId="4" type="noConversion"/>
  <conditionalFormatting sqref="AR5">
    <cfRule type="cellIs" dxfId="1" priority="1" operator="greater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78" footer="0.31496062992125978"/>
  <pageSetup paperSize="12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193"/>
  <sheetViews>
    <sheetView zoomScale="115" zoomScaleNormal="115" workbookViewId="0">
      <selection activeCell="J159" sqref="J159"/>
    </sheetView>
  </sheetViews>
  <sheetFormatPr defaultRowHeight="16.5"/>
  <cols>
    <col min="1" max="1" width="8" style="35" customWidth="1"/>
    <col min="2" max="3" width="7" style="35" customWidth="1"/>
    <col min="4" max="4" width="15" style="43" customWidth="1"/>
    <col min="5" max="6" width="6" style="35" bestFit="1" customWidth="1"/>
    <col min="7" max="7" width="3.75" style="35" customWidth="1"/>
    <col min="8" max="9" width="4.25" style="35" customWidth="1"/>
    <col min="10" max="12" width="3.25" style="35" customWidth="1"/>
    <col min="13" max="13" width="5.125" style="36" customWidth="1"/>
    <col min="14" max="14" width="6" style="36" bestFit="1" customWidth="1"/>
    <col min="15" max="15" width="6.75" style="35" bestFit="1" customWidth="1"/>
    <col min="16" max="20" width="3.25" style="35" customWidth="1"/>
    <col min="21" max="21" width="5.625" style="40" customWidth="1"/>
    <col min="22" max="22" width="3.75" style="35" customWidth="1"/>
    <col min="23" max="26" width="3.25" style="35" customWidth="1"/>
    <col min="27" max="27" width="4.75" style="35" customWidth="1"/>
    <col min="28" max="29" width="6" style="35" bestFit="1" customWidth="1"/>
    <col min="30" max="40" width="3.25" style="35" customWidth="1"/>
    <col min="41" max="41" width="4.5" style="35" bestFit="1" customWidth="1"/>
    <col min="42" max="42" width="3.25" style="35" customWidth="1"/>
    <col min="43" max="256" width="9" style="35" customWidth="1"/>
    <col min="257" max="257" width="8" style="35" customWidth="1"/>
    <col min="258" max="259" width="7" style="35" customWidth="1"/>
    <col min="260" max="260" width="9.375" style="35" customWidth="1"/>
    <col min="261" max="262" width="6" style="35" bestFit="1" customWidth="1"/>
    <col min="263" max="263" width="3.75" style="35" customWidth="1"/>
    <col min="264" max="268" width="3.25" style="35" customWidth="1"/>
    <col min="269" max="269" width="5.125" style="35" customWidth="1"/>
    <col min="270" max="270" width="6" style="35" bestFit="1" customWidth="1"/>
    <col min="271" max="271" width="5.25" style="35" bestFit="1" customWidth="1"/>
    <col min="272" max="276" width="3.25" style="35" customWidth="1"/>
    <col min="277" max="277" width="4.75" style="35" customWidth="1"/>
    <col min="278" max="278" width="3.75" style="35" customWidth="1"/>
    <col min="279" max="282" width="3.25" style="35" customWidth="1"/>
    <col min="283" max="283" width="4.75" style="35" customWidth="1"/>
    <col min="284" max="285" width="6" style="35" bestFit="1" customWidth="1"/>
    <col min="286" max="296" width="3.25" style="35" customWidth="1"/>
    <col min="297" max="297" width="4.5" style="35" bestFit="1" customWidth="1"/>
    <col min="298" max="298" width="3.25" style="35" customWidth="1"/>
    <col min="299" max="512" width="9" style="35" customWidth="1"/>
    <col min="513" max="513" width="8" style="35" customWidth="1"/>
    <col min="514" max="515" width="7" style="35" customWidth="1"/>
    <col min="516" max="516" width="9.375" style="35" customWidth="1"/>
    <col min="517" max="518" width="6" style="35" bestFit="1" customWidth="1"/>
    <col min="519" max="519" width="3.75" style="35" customWidth="1"/>
    <col min="520" max="524" width="3.25" style="35" customWidth="1"/>
    <col min="525" max="525" width="5.125" style="35" customWidth="1"/>
    <col min="526" max="526" width="6" style="35" bestFit="1" customWidth="1"/>
    <col min="527" max="527" width="5.25" style="35" bestFit="1" customWidth="1"/>
    <col min="528" max="532" width="3.25" style="35" customWidth="1"/>
    <col min="533" max="533" width="4.75" style="35" customWidth="1"/>
    <col min="534" max="534" width="3.75" style="35" customWidth="1"/>
    <col min="535" max="538" width="3.25" style="35" customWidth="1"/>
    <col min="539" max="539" width="4.75" style="35" customWidth="1"/>
    <col min="540" max="541" width="6" style="35" bestFit="1" customWidth="1"/>
    <col min="542" max="552" width="3.25" style="35" customWidth="1"/>
    <col min="553" max="553" width="4.5" style="35" bestFit="1" customWidth="1"/>
    <col min="554" max="554" width="3.25" style="35" customWidth="1"/>
    <col min="555" max="768" width="9" style="35" customWidth="1"/>
    <col min="769" max="769" width="8" style="35" customWidth="1"/>
    <col min="770" max="771" width="7" style="35" customWidth="1"/>
    <col min="772" max="772" width="9.375" style="35" customWidth="1"/>
    <col min="773" max="774" width="6" style="35" bestFit="1" customWidth="1"/>
    <col min="775" max="775" width="3.75" style="35" customWidth="1"/>
    <col min="776" max="780" width="3.25" style="35" customWidth="1"/>
    <col min="781" max="781" width="5.125" style="35" customWidth="1"/>
    <col min="782" max="782" width="6" style="35" bestFit="1" customWidth="1"/>
    <col min="783" max="783" width="5.25" style="35" bestFit="1" customWidth="1"/>
    <col min="784" max="788" width="3.25" style="35" customWidth="1"/>
    <col min="789" max="789" width="4.75" style="35" customWidth="1"/>
    <col min="790" max="790" width="3.75" style="35" customWidth="1"/>
    <col min="791" max="794" width="3.25" style="35" customWidth="1"/>
    <col min="795" max="795" width="4.75" style="35" customWidth="1"/>
    <col min="796" max="797" width="6" style="35" bestFit="1" customWidth="1"/>
    <col min="798" max="808" width="3.25" style="35" customWidth="1"/>
    <col min="809" max="809" width="4.5" style="35" bestFit="1" customWidth="1"/>
    <col min="810" max="810" width="3.25" style="35" customWidth="1"/>
    <col min="811" max="1024" width="9" style="35" customWidth="1"/>
    <col min="1025" max="1025" width="8" style="35" customWidth="1"/>
    <col min="1026" max="1027" width="7" style="35" customWidth="1"/>
    <col min="1028" max="1028" width="9.375" style="35" customWidth="1"/>
    <col min="1029" max="1030" width="6" style="35" bestFit="1" customWidth="1"/>
    <col min="1031" max="1031" width="3.75" style="35" customWidth="1"/>
    <col min="1032" max="1036" width="3.25" style="35" customWidth="1"/>
    <col min="1037" max="1037" width="5.125" style="35" customWidth="1"/>
    <col min="1038" max="1038" width="6" style="35" bestFit="1" customWidth="1"/>
    <col min="1039" max="1039" width="5.25" style="35" bestFit="1" customWidth="1"/>
    <col min="1040" max="1044" width="3.25" style="35" customWidth="1"/>
    <col min="1045" max="1045" width="4.75" style="35" customWidth="1"/>
    <col min="1046" max="1046" width="3.75" style="35" customWidth="1"/>
    <col min="1047" max="1050" width="3.25" style="35" customWidth="1"/>
    <col min="1051" max="1051" width="4.75" style="35" customWidth="1"/>
    <col min="1052" max="1053" width="6" style="35" bestFit="1" customWidth="1"/>
    <col min="1054" max="1064" width="3.25" style="35" customWidth="1"/>
    <col min="1065" max="1065" width="4.5" style="35" bestFit="1" customWidth="1"/>
    <col min="1066" max="1066" width="3.25" style="35" customWidth="1"/>
    <col min="1067" max="1280" width="9" style="35" customWidth="1"/>
    <col min="1281" max="1281" width="8" style="35" customWidth="1"/>
    <col min="1282" max="1283" width="7" style="35" customWidth="1"/>
    <col min="1284" max="1284" width="9.375" style="35" customWidth="1"/>
    <col min="1285" max="1286" width="6" style="35" bestFit="1" customWidth="1"/>
    <col min="1287" max="1287" width="3.75" style="35" customWidth="1"/>
    <col min="1288" max="1292" width="3.25" style="35" customWidth="1"/>
    <col min="1293" max="1293" width="5.125" style="35" customWidth="1"/>
    <col min="1294" max="1294" width="6" style="35" bestFit="1" customWidth="1"/>
    <col min="1295" max="1295" width="5.25" style="35" bestFit="1" customWidth="1"/>
    <col min="1296" max="1300" width="3.25" style="35" customWidth="1"/>
    <col min="1301" max="1301" width="4.75" style="35" customWidth="1"/>
    <col min="1302" max="1302" width="3.75" style="35" customWidth="1"/>
    <col min="1303" max="1306" width="3.25" style="35" customWidth="1"/>
    <col min="1307" max="1307" width="4.75" style="35" customWidth="1"/>
    <col min="1308" max="1309" width="6" style="35" bestFit="1" customWidth="1"/>
    <col min="1310" max="1320" width="3.25" style="35" customWidth="1"/>
    <col min="1321" max="1321" width="4.5" style="35" bestFit="1" customWidth="1"/>
    <col min="1322" max="1322" width="3.25" style="35" customWidth="1"/>
    <col min="1323" max="1536" width="9" style="35" customWidth="1"/>
    <col min="1537" max="1537" width="8" style="35" customWidth="1"/>
    <col min="1538" max="1539" width="7" style="35" customWidth="1"/>
    <col min="1540" max="1540" width="9.375" style="35" customWidth="1"/>
    <col min="1541" max="1542" width="6" style="35" bestFit="1" customWidth="1"/>
    <col min="1543" max="1543" width="3.75" style="35" customWidth="1"/>
    <col min="1544" max="1548" width="3.25" style="35" customWidth="1"/>
    <col min="1549" max="1549" width="5.125" style="35" customWidth="1"/>
    <col min="1550" max="1550" width="6" style="35" bestFit="1" customWidth="1"/>
    <col min="1551" max="1551" width="5.25" style="35" bestFit="1" customWidth="1"/>
    <col min="1552" max="1556" width="3.25" style="35" customWidth="1"/>
    <col min="1557" max="1557" width="4.75" style="35" customWidth="1"/>
    <col min="1558" max="1558" width="3.75" style="35" customWidth="1"/>
    <col min="1559" max="1562" width="3.25" style="35" customWidth="1"/>
    <col min="1563" max="1563" width="4.75" style="35" customWidth="1"/>
    <col min="1564" max="1565" width="6" style="35" bestFit="1" customWidth="1"/>
    <col min="1566" max="1576" width="3.25" style="35" customWidth="1"/>
    <col min="1577" max="1577" width="4.5" style="35" bestFit="1" customWidth="1"/>
    <col min="1578" max="1578" width="3.25" style="35" customWidth="1"/>
    <col min="1579" max="1792" width="9" style="35" customWidth="1"/>
    <col min="1793" max="1793" width="8" style="35" customWidth="1"/>
    <col min="1794" max="1795" width="7" style="35" customWidth="1"/>
    <col min="1796" max="1796" width="9.375" style="35" customWidth="1"/>
    <col min="1797" max="1798" width="6" style="35" bestFit="1" customWidth="1"/>
    <col min="1799" max="1799" width="3.75" style="35" customWidth="1"/>
    <col min="1800" max="1804" width="3.25" style="35" customWidth="1"/>
    <col min="1805" max="1805" width="5.125" style="35" customWidth="1"/>
    <col min="1806" max="1806" width="6" style="35" bestFit="1" customWidth="1"/>
    <col min="1807" max="1807" width="5.25" style="35" bestFit="1" customWidth="1"/>
    <col min="1808" max="1812" width="3.25" style="35" customWidth="1"/>
    <col min="1813" max="1813" width="4.75" style="35" customWidth="1"/>
    <col min="1814" max="1814" width="3.75" style="35" customWidth="1"/>
    <col min="1815" max="1818" width="3.25" style="35" customWidth="1"/>
    <col min="1819" max="1819" width="4.75" style="35" customWidth="1"/>
    <col min="1820" max="1821" width="6" style="35" bestFit="1" customWidth="1"/>
    <col min="1822" max="1832" width="3.25" style="35" customWidth="1"/>
    <col min="1833" max="1833" width="4.5" style="35" bestFit="1" customWidth="1"/>
    <col min="1834" max="1834" width="3.25" style="35" customWidth="1"/>
    <col min="1835" max="2048" width="9" style="35" customWidth="1"/>
    <col min="2049" max="2049" width="8" style="35" customWidth="1"/>
    <col min="2050" max="2051" width="7" style="35" customWidth="1"/>
    <col min="2052" max="2052" width="9.375" style="35" customWidth="1"/>
    <col min="2053" max="2054" width="6" style="35" bestFit="1" customWidth="1"/>
    <col min="2055" max="2055" width="3.75" style="35" customWidth="1"/>
    <col min="2056" max="2060" width="3.25" style="35" customWidth="1"/>
    <col min="2061" max="2061" width="5.125" style="35" customWidth="1"/>
    <col min="2062" max="2062" width="6" style="35" bestFit="1" customWidth="1"/>
    <col min="2063" max="2063" width="5.25" style="35" bestFit="1" customWidth="1"/>
    <col min="2064" max="2068" width="3.25" style="35" customWidth="1"/>
    <col min="2069" max="2069" width="4.75" style="35" customWidth="1"/>
    <col min="2070" max="2070" width="3.75" style="35" customWidth="1"/>
    <col min="2071" max="2074" width="3.25" style="35" customWidth="1"/>
    <col min="2075" max="2075" width="4.75" style="35" customWidth="1"/>
    <col min="2076" max="2077" width="6" style="35" bestFit="1" customWidth="1"/>
    <col min="2078" max="2088" width="3.25" style="35" customWidth="1"/>
    <col min="2089" max="2089" width="4.5" style="35" bestFit="1" customWidth="1"/>
    <col min="2090" max="2090" width="3.25" style="35" customWidth="1"/>
    <col min="2091" max="2304" width="9" style="35" customWidth="1"/>
    <col min="2305" max="2305" width="8" style="35" customWidth="1"/>
    <col min="2306" max="2307" width="7" style="35" customWidth="1"/>
    <col min="2308" max="2308" width="9.375" style="35" customWidth="1"/>
    <col min="2309" max="2310" width="6" style="35" bestFit="1" customWidth="1"/>
    <col min="2311" max="2311" width="3.75" style="35" customWidth="1"/>
    <col min="2312" max="2316" width="3.25" style="35" customWidth="1"/>
    <col min="2317" max="2317" width="5.125" style="35" customWidth="1"/>
    <col min="2318" max="2318" width="6" style="35" bestFit="1" customWidth="1"/>
    <col min="2319" max="2319" width="5.25" style="35" bestFit="1" customWidth="1"/>
    <col min="2320" max="2324" width="3.25" style="35" customWidth="1"/>
    <col min="2325" max="2325" width="4.75" style="35" customWidth="1"/>
    <col min="2326" max="2326" width="3.75" style="35" customWidth="1"/>
    <col min="2327" max="2330" width="3.25" style="35" customWidth="1"/>
    <col min="2331" max="2331" width="4.75" style="35" customWidth="1"/>
    <col min="2332" max="2333" width="6" style="35" bestFit="1" customWidth="1"/>
    <col min="2334" max="2344" width="3.25" style="35" customWidth="1"/>
    <col min="2345" max="2345" width="4.5" style="35" bestFit="1" customWidth="1"/>
    <col min="2346" max="2346" width="3.25" style="35" customWidth="1"/>
    <col min="2347" max="2560" width="9" style="35" customWidth="1"/>
    <col min="2561" max="2561" width="8" style="35" customWidth="1"/>
    <col min="2562" max="2563" width="7" style="35" customWidth="1"/>
    <col min="2564" max="2564" width="9.375" style="35" customWidth="1"/>
    <col min="2565" max="2566" width="6" style="35" bestFit="1" customWidth="1"/>
    <col min="2567" max="2567" width="3.75" style="35" customWidth="1"/>
    <col min="2568" max="2572" width="3.25" style="35" customWidth="1"/>
    <col min="2573" max="2573" width="5.125" style="35" customWidth="1"/>
    <col min="2574" max="2574" width="6" style="35" bestFit="1" customWidth="1"/>
    <col min="2575" max="2575" width="5.25" style="35" bestFit="1" customWidth="1"/>
    <col min="2576" max="2580" width="3.25" style="35" customWidth="1"/>
    <col min="2581" max="2581" width="4.75" style="35" customWidth="1"/>
    <col min="2582" max="2582" width="3.75" style="35" customWidth="1"/>
    <col min="2583" max="2586" width="3.25" style="35" customWidth="1"/>
    <col min="2587" max="2587" width="4.75" style="35" customWidth="1"/>
    <col min="2588" max="2589" width="6" style="35" bestFit="1" customWidth="1"/>
    <col min="2590" max="2600" width="3.25" style="35" customWidth="1"/>
    <col min="2601" max="2601" width="4.5" style="35" bestFit="1" customWidth="1"/>
    <col min="2602" max="2602" width="3.25" style="35" customWidth="1"/>
    <col min="2603" max="2816" width="9" style="35" customWidth="1"/>
    <col min="2817" max="2817" width="8" style="35" customWidth="1"/>
    <col min="2818" max="2819" width="7" style="35" customWidth="1"/>
    <col min="2820" max="2820" width="9.375" style="35" customWidth="1"/>
    <col min="2821" max="2822" width="6" style="35" bestFit="1" customWidth="1"/>
    <col min="2823" max="2823" width="3.75" style="35" customWidth="1"/>
    <col min="2824" max="2828" width="3.25" style="35" customWidth="1"/>
    <col min="2829" max="2829" width="5.125" style="35" customWidth="1"/>
    <col min="2830" max="2830" width="6" style="35" bestFit="1" customWidth="1"/>
    <col min="2831" max="2831" width="5.25" style="35" bestFit="1" customWidth="1"/>
    <col min="2832" max="2836" width="3.25" style="35" customWidth="1"/>
    <col min="2837" max="2837" width="4.75" style="35" customWidth="1"/>
    <col min="2838" max="2838" width="3.75" style="35" customWidth="1"/>
    <col min="2839" max="2842" width="3.25" style="35" customWidth="1"/>
    <col min="2843" max="2843" width="4.75" style="35" customWidth="1"/>
    <col min="2844" max="2845" width="6" style="35" bestFit="1" customWidth="1"/>
    <col min="2846" max="2856" width="3.25" style="35" customWidth="1"/>
    <col min="2857" max="2857" width="4.5" style="35" bestFit="1" customWidth="1"/>
    <col min="2858" max="2858" width="3.25" style="35" customWidth="1"/>
    <col min="2859" max="3072" width="9" style="35" customWidth="1"/>
    <col min="3073" max="3073" width="8" style="35" customWidth="1"/>
    <col min="3074" max="3075" width="7" style="35" customWidth="1"/>
    <col min="3076" max="3076" width="9.375" style="35" customWidth="1"/>
    <col min="3077" max="3078" width="6" style="35" bestFit="1" customWidth="1"/>
    <col min="3079" max="3079" width="3.75" style="35" customWidth="1"/>
    <col min="3080" max="3084" width="3.25" style="35" customWidth="1"/>
    <col min="3085" max="3085" width="5.125" style="35" customWidth="1"/>
    <col min="3086" max="3086" width="6" style="35" bestFit="1" customWidth="1"/>
    <col min="3087" max="3087" width="5.25" style="35" bestFit="1" customWidth="1"/>
    <col min="3088" max="3092" width="3.25" style="35" customWidth="1"/>
    <col min="3093" max="3093" width="4.75" style="35" customWidth="1"/>
    <col min="3094" max="3094" width="3.75" style="35" customWidth="1"/>
    <col min="3095" max="3098" width="3.25" style="35" customWidth="1"/>
    <col min="3099" max="3099" width="4.75" style="35" customWidth="1"/>
    <col min="3100" max="3101" width="6" style="35" bestFit="1" customWidth="1"/>
    <col min="3102" max="3112" width="3.25" style="35" customWidth="1"/>
    <col min="3113" max="3113" width="4.5" style="35" bestFit="1" customWidth="1"/>
    <col min="3114" max="3114" width="3.25" style="35" customWidth="1"/>
    <col min="3115" max="3328" width="9" style="35" customWidth="1"/>
    <col min="3329" max="3329" width="8" style="35" customWidth="1"/>
    <col min="3330" max="3331" width="7" style="35" customWidth="1"/>
    <col min="3332" max="3332" width="9.375" style="35" customWidth="1"/>
    <col min="3333" max="3334" width="6" style="35" bestFit="1" customWidth="1"/>
    <col min="3335" max="3335" width="3.75" style="35" customWidth="1"/>
    <col min="3336" max="3340" width="3.25" style="35" customWidth="1"/>
    <col min="3341" max="3341" width="5.125" style="35" customWidth="1"/>
    <col min="3342" max="3342" width="6" style="35" bestFit="1" customWidth="1"/>
    <col min="3343" max="3343" width="5.25" style="35" bestFit="1" customWidth="1"/>
    <col min="3344" max="3348" width="3.25" style="35" customWidth="1"/>
    <col min="3349" max="3349" width="4.75" style="35" customWidth="1"/>
    <col min="3350" max="3350" width="3.75" style="35" customWidth="1"/>
    <col min="3351" max="3354" width="3.25" style="35" customWidth="1"/>
    <col min="3355" max="3355" width="4.75" style="35" customWidth="1"/>
    <col min="3356" max="3357" width="6" style="35" bestFit="1" customWidth="1"/>
    <col min="3358" max="3368" width="3.25" style="35" customWidth="1"/>
    <col min="3369" max="3369" width="4.5" style="35" bestFit="1" customWidth="1"/>
    <col min="3370" max="3370" width="3.25" style="35" customWidth="1"/>
    <col min="3371" max="3584" width="9" style="35" customWidth="1"/>
    <col min="3585" max="3585" width="8" style="35" customWidth="1"/>
    <col min="3586" max="3587" width="7" style="35" customWidth="1"/>
    <col min="3588" max="3588" width="9.375" style="35" customWidth="1"/>
    <col min="3589" max="3590" width="6" style="35" bestFit="1" customWidth="1"/>
    <col min="3591" max="3591" width="3.75" style="35" customWidth="1"/>
    <col min="3592" max="3596" width="3.25" style="35" customWidth="1"/>
    <col min="3597" max="3597" width="5.125" style="35" customWidth="1"/>
    <col min="3598" max="3598" width="6" style="35" bestFit="1" customWidth="1"/>
    <col min="3599" max="3599" width="5.25" style="35" bestFit="1" customWidth="1"/>
    <col min="3600" max="3604" width="3.25" style="35" customWidth="1"/>
    <col min="3605" max="3605" width="4.75" style="35" customWidth="1"/>
    <col min="3606" max="3606" width="3.75" style="35" customWidth="1"/>
    <col min="3607" max="3610" width="3.25" style="35" customWidth="1"/>
    <col min="3611" max="3611" width="4.75" style="35" customWidth="1"/>
    <col min="3612" max="3613" width="6" style="35" bestFit="1" customWidth="1"/>
    <col min="3614" max="3624" width="3.25" style="35" customWidth="1"/>
    <col min="3625" max="3625" width="4.5" style="35" bestFit="1" customWidth="1"/>
    <col min="3626" max="3626" width="3.25" style="35" customWidth="1"/>
    <col min="3627" max="3840" width="9" style="35" customWidth="1"/>
    <col min="3841" max="3841" width="8" style="35" customWidth="1"/>
    <col min="3842" max="3843" width="7" style="35" customWidth="1"/>
    <col min="3844" max="3844" width="9.375" style="35" customWidth="1"/>
    <col min="3845" max="3846" width="6" style="35" bestFit="1" customWidth="1"/>
    <col min="3847" max="3847" width="3.75" style="35" customWidth="1"/>
    <col min="3848" max="3852" width="3.25" style="35" customWidth="1"/>
    <col min="3853" max="3853" width="5.125" style="35" customWidth="1"/>
    <col min="3854" max="3854" width="6" style="35" bestFit="1" customWidth="1"/>
    <col min="3855" max="3855" width="5.25" style="35" bestFit="1" customWidth="1"/>
    <col min="3856" max="3860" width="3.25" style="35" customWidth="1"/>
    <col min="3861" max="3861" width="4.75" style="35" customWidth="1"/>
    <col min="3862" max="3862" width="3.75" style="35" customWidth="1"/>
    <col min="3863" max="3866" width="3.25" style="35" customWidth="1"/>
    <col min="3867" max="3867" width="4.75" style="35" customWidth="1"/>
    <col min="3868" max="3869" width="6" style="35" bestFit="1" customWidth="1"/>
    <col min="3870" max="3880" width="3.25" style="35" customWidth="1"/>
    <col min="3881" max="3881" width="4.5" style="35" bestFit="1" customWidth="1"/>
    <col min="3882" max="3882" width="3.25" style="35" customWidth="1"/>
    <col min="3883" max="4096" width="9" style="35" customWidth="1"/>
    <col min="4097" max="4097" width="8" style="35" customWidth="1"/>
    <col min="4098" max="4099" width="7" style="35" customWidth="1"/>
    <col min="4100" max="4100" width="9.375" style="35" customWidth="1"/>
    <col min="4101" max="4102" width="6" style="35" bestFit="1" customWidth="1"/>
    <col min="4103" max="4103" width="3.75" style="35" customWidth="1"/>
    <col min="4104" max="4108" width="3.25" style="35" customWidth="1"/>
    <col min="4109" max="4109" width="5.125" style="35" customWidth="1"/>
    <col min="4110" max="4110" width="6" style="35" bestFit="1" customWidth="1"/>
    <col min="4111" max="4111" width="5.25" style="35" bestFit="1" customWidth="1"/>
    <col min="4112" max="4116" width="3.25" style="35" customWidth="1"/>
    <col min="4117" max="4117" width="4.75" style="35" customWidth="1"/>
    <col min="4118" max="4118" width="3.75" style="35" customWidth="1"/>
    <col min="4119" max="4122" width="3.25" style="35" customWidth="1"/>
    <col min="4123" max="4123" width="4.75" style="35" customWidth="1"/>
    <col min="4124" max="4125" width="6" style="35" bestFit="1" customWidth="1"/>
    <col min="4126" max="4136" width="3.25" style="35" customWidth="1"/>
    <col min="4137" max="4137" width="4.5" style="35" bestFit="1" customWidth="1"/>
    <col min="4138" max="4138" width="3.25" style="35" customWidth="1"/>
    <col min="4139" max="4352" width="9" style="35" customWidth="1"/>
    <col min="4353" max="4353" width="8" style="35" customWidth="1"/>
    <col min="4354" max="4355" width="7" style="35" customWidth="1"/>
    <col min="4356" max="4356" width="9.375" style="35" customWidth="1"/>
    <col min="4357" max="4358" width="6" style="35" bestFit="1" customWidth="1"/>
    <col min="4359" max="4359" width="3.75" style="35" customWidth="1"/>
    <col min="4360" max="4364" width="3.25" style="35" customWidth="1"/>
    <col min="4365" max="4365" width="5.125" style="35" customWidth="1"/>
    <col min="4366" max="4366" width="6" style="35" bestFit="1" customWidth="1"/>
    <col min="4367" max="4367" width="5.25" style="35" bestFit="1" customWidth="1"/>
    <col min="4368" max="4372" width="3.25" style="35" customWidth="1"/>
    <col min="4373" max="4373" width="4.75" style="35" customWidth="1"/>
    <col min="4374" max="4374" width="3.75" style="35" customWidth="1"/>
    <col min="4375" max="4378" width="3.25" style="35" customWidth="1"/>
    <col min="4379" max="4379" width="4.75" style="35" customWidth="1"/>
    <col min="4380" max="4381" width="6" style="35" bestFit="1" customWidth="1"/>
    <col min="4382" max="4392" width="3.25" style="35" customWidth="1"/>
    <col min="4393" max="4393" width="4.5" style="35" bestFit="1" customWidth="1"/>
    <col min="4394" max="4394" width="3.25" style="35" customWidth="1"/>
    <col min="4395" max="4608" width="9" style="35" customWidth="1"/>
    <col min="4609" max="4609" width="8" style="35" customWidth="1"/>
    <col min="4610" max="4611" width="7" style="35" customWidth="1"/>
    <col min="4612" max="4612" width="9.375" style="35" customWidth="1"/>
    <col min="4613" max="4614" width="6" style="35" bestFit="1" customWidth="1"/>
    <col min="4615" max="4615" width="3.75" style="35" customWidth="1"/>
    <col min="4616" max="4620" width="3.25" style="35" customWidth="1"/>
    <col min="4621" max="4621" width="5.125" style="35" customWidth="1"/>
    <col min="4622" max="4622" width="6" style="35" bestFit="1" customWidth="1"/>
    <col min="4623" max="4623" width="5.25" style="35" bestFit="1" customWidth="1"/>
    <col min="4624" max="4628" width="3.25" style="35" customWidth="1"/>
    <col min="4629" max="4629" width="4.75" style="35" customWidth="1"/>
    <col min="4630" max="4630" width="3.75" style="35" customWidth="1"/>
    <col min="4631" max="4634" width="3.25" style="35" customWidth="1"/>
    <col min="4635" max="4635" width="4.75" style="35" customWidth="1"/>
    <col min="4636" max="4637" width="6" style="35" bestFit="1" customWidth="1"/>
    <col min="4638" max="4648" width="3.25" style="35" customWidth="1"/>
    <col min="4649" max="4649" width="4.5" style="35" bestFit="1" customWidth="1"/>
    <col min="4650" max="4650" width="3.25" style="35" customWidth="1"/>
    <col min="4651" max="4864" width="9" style="35" customWidth="1"/>
    <col min="4865" max="4865" width="8" style="35" customWidth="1"/>
    <col min="4866" max="4867" width="7" style="35" customWidth="1"/>
    <col min="4868" max="4868" width="9.375" style="35" customWidth="1"/>
    <col min="4869" max="4870" width="6" style="35" bestFit="1" customWidth="1"/>
    <col min="4871" max="4871" width="3.75" style="35" customWidth="1"/>
    <col min="4872" max="4876" width="3.25" style="35" customWidth="1"/>
    <col min="4877" max="4877" width="5.125" style="35" customWidth="1"/>
    <col min="4878" max="4878" width="6" style="35" bestFit="1" customWidth="1"/>
    <col min="4879" max="4879" width="5.25" style="35" bestFit="1" customWidth="1"/>
    <col min="4880" max="4884" width="3.25" style="35" customWidth="1"/>
    <col min="4885" max="4885" width="4.75" style="35" customWidth="1"/>
    <col min="4886" max="4886" width="3.75" style="35" customWidth="1"/>
    <col min="4887" max="4890" width="3.25" style="35" customWidth="1"/>
    <col min="4891" max="4891" width="4.75" style="35" customWidth="1"/>
    <col min="4892" max="4893" width="6" style="35" bestFit="1" customWidth="1"/>
    <col min="4894" max="4904" width="3.25" style="35" customWidth="1"/>
    <col min="4905" max="4905" width="4.5" style="35" bestFit="1" customWidth="1"/>
    <col min="4906" max="4906" width="3.25" style="35" customWidth="1"/>
    <col min="4907" max="5120" width="9" style="35" customWidth="1"/>
    <col min="5121" max="5121" width="8" style="35" customWidth="1"/>
    <col min="5122" max="5123" width="7" style="35" customWidth="1"/>
    <col min="5124" max="5124" width="9.375" style="35" customWidth="1"/>
    <col min="5125" max="5126" width="6" style="35" bestFit="1" customWidth="1"/>
    <col min="5127" max="5127" width="3.75" style="35" customWidth="1"/>
    <col min="5128" max="5132" width="3.25" style="35" customWidth="1"/>
    <col min="5133" max="5133" width="5.125" style="35" customWidth="1"/>
    <col min="5134" max="5134" width="6" style="35" bestFit="1" customWidth="1"/>
    <col min="5135" max="5135" width="5.25" style="35" bestFit="1" customWidth="1"/>
    <col min="5136" max="5140" width="3.25" style="35" customWidth="1"/>
    <col min="5141" max="5141" width="4.75" style="35" customWidth="1"/>
    <col min="5142" max="5142" width="3.75" style="35" customWidth="1"/>
    <col min="5143" max="5146" width="3.25" style="35" customWidth="1"/>
    <col min="5147" max="5147" width="4.75" style="35" customWidth="1"/>
    <col min="5148" max="5149" width="6" style="35" bestFit="1" customWidth="1"/>
    <col min="5150" max="5160" width="3.25" style="35" customWidth="1"/>
    <col min="5161" max="5161" width="4.5" style="35" bestFit="1" customWidth="1"/>
    <col min="5162" max="5162" width="3.25" style="35" customWidth="1"/>
    <col min="5163" max="5376" width="9" style="35" customWidth="1"/>
    <col min="5377" max="5377" width="8" style="35" customWidth="1"/>
    <col min="5378" max="5379" width="7" style="35" customWidth="1"/>
    <col min="5380" max="5380" width="9.375" style="35" customWidth="1"/>
    <col min="5381" max="5382" width="6" style="35" bestFit="1" customWidth="1"/>
    <col min="5383" max="5383" width="3.75" style="35" customWidth="1"/>
    <col min="5384" max="5388" width="3.25" style="35" customWidth="1"/>
    <col min="5389" max="5389" width="5.125" style="35" customWidth="1"/>
    <col min="5390" max="5390" width="6" style="35" bestFit="1" customWidth="1"/>
    <col min="5391" max="5391" width="5.25" style="35" bestFit="1" customWidth="1"/>
    <col min="5392" max="5396" width="3.25" style="35" customWidth="1"/>
    <col min="5397" max="5397" width="4.75" style="35" customWidth="1"/>
    <col min="5398" max="5398" width="3.75" style="35" customWidth="1"/>
    <col min="5399" max="5402" width="3.25" style="35" customWidth="1"/>
    <col min="5403" max="5403" width="4.75" style="35" customWidth="1"/>
    <col min="5404" max="5405" width="6" style="35" bestFit="1" customWidth="1"/>
    <col min="5406" max="5416" width="3.25" style="35" customWidth="1"/>
    <col min="5417" max="5417" width="4.5" style="35" bestFit="1" customWidth="1"/>
    <col min="5418" max="5418" width="3.25" style="35" customWidth="1"/>
    <col min="5419" max="5632" width="9" style="35" customWidth="1"/>
    <col min="5633" max="5633" width="8" style="35" customWidth="1"/>
    <col min="5634" max="5635" width="7" style="35" customWidth="1"/>
    <col min="5636" max="5636" width="9.375" style="35" customWidth="1"/>
    <col min="5637" max="5638" width="6" style="35" bestFit="1" customWidth="1"/>
    <col min="5639" max="5639" width="3.75" style="35" customWidth="1"/>
    <col min="5640" max="5644" width="3.25" style="35" customWidth="1"/>
    <col min="5645" max="5645" width="5.125" style="35" customWidth="1"/>
    <col min="5646" max="5646" width="6" style="35" bestFit="1" customWidth="1"/>
    <col min="5647" max="5647" width="5.25" style="35" bestFit="1" customWidth="1"/>
    <col min="5648" max="5652" width="3.25" style="35" customWidth="1"/>
    <col min="5653" max="5653" width="4.75" style="35" customWidth="1"/>
    <col min="5654" max="5654" width="3.75" style="35" customWidth="1"/>
    <col min="5655" max="5658" width="3.25" style="35" customWidth="1"/>
    <col min="5659" max="5659" width="4.75" style="35" customWidth="1"/>
    <col min="5660" max="5661" width="6" style="35" bestFit="1" customWidth="1"/>
    <col min="5662" max="5672" width="3.25" style="35" customWidth="1"/>
    <col min="5673" max="5673" width="4.5" style="35" bestFit="1" customWidth="1"/>
    <col min="5674" max="5674" width="3.25" style="35" customWidth="1"/>
    <col min="5675" max="5888" width="9" style="35" customWidth="1"/>
    <col min="5889" max="5889" width="8" style="35" customWidth="1"/>
    <col min="5890" max="5891" width="7" style="35" customWidth="1"/>
    <col min="5892" max="5892" width="9.375" style="35" customWidth="1"/>
    <col min="5893" max="5894" width="6" style="35" bestFit="1" customWidth="1"/>
    <col min="5895" max="5895" width="3.75" style="35" customWidth="1"/>
    <col min="5896" max="5900" width="3.25" style="35" customWidth="1"/>
    <col min="5901" max="5901" width="5.125" style="35" customWidth="1"/>
    <col min="5902" max="5902" width="6" style="35" bestFit="1" customWidth="1"/>
    <col min="5903" max="5903" width="5.25" style="35" bestFit="1" customWidth="1"/>
    <col min="5904" max="5908" width="3.25" style="35" customWidth="1"/>
    <col min="5909" max="5909" width="4.75" style="35" customWidth="1"/>
    <col min="5910" max="5910" width="3.75" style="35" customWidth="1"/>
    <col min="5911" max="5914" width="3.25" style="35" customWidth="1"/>
    <col min="5915" max="5915" width="4.75" style="35" customWidth="1"/>
    <col min="5916" max="5917" width="6" style="35" bestFit="1" customWidth="1"/>
    <col min="5918" max="5928" width="3.25" style="35" customWidth="1"/>
    <col min="5929" max="5929" width="4.5" style="35" bestFit="1" customWidth="1"/>
    <col min="5930" max="5930" width="3.25" style="35" customWidth="1"/>
    <col min="5931" max="6144" width="9" style="35" customWidth="1"/>
    <col min="6145" max="6145" width="8" style="35" customWidth="1"/>
    <col min="6146" max="6147" width="7" style="35" customWidth="1"/>
    <col min="6148" max="6148" width="9.375" style="35" customWidth="1"/>
    <col min="6149" max="6150" width="6" style="35" bestFit="1" customWidth="1"/>
    <col min="6151" max="6151" width="3.75" style="35" customWidth="1"/>
    <col min="6152" max="6156" width="3.25" style="35" customWidth="1"/>
    <col min="6157" max="6157" width="5.125" style="35" customWidth="1"/>
    <col min="6158" max="6158" width="6" style="35" bestFit="1" customWidth="1"/>
    <col min="6159" max="6159" width="5.25" style="35" bestFit="1" customWidth="1"/>
    <col min="6160" max="6164" width="3.25" style="35" customWidth="1"/>
    <col min="6165" max="6165" width="4.75" style="35" customWidth="1"/>
    <col min="6166" max="6166" width="3.75" style="35" customWidth="1"/>
    <col min="6167" max="6170" width="3.25" style="35" customWidth="1"/>
    <col min="6171" max="6171" width="4.75" style="35" customWidth="1"/>
    <col min="6172" max="6173" width="6" style="35" bestFit="1" customWidth="1"/>
    <col min="6174" max="6184" width="3.25" style="35" customWidth="1"/>
    <col min="6185" max="6185" width="4.5" style="35" bestFit="1" customWidth="1"/>
    <col min="6186" max="6186" width="3.25" style="35" customWidth="1"/>
    <col min="6187" max="6400" width="9" style="35" customWidth="1"/>
    <col min="6401" max="6401" width="8" style="35" customWidth="1"/>
    <col min="6402" max="6403" width="7" style="35" customWidth="1"/>
    <col min="6404" max="6404" width="9.375" style="35" customWidth="1"/>
    <col min="6405" max="6406" width="6" style="35" bestFit="1" customWidth="1"/>
    <col min="6407" max="6407" width="3.75" style="35" customWidth="1"/>
    <col min="6408" max="6412" width="3.25" style="35" customWidth="1"/>
    <col min="6413" max="6413" width="5.125" style="35" customWidth="1"/>
    <col min="6414" max="6414" width="6" style="35" bestFit="1" customWidth="1"/>
    <col min="6415" max="6415" width="5.25" style="35" bestFit="1" customWidth="1"/>
    <col min="6416" max="6420" width="3.25" style="35" customWidth="1"/>
    <col min="6421" max="6421" width="4.75" style="35" customWidth="1"/>
    <col min="6422" max="6422" width="3.75" style="35" customWidth="1"/>
    <col min="6423" max="6426" width="3.25" style="35" customWidth="1"/>
    <col min="6427" max="6427" width="4.75" style="35" customWidth="1"/>
    <col min="6428" max="6429" width="6" style="35" bestFit="1" customWidth="1"/>
    <col min="6430" max="6440" width="3.25" style="35" customWidth="1"/>
    <col min="6441" max="6441" width="4.5" style="35" bestFit="1" customWidth="1"/>
    <col min="6442" max="6442" width="3.25" style="35" customWidth="1"/>
    <col min="6443" max="6656" width="9" style="35" customWidth="1"/>
    <col min="6657" max="6657" width="8" style="35" customWidth="1"/>
    <col min="6658" max="6659" width="7" style="35" customWidth="1"/>
    <col min="6660" max="6660" width="9.375" style="35" customWidth="1"/>
    <col min="6661" max="6662" width="6" style="35" bestFit="1" customWidth="1"/>
    <col min="6663" max="6663" width="3.75" style="35" customWidth="1"/>
    <col min="6664" max="6668" width="3.25" style="35" customWidth="1"/>
    <col min="6669" max="6669" width="5.125" style="35" customWidth="1"/>
    <col min="6670" max="6670" width="6" style="35" bestFit="1" customWidth="1"/>
    <col min="6671" max="6671" width="5.25" style="35" bestFit="1" customWidth="1"/>
    <col min="6672" max="6676" width="3.25" style="35" customWidth="1"/>
    <col min="6677" max="6677" width="4.75" style="35" customWidth="1"/>
    <col min="6678" max="6678" width="3.75" style="35" customWidth="1"/>
    <col min="6679" max="6682" width="3.25" style="35" customWidth="1"/>
    <col min="6683" max="6683" width="4.75" style="35" customWidth="1"/>
    <col min="6684" max="6685" width="6" style="35" bestFit="1" customWidth="1"/>
    <col min="6686" max="6696" width="3.25" style="35" customWidth="1"/>
    <col min="6697" max="6697" width="4.5" style="35" bestFit="1" customWidth="1"/>
    <col min="6698" max="6698" width="3.25" style="35" customWidth="1"/>
    <col min="6699" max="6912" width="9" style="35" customWidth="1"/>
    <col min="6913" max="6913" width="8" style="35" customWidth="1"/>
    <col min="6914" max="6915" width="7" style="35" customWidth="1"/>
    <col min="6916" max="6916" width="9.375" style="35" customWidth="1"/>
    <col min="6917" max="6918" width="6" style="35" bestFit="1" customWidth="1"/>
    <col min="6919" max="6919" width="3.75" style="35" customWidth="1"/>
    <col min="6920" max="6924" width="3.25" style="35" customWidth="1"/>
    <col min="6925" max="6925" width="5.125" style="35" customWidth="1"/>
    <col min="6926" max="6926" width="6" style="35" bestFit="1" customWidth="1"/>
    <col min="6927" max="6927" width="5.25" style="35" bestFit="1" customWidth="1"/>
    <col min="6928" max="6932" width="3.25" style="35" customWidth="1"/>
    <col min="6933" max="6933" width="4.75" style="35" customWidth="1"/>
    <col min="6934" max="6934" width="3.75" style="35" customWidth="1"/>
    <col min="6935" max="6938" width="3.25" style="35" customWidth="1"/>
    <col min="6939" max="6939" width="4.75" style="35" customWidth="1"/>
    <col min="6940" max="6941" width="6" style="35" bestFit="1" customWidth="1"/>
    <col min="6942" max="6952" width="3.25" style="35" customWidth="1"/>
    <col min="6953" max="6953" width="4.5" style="35" bestFit="1" customWidth="1"/>
    <col min="6954" max="6954" width="3.25" style="35" customWidth="1"/>
    <col min="6955" max="7168" width="9" style="35" customWidth="1"/>
    <col min="7169" max="7169" width="8" style="35" customWidth="1"/>
    <col min="7170" max="7171" width="7" style="35" customWidth="1"/>
    <col min="7172" max="7172" width="9.375" style="35" customWidth="1"/>
    <col min="7173" max="7174" width="6" style="35" bestFit="1" customWidth="1"/>
    <col min="7175" max="7175" width="3.75" style="35" customWidth="1"/>
    <col min="7176" max="7180" width="3.25" style="35" customWidth="1"/>
    <col min="7181" max="7181" width="5.125" style="35" customWidth="1"/>
    <col min="7182" max="7182" width="6" style="35" bestFit="1" customWidth="1"/>
    <col min="7183" max="7183" width="5.25" style="35" bestFit="1" customWidth="1"/>
    <col min="7184" max="7188" width="3.25" style="35" customWidth="1"/>
    <col min="7189" max="7189" width="4.75" style="35" customWidth="1"/>
    <col min="7190" max="7190" width="3.75" style="35" customWidth="1"/>
    <col min="7191" max="7194" width="3.25" style="35" customWidth="1"/>
    <col min="7195" max="7195" width="4.75" style="35" customWidth="1"/>
    <col min="7196" max="7197" width="6" style="35" bestFit="1" customWidth="1"/>
    <col min="7198" max="7208" width="3.25" style="35" customWidth="1"/>
    <col min="7209" max="7209" width="4.5" style="35" bestFit="1" customWidth="1"/>
    <col min="7210" max="7210" width="3.25" style="35" customWidth="1"/>
    <col min="7211" max="7424" width="9" style="35" customWidth="1"/>
    <col min="7425" max="7425" width="8" style="35" customWidth="1"/>
    <col min="7426" max="7427" width="7" style="35" customWidth="1"/>
    <col min="7428" max="7428" width="9.375" style="35" customWidth="1"/>
    <col min="7429" max="7430" width="6" style="35" bestFit="1" customWidth="1"/>
    <col min="7431" max="7431" width="3.75" style="35" customWidth="1"/>
    <col min="7432" max="7436" width="3.25" style="35" customWidth="1"/>
    <col min="7437" max="7437" width="5.125" style="35" customWidth="1"/>
    <col min="7438" max="7438" width="6" style="35" bestFit="1" customWidth="1"/>
    <col min="7439" max="7439" width="5.25" style="35" bestFit="1" customWidth="1"/>
    <col min="7440" max="7444" width="3.25" style="35" customWidth="1"/>
    <col min="7445" max="7445" width="4.75" style="35" customWidth="1"/>
    <col min="7446" max="7446" width="3.75" style="35" customWidth="1"/>
    <col min="7447" max="7450" width="3.25" style="35" customWidth="1"/>
    <col min="7451" max="7451" width="4.75" style="35" customWidth="1"/>
    <col min="7452" max="7453" width="6" style="35" bestFit="1" customWidth="1"/>
    <col min="7454" max="7464" width="3.25" style="35" customWidth="1"/>
    <col min="7465" max="7465" width="4.5" style="35" bestFit="1" customWidth="1"/>
    <col min="7466" max="7466" width="3.25" style="35" customWidth="1"/>
    <col min="7467" max="7680" width="9" style="35" customWidth="1"/>
    <col min="7681" max="7681" width="8" style="35" customWidth="1"/>
    <col min="7682" max="7683" width="7" style="35" customWidth="1"/>
    <col min="7684" max="7684" width="9.375" style="35" customWidth="1"/>
    <col min="7685" max="7686" width="6" style="35" bestFit="1" customWidth="1"/>
    <col min="7687" max="7687" width="3.75" style="35" customWidth="1"/>
    <col min="7688" max="7692" width="3.25" style="35" customWidth="1"/>
    <col min="7693" max="7693" width="5.125" style="35" customWidth="1"/>
    <col min="7694" max="7694" width="6" style="35" bestFit="1" customWidth="1"/>
    <col min="7695" max="7695" width="5.25" style="35" bestFit="1" customWidth="1"/>
    <col min="7696" max="7700" width="3.25" style="35" customWidth="1"/>
    <col min="7701" max="7701" width="4.75" style="35" customWidth="1"/>
    <col min="7702" max="7702" width="3.75" style="35" customWidth="1"/>
    <col min="7703" max="7706" width="3.25" style="35" customWidth="1"/>
    <col min="7707" max="7707" width="4.75" style="35" customWidth="1"/>
    <col min="7708" max="7709" width="6" style="35" bestFit="1" customWidth="1"/>
    <col min="7710" max="7720" width="3.25" style="35" customWidth="1"/>
    <col min="7721" max="7721" width="4.5" style="35" bestFit="1" customWidth="1"/>
    <col min="7722" max="7722" width="3.25" style="35" customWidth="1"/>
    <col min="7723" max="7936" width="9" style="35" customWidth="1"/>
    <col min="7937" max="7937" width="8" style="35" customWidth="1"/>
    <col min="7938" max="7939" width="7" style="35" customWidth="1"/>
    <col min="7940" max="7940" width="9.375" style="35" customWidth="1"/>
    <col min="7941" max="7942" width="6" style="35" bestFit="1" customWidth="1"/>
    <col min="7943" max="7943" width="3.75" style="35" customWidth="1"/>
    <col min="7944" max="7948" width="3.25" style="35" customWidth="1"/>
    <col min="7949" max="7949" width="5.125" style="35" customWidth="1"/>
    <col min="7950" max="7950" width="6" style="35" bestFit="1" customWidth="1"/>
    <col min="7951" max="7951" width="5.25" style="35" bestFit="1" customWidth="1"/>
    <col min="7952" max="7956" width="3.25" style="35" customWidth="1"/>
    <col min="7957" max="7957" width="4.75" style="35" customWidth="1"/>
    <col min="7958" max="7958" width="3.75" style="35" customWidth="1"/>
    <col min="7959" max="7962" width="3.25" style="35" customWidth="1"/>
    <col min="7963" max="7963" width="4.75" style="35" customWidth="1"/>
    <col min="7964" max="7965" width="6" style="35" bestFit="1" customWidth="1"/>
    <col min="7966" max="7976" width="3.25" style="35" customWidth="1"/>
    <col min="7977" max="7977" width="4.5" style="35" bestFit="1" customWidth="1"/>
    <col min="7978" max="7978" width="3.25" style="35" customWidth="1"/>
    <col min="7979" max="8192" width="9" style="35" customWidth="1"/>
    <col min="8193" max="8193" width="8" style="35" customWidth="1"/>
    <col min="8194" max="8195" width="7" style="35" customWidth="1"/>
    <col min="8196" max="8196" width="9.375" style="35" customWidth="1"/>
    <col min="8197" max="8198" width="6" style="35" bestFit="1" customWidth="1"/>
    <col min="8199" max="8199" width="3.75" style="35" customWidth="1"/>
    <col min="8200" max="8204" width="3.25" style="35" customWidth="1"/>
    <col min="8205" max="8205" width="5.125" style="35" customWidth="1"/>
    <col min="8206" max="8206" width="6" style="35" bestFit="1" customWidth="1"/>
    <col min="8207" max="8207" width="5.25" style="35" bestFit="1" customWidth="1"/>
    <col min="8208" max="8212" width="3.25" style="35" customWidth="1"/>
    <col min="8213" max="8213" width="4.75" style="35" customWidth="1"/>
    <col min="8214" max="8214" width="3.75" style="35" customWidth="1"/>
    <col min="8215" max="8218" width="3.25" style="35" customWidth="1"/>
    <col min="8219" max="8219" width="4.75" style="35" customWidth="1"/>
    <col min="8220" max="8221" width="6" style="35" bestFit="1" customWidth="1"/>
    <col min="8222" max="8232" width="3.25" style="35" customWidth="1"/>
    <col min="8233" max="8233" width="4.5" style="35" bestFit="1" customWidth="1"/>
    <col min="8234" max="8234" width="3.25" style="35" customWidth="1"/>
    <col min="8235" max="8448" width="9" style="35" customWidth="1"/>
    <col min="8449" max="8449" width="8" style="35" customWidth="1"/>
    <col min="8450" max="8451" width="7" style="35" customWidth="1"/>
    <col min="8452" max="8452" width="9.375" style="35" customWidth="1"/>
    <col min="8453" max="8454" width="6" style="35" bestFit="1" customWidth="1"/>
    <col min="8455" max="8455" width="3.75" style="35" customWidth="1"/>
    <col min="8456" max="8460" width="3.25" style="35" customWidth="1"/>
    <col min="8461" max="8461" width="5.125" style="35" customWidth="1"/>
    <col min="8462" max="8462" width="6" style="35" bestFit="1" customWidth="1"/>
    <col min="8463" max="8463" width="5.25" style="35" bestFit="1" customWidth="1"/>
    <col min="8464" max="8468" width="3.25" style="35" customWidth="1"/>
    <col min="8469" max="8469" width="4.75" style="35" customWidth="1"/>
    <col min="8470" max="8470" width="3.75" style="35" customWidth="1"/>
    <col min="8471" max="8474" width="3.25" style="35" customWidth="1"/>
    <col min="8475" max="8475" width="4.75" style="35" customWidth="1"/>
    <col min="8476" max="8477" width="6" style="35" bestFit="1" customWidth="1"/>
    <col min="8478" max="8488" width="3.25" style="35" customWidth="1"/>
    <col min="8489" max="8489" width="4.5" style="35" bestFit="1" customWidth="1"/>
    <col min="8490" max="8490" width="3.25" style="35" customWidth="1"/>
    <col min="8491" max="8704" width="9" style="35" customWidth="1"/>
    <col min="8705" max="8705" width="8" style="35" customWidth="1"/>
    <col min="8706" max="8707" width="7" style="35" customWidth="1"/>
    <col min="8708" max="8708" width="9.375" style="35" customWidth="1"/>
    <col min="8709" max="8710" width="6" style="35" bestFit="1" customWidth="1"/>
    <col min="8711" max="8711" width="3.75" style="35" customWidth="1"/>
    <col min="8712" max="8716" width="3.25" style="35" customWidth="1"/>
    <col min="8717" max="8717" width="5.125" style="35" customWidth="1"/>
    <col min="8718" max="8718" width="6" style="35" bestFit="1" customWidth="1"/>
    <col min="8719" max="8719" width="5.25" style="35" bestFit="1" customWidth="1"/>
    <col min="8720" max="8724" width="3.25" style="35" customWidth="1"/>
    <col min="8725" max="8725" width="4.75" style="35" customWidth="1"/>
    <col min="8726" max="8726" width="3.75" style="35" customWidth="1"/>
    <col min="8727" max="8730" width="3.25" style="35" customWidth="1"/>
    <col min="8731" max="8731" width="4.75" style="35" customWidth="1"/>
    <col min="8732" max="8733" width="6" style="35" bestFit="1" customWidth="1"/>
    <col min="8734" max="8744" width="3.25" style="35" customWidth="1"/>
    <col min="8745" max="8745" width="4.5" style="35" bestFit="1" customWidth="1"/>
    <col min="8746" max="8746" width="3.25" style="35" customWidth="1"/>
    <col min="8747" max="8960" width="9" style="35" customWidth="1"/>
    <col min="8961" max="8961" width="8" style="35" customWidth="1"/>
    <col min="8962" max="8963" width="7" style="35" customWidth="1"/>
    <col min="8964" max="8964" width="9.375" style="35" customWidth="1"/>
    <col min="8965" max="8966" width="6" style="35" bestFit="1" customWidth="1"/>
    <col min="8967" max="8967" width="3.75" style="35" customWidth="1"/>
    <col min="8968" max="8972" width="3.25" style="35" customWidth="1"/>
    <col min="8973" max="8973" width="5.125" style="35" customWidth="1"/>
    <col min="8974" max="8974" width="6" style="35" bestFit="1" customWidth="1"/>
    <col min="8975" max="8975" width="5.25" style="35" bestFit="1" customWidth="1"/>
    <col min="8976" max="8980" width="3.25" style="35" customWidth="1"/>
    <col min="8981" max="8981" width="4.75" style="35" customWidth="1"/>
    <col min="8982" max="8982" width="3.75" style="35" customWidth="1"/>
    <col min="8983" max="8986" width="3.25" style="35" customWidth="1"/>
    <col min="8987" max="8987" width="4.75" style="35" customWidth="1"/>
    <col min="8988" max="8989" width="6" style="35" bestFit="1" customWidth="1"/>
    <col min="8990" max="9000" width="3.25" style="35" customWidth="1"/>
    <col min="9001" max="9001" width="4.5" style="35" bestFit="1" customWidth="1"/>
    <col min="9002" max="9002" width="3.25" style="35" customWidth="1"/>
    <col min="9003" max="9216" width="9" style="35" customWidth="1"/>
    <col min="9217" max="9217" width="8" style="35" customWidth="1"/>
    <col min="9218" max="9219" width="7" style="35" customWidth="1"/>
    <col min="9220" max="9220" width="9.375" style="35" customWidth="1"/>
    <col min="9221" max="9222" width="6" style="35" bestFit="1" customWidth="1"/>
    <col min="9223" max="9223" width="3.75" style="35" customWidth="1"/>
    <col min="9224" max="9228" width="3.25" style="35" customWidth="1"/>
    <col min="9229" max="9229" width="5.125" style="35" customWidth="1"/>
    <col min="9230" max="9230" width="6" style="35" bestFit="1" customWidth="1"/>
    <col min="9231" max="9231" width="5.25" style="35" bestFit="1" customWidth="1"/>
    <col min="9232" max="9236" width="3.25" style="35" customWidth="1"/>
    <col min="9237" max="9237" width="4.75" style="35" customWidth="1"/>
    <col min="9238" max="9238" width="3.75" style="35" customWidth="1"/>
    <col min="9239" max="9242" width="3.25" style="35" customWidth="1"/>
    <col min="9243" max="9243" width="4.75" style="35" customWidth="1"/>
    <col min="9244" max="9245" width="6" style="35" bestFit="1" customWidth="1"/>
    <col min="9246" max="9256" width="3.25" style="35" customWidth="1"/>
    <col min="9257" max="9257" width="4.5" style="35" bestFit="1" customWidth="1"/>
    <col min="9258" max="9258" width="3.25" style="35" customWidth="1"/>
    <col min="9259" max="9472" width="9" style="35" customWidth="1"/>
    <col min="9473" max="9473" width="8" style="35" customWidth="1"/>
    <col min="9474" max="9475" width="7" style="35" customWidth="1"/>
    <col min="9476" max="9476" width="9.375" style="35" customWidth="1"/>
    <col min="9477" max="9478" width="6" style="35" bestFit="1" customWidth="1"/>
    <col min="9479" max="9479" width="3.75" style="35" customWidth="1"/>
    <col min="9480" max="9484" width="3.25" style="35" customWidth="1"/>
    <col min="9485" max="9485" width="5.125" style="35" customWidth="1"/>
    <col min="9486" max="9486" width="6" style="35" bestFit="1" customWidth="1"/>
    <col min="9487" max="9487" width="5.25" style="35" bestFit="1" customWidth="1"/>
    <col min="9488" max="9492" width="3.25" style="35" customWidth="1"/>
    <col min="9493" max="9493" width="4.75" style="35" customWidth="1"/>
    <col min="9494" max="9494" width="3.75" style="35" customWidth="1"/>
    <col min="9495" max="9498" width="3.25" style="35" customWidth="1"/>
    <col min="9499" max="9499" width="4.75" style="35" customWidth="1"/>
    <col min="9500" max="9501" width="6" style="35" bestFit="1" customWidth="1"/>
    <col min="9502" max="9512" width="3.25" style="35" customWidth="1"/>
    <col min="9513" max="9513" width="4.5" style="35" bestFit="1" customWidth="1"/>
    <col min="9514" max="9514" width="3.25" style="35" customWidth="1"/>
    <col min="9515" max="9728" width="9" style="35" customWidth="1"/>
    <col min="9729" max="9729" width="8" style="35" customWidth="1"/>
    <col min="9730" max="9731" width="7" style="35" customWidth="1"/>
    <col min="9732" max="9732" width="9.375" style="35" customWidth="1"/>
    <col min="9733" max="9734" width="6" style="35" bestFit="1" customWidth="1"/>
    <col min="9735" max="9735" width="3.75" style="35" customWidth="1"/>
    <col min="9736" max="9740" width="3.25" style="35" customWidth="1"/>
    <col min="9741" max="9741" width="5.125" style="35" customWidth="1"/>
    <col min="9742" max="9742" width="6" style="35" bestFit="1" customWidth="1"/>
    <col min="9743" max="9743" width="5.25" style="35" bestFit="1" customWidth="1"/>
    <col min="9744" max="9748" width="3.25" style="35" customWidth="1"/>
    <col min="9749" max="9749" width="4.75" style="35" customWidth="1"/>
    <col min="9750" max="9750" width="3.75" style="35" customWidth="1"/>
    <col min="9751" max="9754" width="3.25" style="35" customWidth="1"/>
    <col min="9755" max="9755" width="4.75" style="35" customWidth="1"/>
    <col min="9756" max="9757" width="6" style="35" bestFit="1" customWidth="1"/>
    <col min="9758" max="9768" width="3.25" style="35" customWidth="1"/>
    <col min="9769" max="9769" width="4.5" style="35" bestFit="1" customWidth="1"/>
    <col min="9770" max="9770" width="3.25" style="35" customWidth="1"/>
    <col min="9771" max="9984" width="9" style="35" customWidth="1"/>
    <col min="9985" max="9985" width="8" style="35" customWidth="1"/>
    <col min="9986" max="9987" width="7" style="35" customWidth="1"/>
    <col min="9988" max="9988" width="9.375" style="35" customWidth="1"/>
    <col min="9989" max="9990" width="6" style="35" bestFit="1" customWidth="1"/>
    <col min="9991" max="9991" width="3.75" style="35" customWidth="1"/>
    <col min="9992" max="9996" width="3.25" style="35" customWidth="1"/>
    <col min="9997" max="9997" width="5.125" style="35" customWidth="1"/>
    <col min="9998" max="9998" width="6" style="35" bestFit="1" customWidth="1"/>
    <col min="9999" max="9999" width="5.25" style="35" bestFit="1" customWidth="1"/>
    <col min="10000" max="10004" width="3.25" style="35" customWidth="1"/>
    <col min="10005" max="10005" width="4.75" style="35" customWidth="1"/>
    <col min="10006" max="10006" width="3.75" style="35" customWidth="1"/>
    <col min="10007" max="10010" width="3.25" style="35" customWidth="1"/>
    <col min="10011" max="10011" width="4.75" style="35" customWidth="1"/>
    <col min="10012" max="10013" width="6" style="35" bestFit="1" customWidth="1"/>
    <col min="10014" max="10024" width="3.25" style="35" customWidth="1"/>
    <col min="10025" max="10025" width="4.5" style="35" bestFit="1" customWidth="1"/>
    <col min="10026" max="10026" width="3.25" style="35" customWidth="1"/>
    <col min="10027" max="10240" width="9" style="35" customWidth="1"/>
    <col min="10241" max="10241" width="8" style="35" customWidth="1"/>
    <col min="10242" max="10243" width="7" style="35" customWidth="1"/>
    <col min="10244" max="10244" width="9.375" style="35" customWidth="1"/>
    <col min="10245" max="10246" width="6" style="35" bestFit="1" customWidth="1"/>
    <col min="10247" max="10247" width="3.75" style="35" customWidth="1"/>
    <col min="10248" max="10252" width="3.25" style="35" customWidth="1"/>
    <col min="10253" max="10253" width="5.125" style="35" customWidth="1"/>
    <col min="10254" max="10254" width="6" style="35" bestFit="1" customWidth="1"/>
    <col min="10255" max="10255" width="5.25" style="35" bestFit="1" customWidth="1"/>
    <col min="10256" max="10260" width="3.25" style="35" customWidth="1"/>
    <col min="10261" max="10261" width="4.75" style="35" customWidth="1"/>
    <col min="10262" max="10262" width="3.75" style="35" customWidth="1"/>
    <col min="10263" max="10266" width="3.25" style="35" customWidth="1"/>
    <col min="10267" max="10267" width="4.75" style="35" customWidth="1"/>
    <col min="10268" max="10269" width="6" style="35" bestFit="1" customWidth="1"/>
    <col min="10270" max="10280" width="3.25" style="35" customWidth="1"/>
    <col min="10281" max="10281" width="4.5" style="35" bestFit="1" customWidth="1"/>
    <col min="10282" max="10282" width="3.25" style="35" customWidth="1"/>
    <col min="10283" max="10496" width="9" style="35" customWidth="1"/>
    <col min="10497" max="10497" width="8" style="35" customWidth="1"/>
    <col min="10498" max="10499" width="7" style="35" customWidth="1"/>
    <col min="10500" max="10500" width="9.375" style="35" customWidth="1"/>
    <col min="10501" max="10502" width="6" style="35" bestFit="1" customWidth="1"/>
    <col min="10503" max="10503" width="3.75" style="35" customWidth="1"/>
    <col min="10504" max="10508" width="3.25" style="35" customWidth="1"/>
    <col min="10509" max="10509" width="5.125" style="35" customWidth="1"/>
    <col min="10510" max="10510" width="6" style="35" bestFit="1" customWidth="1"/>
    <col min="10511" max="10511" width="5.25" style="35" bestFit="1" customWidth="1"/>
    <col min="10512" max="10516" width="3.25" style="35" customWidth="1"/>
    <col min="10517" max="10517" width="4.75" style="35" customWidth="1"/>
    <col min="10518" max="10518" width="3.75" style="35" customWidth="1"/>
    <col min="10519" max="10522" width="3.25" style="35" customWidth="1"/>
    <col min="10523" max="10523" width="4.75" style="35" customWidth="1"/>
    <col min="10524" max="10525" width="6" style="35" bestFit="1" customWidth="1"/>
    <col min="10526" max="10536" width="3.25" style="35" customWidth="1"/>
    <col min="10537" max="10537" width="4.5" style="35" bestFit="1" customWidth="1"/>
    <col min="10538" max="10538" width="3.25" style="35" customWidth="1"/>
    <col min="10539" max="10752" width="9" style="35" customWidth="1"/>
    <col min="10753" max="10753" width="8" style="35" customWidth="1"/>
    <col min="10754" max="10755" width="7" style="35" customWidth="1"/>
    <col min="10756" max="10756" width="9.375" style="35" customWidth="1"/>
    <col min="10757" max="10758" width="6" style="35" bestFit="1" customWidth="1"/>
    <col min="10759" max="10759" width="3.75" style="35" customWidth="1"/>
    <col min="10760" max="10764" width="3.25" style="35" customWidth="1"/>
    <col min="10765" max="10765" width="5.125" style="35" customWidth="1"/>
    <col min="10766" max="10766" width="6" style="35" bestFit="1" customWidth="1"/>
    <col min="10767" max="10767" width="5.25" style="35" bestFit="1" customWidth="1"/>
    <col min="10768" max="10772" width="3.25" style="35" customWidth="1"/>
    <col min="10773" max="10773" width="4.75" style="35" customWidth="1"/>
    <col min="10774" max="10774" width="3.75" style="35" customWidth="1"/>
    <col min="10775" max="10778" width="3.25" style="35" customWidth="1"/>
    <col min="10779" max="10779" width="4.75" style="35" customWidth="1"/>
    <col min="10780" max="10781" width="6" style="35" bestFit="1" customWidth="1"/>
    <col min="10782" max="10792" width="3.25" style="35" customWidth="1"/>
    <col min="10793" max="10793" width="4.5" style="35" bestFit="1" customWidth="1"/>
    <col min="10794" max="10794" width="3.25" style="35" customWidth="1"/>
    <col min="10795" max="11008" width="9" style="35" customWidth="1"/>
    <col min="11009" max="11009" width="8" style="35" customWidth="1"/>
    <col min="11010" max="11011" width="7" style="35" customWidth="1"/>
    <col min="11012" max="11012" width="9.375" style="35" customWidth="1"/>
    <col min="11013" max="11014" width="6" style="35" bestFit="1" customWidth="1"/>
    <col min="11015" max="11015" width="3.75" style="35" customWidth="1"/>
    <col min="11016" max="11020" width="3.25" style="35" customWidth="1"/>
    <col min="11021" max="11021" width="5.125" style="35" customWidth="1"/>
    <col min="11022" max="11022" width="6" style="35" bestFit="1" customWidth="1"/>
    <col min="11023" max="11023" width="5.25" style="35" bestFit="1" customWidth="1"/>
    <col min="11024" max="11028" width="3.25" style="35" customWidth="1"/>
    <col min="11029" max="11029" width="4.75" style="35" customWidth="1"/>
    <col min="11030" max="11030" width="3.75" style="35" customWidth="1"/>
    <col min="11031" max="11034" width="3.25" style="35" customWidth="1"/>
    <col min="11035" max="11035" width="4.75" style="35" customWidth="1"/>
    <col min="11036" max="11037" width="6" style="35" bestFit="1" customWidth="1"/>
    <col min="11038" max="11048" width="3.25" style="35" customWidth="1"/>
    <col min="11049" max="11049" width="4.5" style="35" bestFit="1" customWidth="1"/>
    <col min="11050" max="11050" width="3.25" style="35" customWidth="1"/>
    <col min="11051" max="11264" width="9" style="35" customWidth="1"/>
    <col min="11265" max="11265" width="8" style="35" customWidth="1"/>
    <col min="11266" max="11267" width="7" style="35" customWidth="1"/>
    <col min="11268" max="11268" width="9.375" style="35" customWidth="1"/>
    <col min="11269" max="11270" width="6" style="35" bestFit="1" customWidth="1"/>
    <col min="11271" max="11271" width="3.75" style="35" customWidth="1"/>
    <col min="11272" max="11276" width="3.25" style="35" customWidth="1"/>
    <col min="11277" max="11277" width="5.125" style="35" customWidth="1"/>
    <col min="11278" max="11278" width="6" style="35" bestFit="1" customWidth="1"/>
    <col min="11279" max="11279" width="5.25" style="35" bestFit="1" customWidth="1"/>
    <col min="11280" max="11284" width="3.25" style="35" customWidth="1"/>
    <col min="11285" max="11285" width="4.75" style="35" customWidth="1"/>
    <col min="11286" max="11286" width="3.75" style="35" customWidth="1"/>
    <col min="11287" max="11290" width="3.25" style="35" customWidth="1"/>
    <col min="11291" max="11291" width="4.75" style="35" customWidth="1"/>
    <col min="11292" max="11293" width="6" style="35" bestFit="1" customWidth="1"/>
    <col min="11294" max="11304" width="3.25" style="35" customWidth="1"/>
    <col min="11305" max="11305" width="4.5" style="35" bestFit="1" customWidth="1"/>
    <col min="11306" max="11306" width="3.25" style="35" customWidth="1"/>
    <col min="11307" max="11520" width="9" style="35" customWidth="1"/>
    <col min="11521" max="11521" width="8" style="35" customWidth="1"/>
    <col min="11522" max="11523" width="7" style="35" customWidth="1"/>
    <col min="11524" max="11524" width="9.375" style="35" customWidth="1"/>
    <col min="11525" max="11526" width="6" style="35" bestFit="1" customWidth="1"/>
    <col min="11527" max="11527" width="3.75" style="35" customWidth="1"/>
    <col min="11528" max="11532" width="3.25" style="35" customWidth="1"/>
    <col min="11533" max="11533" width="5.125" style="35" customWidth="1"/>
    <col min="11534" max="11534" width="6" style="35" bestFit="1" customWidth="1"/>
    <col min="11535" max="11535" width="5.25" style="35" bestFit="1" customWidth="1"/>
    <col min="11536" max="11540" width="3.25" style="35" customWidth="1"/>
    <col min="11541" max="11541" width="4.75" style="35" customWidth="1"/>
    <col min="11542" max="11542" width="3.75" style="35" customWidth="1"/>
    <col min="11543" max="11546" width="3.25" style="35" customWidth="1"/>
    <col min="11547" max="11547" width="4.75" style="35" customWidth="1"/>
    <col min="11548" max="11549" width="6" style="35" bestFit="1" customWidth="1"/>
    <col min="11550" max="11560" width="3.25" style="35" customWidth="1"/>
    <col min="11561" max="11561" width="4.5" style="35" bestFit="1" customWidth="1"/>
    <col min="11562" max="11562" width="3.25" style="35" customWidth="1"/>
    <col min="11563" max="11776" width="9" style="35" customWidth="1"/>
    <col min="11777" max="11777" width="8" style="35" customWidth="1"/>
    <col min="11778" max="11779" width="7" style="35" customWidth="1"/>
    <col min="11780" max="11780" width="9.375" style="35" customWidth="1"/>
    <col min="11781" max="11782" width="6" style="35" bestFit="1" customWidth="1"/>
    <col min="11783" max="11783" width="3.75" style="35" customWidth="1"/>
    <col min="11784" max="11788" width="3.25" style="35" customWidth="1"/>
    <col min="11789" max="11789" width="5.125" style="35" customWidth="1"/>
    <col min="11790" max="11790" width="6" style="35" bestFit="1" customWidth="1"/>
    <col min="11791" max="11791" width="5.25" style="35" bestFit="1" customWidth="1"/>
    <col min="11792" max="11796" width="3.25" style="35" customWidth="1"/>
    <col min="11797" max="11797" width="4.75" style="35" customWidth="1"/>
    <col min="11798" max="11798" width="3.75" style="35" customWidth="1"/>
    <col min="11799" max="11802" width="3.25" style="35" customWidth="1"/>
    <col min="11803" max="11803" width="4.75" style="35" customWidth="1"/>
    <col min="11804" max="11805" width="6" style="35" bestFit="1" customWidth="1"/>
    <col min="11806" max="11816" width="3.25" style="35" customWidth="1"/>
    <col min="11817" max="11817" width="4.5" style="35" bestFit="1" customWidth="1"/>
    <col min="11818" max="11818" width="3.25" style="35" customWidth="1"/>
    <col min="11819" max="12032" width="9" style="35" customWidth="1"/>
    <col min="12033" max="12033" width="8" style="35" customWidth="1"/>
    <col min="12034" max="12035" width="7" style="35" customWidth="1"/>
    <col min="12036" max="12036" width="9.375" style="35" customWidth="1"/>
    <col min="12037" max="12038" width="6" style="35" bestFit="1" customWidth="1"/>
    <col min="12039" max="12039" width="3.75" style="35" customWidth="1"/>
    <col min="12040" max="12044" width="3.25" style="35" customWidth="1"/>
    <col min="12045" max="12045" width="5.125" style="35" customWidth="1"/>
    <col min="12046" max="12046" width="6" style="35" bestFit="1" customWidth="1"/>
    <col min="12047" max="12047" width="5.25" style="35" bestFit="1" customWidth="1"/>
    <col min="12048" max="12052" width="3.25" style="35" customWidth="1"/>
    <col min="12053" max="12053" width="4.75" style="35" customWidth="1"/>
    <col min="12054" max="12054" width="3.75" style="35" customWidth="1"/>
    <col min="12055" max="12058" width="3.25" style="35" customWidth="1"/>
    <col min="12059" max="12059" width="4.75" style="35" customWidth="1"/>
    <col min="12060" max="12061" width="6" style="35" bestFit="1" customWidth="1"/>
    <col min="12062" max="12072" width="3.25" style="35" customWidth="1"/>
    <col min="12073" max="12073" width="4.5" style="35" bestFit="1" customWidth="1"/>
    <col min="12074" max="12074" width="3.25" style="35" customWidth="1"/>
    <col min="12075" max="12288" width="9" style="35" customWidth="1"/>
    <col min="12289" max="12289" width="8" style="35" customWidth="1"/>
    <col min="12290" max="12291" width="7" style="35" customWidth="1"/>
    <col min="12292" max="12292" width="9.375" style="35" customWidth="1"/>
    <col min="12293" max="12294" width="6" style="35" bestFit="1" customWidth="1"/>
    <col min="12295" max="12295" width="3.75" style="35" customWidth="1"/>
    <col min="12296" max="12300" width="3.25" style="35" customWidth="1"/>
    <col min="12301" max="12301" width="5.125" style="35" customWidth="1"/>
    <col min="12302" max="12302" width="6" style="35" bestFit="1" customWidth="1"/>
    <col min="12303" max="12303" width="5.25" style="35" bestFit="1" customWidth="1"/>
    <col min="12304" max="12308" width="3.25" style="35" customWidth="1"/>
    <col min="12309" max="12309" width="4.75" style="35" customWidth="1"/>
    <col min="12310" max="12310" width="3.75" style="35" customWidth="1"/>
    <col min="12311" max="12314" width="3.25" style="35" customWidth="1"/>
    <col min="12315" max="12315" width="4.75" style="35" customWidth="1"/>
    <col min="12316" max="12317" width="6" style="35" bestFit="1" customWidth="1"/>
    <col min="12318" max="12328" width="3.25" style="35" customWidth="1"/>
    <col min="12329" max="12329" width="4.5" style="35" bestFit="1" customWidth="1"/>
    <col min="12330" max="12330" width="3.25" style="35" customWidth="1"/>
    <col min="12331" max="12544" width="9" style="35" customWidth="1"/>
    <col min="12545" max="12545" width="8" style="35" customWidth="1"/>
    <col min="12546" max="12547" width="7" style="35" customWidth="1"/>
    <col min="12548" max="12548" width="9.375" style="35" customWidth="1"/>
    <col min="12549" max="12550" width="6" style="35" bestFit="1" customWidth="1"/>
    <col min="12551" max="12551" width="3.75" style="35" customWidth="1"/>
    <col min="12552" max="12556" width="3.25" style="35" customWidth="1"/>
    <col min="12557" max="12557" width="5.125" style="35" customWidth="1"/>
    <col min="12558" max="12558" width="6" style="35" bestFit="1" customWidth="1"/>
    <col min="12559" max="12559" width="5.25" style="35" bestFit="1" customWidth="1"/>
    <col min="12560" max="12564" width="3.25" style="35" customWidth="1"/>
    <col min="12565" max="12565" width="4.75" style="35" customWidth="1"/>
    <col min="12566" max="12566" width="3.75" style="35" customWidth="1"/>
    <col min="12567" max="12570" width="3.25" style="35" customWidth="1"/>
    <col min="12571" max="12571" width="4.75" style="35" customWidth="1"/>
    <col min="12572" max="12573" width="6" style="35" bestFit="1" customWidth="1"/>
    <col min="12574" max="12584" width="3.25" style="35" customWidth="1"/>
    <col min="12585" max="12585" width="4.5" style="35" bestFit="1" customWidth="1"/>
    <col min="12586" max="12586" width="3.25" style="35" customWidth="1"/>
    <col min="12587" max="12800" width="9" style="35" customWidth="1"/>
    <col min="12801" max="12801" width="8" style="35" customWidth="1"/>
    <col min="12802" max="12803" width="7" style="35" customWidth="1"/>
    <col min="12804" max="12804" width="9.375" style="35" customWidth="1"/>
    <col min="12805" max="12806" width="6" style="35" bestFit="1" customWidth="1"/>
    <col min="12807" max="12807" width="3.75" style="35" customWidth="1"/>
    <col min="12808" max="12812" width="3.25" style="35" customWidth="1"/>
    <col min="12813" max="12813" width="5.125" style="35" customWidth="1"/>
    <col min="12814" max="12814" width="6" style="35" bestFit="1" customWidth="1"/>
    <col min="12815" max="12815" width="5.25" style="35" bestFit="1" customWidth="1"/>
    <col min="12816" max="12820" width="3.25" style="35" customWidth="1"/>
    <col min="12821" max="12821" width="4.75" style="35" customWidth="1"/>
    <col min="12822" max="12822" width="3.75" style="35" customWidth="1"/>
    <col min="12823" max="12826" width="3.25" style="35" customWidth="1"/>
    <col min="12827" max="12827" width="4.75" style="35" customWidth="1"/>
    <col min="12828" max="12829" width="6" style="35" bestFit="1" customWidth="1"/>
    <col min="12830" max="12840" width="3.25" style="35" customWidth="1"/>
    <col min="12841" max="12841" width="4.5" style="35" bestFit="1" customWidth="1"/>
    <col min="12842" max="12842" width="3.25" style="35" customWidth="1"/>
    <col min="12843" max="13056" width="9" style="35" customWidth="1"/>
    <col min="13057" max="13057" width="8" style="35" customWidth="1"/>
    <col min="13058" max="13059" width="7" style="35" customWidth="1"/>
    <col min="13060" max="13060" width="9.375" style="35" customWidth="1"/>
    <col min="13061" max="13062" width="6" style="35" bestFit="1" customWidth="1"/>
    <col min="13063" max="13063" width="3.75" style="35" customWidth="1"/>
    <col min="13064" max="13068" width="3.25" style="35" customWidth="1"/>
    <col min="13069" max="13069" width="5.125" style="35" customWidth="1"/>
    <col min="13070" max="13070" width="6" style="35" bestFit="1" customWidth="1"/>
    <col min="13071" max="13071" width="5.25" style="35" bestFit="1" customWidth="1"/>
    <col min="13072" max="13076" width="3.25" style="35" customWidth="1"/>
    <col min="13077" max="13077" width="4.75" style="35" customWidth="1"/>
    <col min="13078" max="13078" width="3.75" style="35" customWidth="1"/>
    <col min="13079" max="13082" width="3.25" style="35" customWidth="1"/>
    <col min="13083" max="13083" width="4.75" style="35" customWidth="1"/>
    <col min="13084" max="13085" width="6" style="35" bestFit="1" customWidth="1"/>
    <col min="13086" max="13096" width="3.25" style="35" customWidth="1"/>
    <col min="13097" max="13097" width="4.5" style="35" bestFit="1" customWidth="1"/>
    <col min="13098" max="13098" width="3.25" style="35" customWidth="1"/>
    <col min="13099" max="13312" width="9" style="35" customWidth="1"/>
    <col min="13313" max="13313" width="8" style="35" customWidth="1"/>
    <col min="13314" max="13315" width="7" style="35" customWidth="1"/>
    <col min="13316" max="13316" width="9.375" style="35" customWidth="1"/>
    <col min="13317" max="13318" width="6" style="35" bestFit="1" customWidth="1"/>
    <col min="13319" max="13319" width="3.75" style="35" customWidth="1"/>
    <col min="13320" max="13324" width="3.25" style="35" customWidth="1"/>
    <col min="13325" max="13325" width="5.125" style="35" customWidth="1"/>
    <col min="13326" max="13326" width="6" style="35" bestFit="1" customWidth="1"/>
    <col min="13327" max="13327" width="5.25" style="35" bestFit="1" customWidth="1"/>
    <col min="13328" max="13332" width="3.25" style="35" customWidth="1"/>
    <col min="13333" max="13333" width="4.75" style="35" customWidth="1"/>
    <col min="13334" max="13334" width="3.75" style="35" customWidth="1"/>
    <col min="13335" max="13338" width="3.25" style="35" customWidth="1"/>
    <col min="13339" max="13339" width="4.75" style="35" customWidth="1"/>
    <col min="13340" max="13341" width="6" style="35" bestFit="1" customWidth="1"/>
    <col min="13342" max="13352" width="3.25" style="35" customWidth="1"/>
    <col min="13353" max="13353" width="4.5" style="35" bestFit="1" customWidth="1"/>
    <col min="13354" max="13354" width="3.25" style="35" customWidth="1"/>
    <col min="13355" max="13568" width="9" style="35" customWidth="1"/>
    <col min="13569" max="13569" width="8" style="35" customWidth="1"/>
    <col min="13570" max="13571" width="7" style="35" customWidth="1"/>
    <col min="13572" max="13572" width="9.375" style="35" customWidth="1"/>
    <col min="13573" max="13574" width="6" style="35" bestFit="1" customWidth="1"/>
    <col min="13575" max="13575" width="3.75" style="35" customWidth="1"/>
    <col min="13576" max="13580" width="3.25" style="35" customWidth="1"/>
    <col min="13581" max="13581" width="5.125" style="35" customWidth="1"/>
    <col min="13582" max="13582" width="6" style="35" bestFit="1" customWidth="1"/>
    <col min="13583" max="13583" width="5.25" style="35" bestFit="1" customWidth="1"/>
    <col min="13584" max="13588" width="3.25" style="35" customWidth="1"/>
    <col min="13589" max="13589" width="4.75" style="35" customWidth="1"/>
    <col min="13590" max="13590" width="3.75" style="35" customWidth="1"/>
    <col min="13591" max="13594" width="3.25" style="35" customWidth="1"/>
    <col min="13595" max="13595" width="4.75" style="35" customWidth="1"/>
    <col min="13596" max="13597" width="6" style="35" bestFit="1" customWidth="1"/>
    <col min="13598" max="13608" width="3.25" style="35" customWidth="1"/>
    <col min="13609" max="13609" width="4.5" style="35" bestFit="1" customWidth="1"/>
    <col min="13610" max="13610" width="3.25" style="35" customWidth="1"/>
    <col min="13611" max="13824" width="9" style="35" customWidth="1"/>
    <col min="13825" max="13825" width="8" style="35" customWidth="1"/>
    <col min="13826" max="13827" width="7" style="35" customWidth="1"/>
    <col min="13828" max="13828" width="9.375" style="35" customWidth="1"/>
    <col min="13829" max="13830" width="6" style="35" bestFit="1" customWidth="1"/>
    <col min="13831" max="13831" width="3.75" style="35" customWidth="1"/>
    <col min="13832" max="13836" width="3.25" style="35" customWidth="1"/>
    <col min="13837" max="13837" width="5.125" style="35" customWidth="1"/>
    <col min="13838" max="13838" width="6" style="35" bestFit="1" customWidth="1"/>
    <col min="13839" max="13839" width="5.25" style="35" bestFit="1" customWidth="1"/>
    <col min="13840" max="13844" width="3.25" style="35" customWidth="1"/>
    <col min="13845" max="13845" width="4.75" style="35" customWidth="1"/>
    <col min="13846" max="13846" width="3.75" style="35" customWidth="1"/>
    <col min="13847" max="13850" width="3.25" style="35" customWidth="1"/>
    <col min="13851" max="13851" width="4.75" style="35" customWidth="1"/>
    <col min="13852" max="13853" width="6" style="35" bestFit="1" customWidth="1"/>
    <col min="13854" max="13864" width="3.25" style="35" customWidth="1"/>
    <col min="13865" max="13865" width="4.5" style="35" bestFit="1" customWidth="1"/>
    <col min="13866" max="13866" width="3.25" style="35" customWidth="1"/>
    <col min="13867" max="14080" width="9" style="35" customWidth="1"/>
    <col min="14081" max="14081" width="8" style="35" customWidth="1"/>
    <col min="14082" max="14083" width="7" style="35" customWidth="1"/>
    <col min="14084" max="14084" width="9.375" style="35" customWidth="1"/>
    <col min="14085" max="14086" width="6" style="35" bestFit="1" customWidth="1"/>
    <col min="14087" max="14087" width="3.75" style="35" customWidth="1"/>
    <col min="14088" max="14092" width="3.25" style="35" customWidth="1"/>
    <col min="14093" max="14093" width="5.125" style="35" customWidth="1"/>
    <col min="14094" max="14094" width="6" style="35" bestFit="1" customWidth="1"/>
    <col min="14095" max="14095" width="5.25" style="35" bestFit="1" customWidth="1"/>
    <col min="14096" max="14100" width="3.25" style="35" customWidth="1"/>
    <col min="14101" max="14101" width="4.75" style="35" customWidth="1"/>
    <col min="14102" max="14102" width="3.75" style="35" customWidth="1"/>
    <col min="14103" max="14106" width="3.25" style="35" customWidth="1"/>
    <col min="14107" max="14107" width="4.75" style="35" customWidth="1"/>
    <col min="14108" max="14109" width="6" style="35" bestFit="1" customWidth="1"/>
    <col min="14110" max="14120" width="3.25" style="35" customWidth="1"/>
    <col min="14121" max="14121" width="4.5" style="35" bestFit="1" customWidth="1"/>
    <col min="14122" max="14122" width="3.25" style="35" customWidth="1"/>
    <col min="14123" max="14336" width="9" style="35" customWidth="1"/>
    <col min="14337" max="14337" width="8" style="35" customWidth="1"/>
    <col min="14338" max="14339" width="7" style="35" customWidth="1"/>
    <col min="14340" max="14340" width="9.375" style="35" customWidth="1"/>
    <col min="14341" max="14342" width="6" style="35" bestFit="1" customWidth="1"/>
    <col min="14343" max="14343" width="3.75" style="35" customWidth="1"/>
    <col min="14344" max="14348" width="3.25" style="35" customWidth="1"/>
    <col min="14349" max="14349" width="5.125" style="35" customWidth="1"/>
    <col min="14350" max="14350" width="6" style="35" bestFit="1" customWidth="1"/>
    <col min="14351" max="14351" width="5.25" style="35" bestFit="1" customWidth="1"/>
    <col min="14352" max="14356" width="3.25" style="35" customWidth="1"/>
    <col min="14357" max="14357" width="4.75" style="35" customWidth="1"/>
    <col min="14358" max="14358" width="3.75" style="35" customWidth="1"/>
    <col min="14359" max="14362" width="3.25" style="35" customWidth="1"/>
    <col min="14363" max="14363" width="4.75" style="35" customWidth="1"/>
    <col min="14364" max="14365" width="6" style="35" bestFit="1" customWidth="1"/>
    <col min="14366" max="14376" width="3.25" style="35" customWidth="1"/>
    <col min="14377" max="14377" width="4.5" style="35" bestFit="1" customWidth="1"/>
    <col min="14378" max="14378" width="3.25" style="35" customWidth="1"/>
    <col min="14379" max="14592" width="9" style="35" customWidth="1"/>
    <col min="14593" max="14593" width="8" style="35" customWidth="1"/>
    <col min="14594" max="14595" width="7" style="35" customWidth="1"/>
    <col min="14596" max="14596" width="9.375" style="35" customWidth="1"/>
    <col min="14597" max="14598" width="6" style="35" bestFit="1" customWidth="1"/>
    <col min="14599" max="14599" width="3.75" style="35" customWidth="1"/>
    <col min="14600" max="14604" width="3.25" style="35" customWidth="1"/>
    <col min="14605" max="14605" width="5.125" style="35" customWidth="1"/>
    <col min="14606" max="14606" width="6" style="35" bestFit="1" customWidth="1"/>
    <col min="14607" max="14607" width="5.25" style="35" bestFit="1" customWidth="1"/>
    <col min="14608" max="14612" width="3.25" style="35" customWidth="1"/>
    <col min="14613" max="14613" width="4.75" style="35" customWidth="1"/>
    <col min="14614" max="14614" width="3.75" style="35" customWidth="1"/>
    <col min="14615" max="14618" width="3.25" style="35" customWidth="1"/>
    <col min="14619" max="14619" width="4.75" style="35" customWidth="1"/>
    <col min="14620" max="14621" width="6" style="35" bestFit="1" customWidth="1"/>
    <col min="14622" max="14632" width="3.25" style="35" customWidth="1"/>
    <col min="14633" max="14633" width="4.5" style="35" bestFit="1" customWidth="1"/>
    <col min="14634" max="14634" width="3.25" style="35" customWidth="1"/>
    <col min="14635" max="14848" width="9" style="35" customWidth="1"/>
    <col min="14849" max="14849" width="8" style="35" customWidth="1"/>
    <col min="14850" max="14851" width="7" style="35" customWidth="1"/>
    <col min="14852" max="14852" width="9.375" style="35" customWidth="1"/>
    <col min="14853" max="14854" width="6" style="35" bestFit="1" customWidth="1"/>
    <col min="14855" max="14855" width="3.75" style="35" customWidth="1"/>
    <col min="14856" max="14860" width="3.25" style="35" customWidth="1"/>
    <col min="14861" max="14861" width="5.125" style="35" customWidth="1"/>
    <col min="14862" max="14862" width="6" style="35" bestFit="1" customWidth="1"/>
    <col min="14863" max="14863" width="5.25" style="35" bestFit="1" customWidth="1"/>
    <col min="14864" max="14868" width="3.25" style="35" customWidth="1"/>
    <col min="14869" max="14869" width="4.75" style="35" customWidth="1"/>
    <col min="14870" max="14870" width="3.75" style="35" customWidth="1"/>
    <col min="14871" max="14874" width="3.25" style="35" customWidth="1"/>
    <col min="14875" max="14875" width="4.75" style="35" customWidth="1"/>
    <col min="14876" max="14877" width="6" style="35" bestFit="1" customWidth="1"/>
    <col min="14878" max="14888" width="3.25" style="35" customWidth="1"/>
    <col min="14889" max="14889" width="4.5" style="35" bestFit="1" customWidth="1"/>
    <col min="14890" max="14890" width="3.25" style="35" customWidth="1"/>
    <col min="14891" max="15104" width="9" style="35" customWidth="1"/>
    <col min="15105" max="15105" width="8" style="35" customWidth="1"/>
    <col min="15106" max="15107" width="7" style="35" customWidth="1"/>
    <col min="15108" max="15108" width="9.375" style="35" customWidth="1"/>
    <col min="15109" max="15110" width="6" style="35" bestFit="1" customWidth="1"/>
    <col min="15111" max="15111" width="3.75" style="35" customWidth="1"/>
    <col min="15112" max="15116" width="3.25" style="35" customWidth="1"/>
    <col min="15117" max="15117" width="5.125" style="35" customWidth="1"/>
    <col min="15118" max="15118" width="6" style="35" bestFit="1" customWidth="1"/>
    <col min="15119" max="15119" width="5.25" style="35" bestFit="1" customWidth="1"/>
    <col min="15120" max="15124" width="3.25" style="35" customWidth="1"/>
    <col min="15125" max="15125" width="4.75" style="35" customWidth="1"/>
    <col min="15126" max="15126" width="3.75" style="35" customWidth="1"/>
    <col min="15127" max="15130" width="3.25" style="35" customWidth="1"/>
    <col min="15131" max="15131" width="4.75" style="35" customWidth="1"/>
    <col min="15132" max="15133" width="6" style="35" bestFit="1" customWidth="1"/>
    <col min="15134" max="15144" width="3.25" style="35" customWidth="1"/>
    <col min="15145" max="15145" width="4.5" style="35" bestFit="1" customWidth="1"/>
    <col min="15146" max="15146" width="3.25" style="35" customWidth="1"/>
    <col min="15147" max="15360" width="9" style="35" customWidth="1"/>
    <col min="15361" max="15361" width="8" style="35" customWidth="1"/>
    <col min="15362" max="15363" width="7" style="35" customWidth="1"/>
    <col min="15364" max="15364" width="9.375" style="35" customWidth="1"/>
    <col min="15365" max="15366" width="6" style="35" bestFit="1" customWidth="1"/>
    <col min="15367" max="15367" width="3.75" style="35" customWidth="1"/>
    <col min="15368" max="15372" width="3.25" style="35" customWidth="1"/>
    <col min="15373" max="15373" width="5.125" style="35" customWidth="1"/>
    <col min="15374" max="15374" width="6" style="35" bestFit="1" customWidth="1"/>
    <col min="15375" max="15375" width="5.25" style="35" bestFit="1" customWidth="1"/>
    <col min="15376" max="15380" width="3.25" style="35" customWidth="1"/>
    <col min="15381" max="15381" width="4.75" style="35" customWidth="1"/>
    <col min="15382" max="15382" width="3.75" style="35" customWidth="1"/>
    <col min="15383" max="15386" width="3.25" style="35" customWidth="1"/>
    <col min="15387" max="15387" width="4.75" style="35" customWidth="1"/>
    <col min="15388" max="15389" width="6" style="35" bestFit="1" customWidth="1"/>
    <col min="15390" max="15400" width="3.25" style="35" customWidth="1"/>
    <col min="15401" max="15401" width="4.5" style="35" bestFit="1" customWidth="1"/>
    <col min="15402" max="15402" width="3.25" style="35" customWidth="1"/>
    <col min="15403" max="15616" width="9" style="35" customWidth="1"/>
    <col min="15617" max="15617" width="8" style="35" customWidth="1"/>
    <col min="15618" max="15619" width="7" style="35" customWidth="1"/>
    <col min="15620" max="15620" width="9.375" style="35" customWidth="1"/>
    <col min="15621" max="15622" width="6" style="35" bestFit="1" customWidth="1"/>
    <col min="15623" max="15623" width="3.75" style="35" customWidth="1"/>
    <col min="15624" max="15628" width="3.25" style="35" customWidth="1"/>
    <col min="15629" max="15629" width="5.125" style="35" customWidth="1"/>
    <col min="15630" max="15630" width="6" style="35" bestFit="1" customWidth="1"/>
    <col min="15631" max="15631" width="5.25" style="35" bestFit="1" customWidth="1"/>
    <col min="15632" max="15636" width="3.25" style="35" customWidth="1"/>
    <col min="15637" max="15637" width="4.75" style="35" customWidth="1"/>
    <col min="15638" max="15638" width="3.75" style="35" customWidth="1"/>
    <col min="15639" max="15642" width="3.25" style="35" customWidth="1"/>
    <col min="15643" max="15643" width="4.75" style="35" customWidth="1"/>
    <col min="15644" max="15645" width="6" style="35" bestFit="1" customWidth="1"/>
    <col min="15646" max="15656" width="3.25" style="35" customWidth="1"/>
    <col min="15657" max="15657" width="4.5" style="35" bestFit="1" customWidth="1"/>
    <col min="15658" max="15658" width="3.25" style="35" customWidth="1"/>
    <col min="15659" max="15872" width="9" style="35" customWidth="1"/>
    <col min="15873" max="15873" width="8" style="35" customWidth="1"/>
    <col min="15874" max="15875" width="7" style="35" customWidth="1"/>
    <col min="15876" max="15876" width="9.375" style="35" customWidth="1"/>
    <col min="15877" max="15878" width="6" style="35" bestFit="1" customWidth="1"/>
    <col min="15879" max="15879" width="3.75" style="35" customWidth="1"/>
    <col min="15880" max="15884" width="3.25" style="35" customWidth="1"/>
    <col min="15885" max="15885" width="5.125" style="35" customWidth="1"/>
    <col min="15886" max="15886" width="6" style="35" bestFit="1" customWidth="1"/>
    <col min="15887" max="15887" width="5.25" style="35" bestFit="1" customWidth="1"/>
    <col min="15888" max="15892" width="3.25" style="35" customWidth="1"/>
    <col min="15893" max="15893" width="4.75" style="35" customWidth="1"/>
    <col min="15894" max="15894" width="3.75" style="35" customWidth="1"/>
    <col min="15895" max="15898" width="3.25" style="35" customWidth="1"/>
    <col min="15899" max="15899" width="4.75" style="35" customWidth="1"/>
    <col min="15900" max="15901" width="6" style="35" bestFit="1" customWidth="1"/>
    <col min="15902" max="15912" width="3.25" style="35" customWidth="1"/>
    <col min="15913" max="15913" width="4.5" style="35" bestFit="1" customWidth="1"/>
    <col min="15914" max="15914" width="3.25" style="35" customWidth="1"/>
    <col min="15915" max="16128" width="9" style="35" customWidth="1"/>
    <col min="16129" max="16129" width="8" style="35" customWidth="1"/>
    <col min="16130" max="16131" width="7" style="35" customWidth="1"/>
    <col min="16132" max="16132" width="9.375" style="35" customWidth="1"/>
    <col min="16133" max="16134" width="6" style="35" bestFit="1" customWidth="1"/>
    <col min="16135" max="16135" width="3.75" style="35" customWidth="1"/>
    <col min="16136" max="16140" width="3.25" style="35" customWidth="1"/>
    <col min="16141" max="16141" width="5.125" style="35" customWidth="1"/>
    <col min="16142" max="16142" width="6" style="35" bestFit="1" customWidth="1"/>
    <col min="16143" max="16143" width="5.25" style="35" bestFit="1" customWidth="1"/>
    <col min="16144" max="16148" width="3.25" style="35" customWidth="1"/>
    <col min="16149" max="16149" width="4.75" style="35" customWidth="1"/>
    <col min="16150" max="16150" width="3.75" style="35" customWidth="1"/>
    <col min="16151" max="16154" width="3.25" style="35" customWidth="1"/>
    <col min="16155" max="16155" width="4.75" style="35" customWidth="1"/>
    <col min="16156" max="16157" width="6" style="35" bestFit="1" customWidth="1"/>
    <col min="16158" max="16168" width="3.25" style="35" customWidth="1"/>
    <col min="16169" max="16169" width="4.5" style="35" bestFit="1" customWidth="1"/>
    <col min="16170" max="16170" width="3.25" style="35" customWidth="1"/>
    <col min="16171" max="16384" width="9" style="35" customWidth="1"/>
  </cols>
  <sheetData>
    <row r="1" spans="1:42" ht="17.25" customHeight="1">
      <c r="A1" s="446" t="s">
        <v>3</v>
      </c>
      <c r="B1" s="446" t="s">
        <v>4</v>
      </c>
      <c r="C1" s="446" t="s">
        <v>267</v>
      </c>
      <c r="D1" s="446" t="s">
        <v>69</v>
      </c>
      <c r="E1" s="446" t="s">
        <v>5</v>
      </c>
      <c r="F1" s="446" t="s">
        <v>70</v>
      </c>
      <c r="G1" s="442" t="s">
        <v>71</v>
      </c>
      <c r="H1" s="448"/>
      <c r="I1" s="448"/>
      <c r="J1" s="448"/>
      <c r="K1" s="448"/>
      <c r="L1" s="449"/>
      <c r="M1" s="457" t="s">
        <v>72</v>
      </c>
      <c r="N1" s="447" t="s">
        <v>268</v>
      </c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7" t="s">
        <v>74</v>
      </c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2" t="s">
        <v>269</v>
      </c>
      <c r="AO1" s="448"/>
      <c r="AP1" s="449"/>
    </row>
    <row r="2" spans="1:42" ht="17.25" customHeight="1">
      <c r="A2" s="436"/>
      <c r="B2" s="436"/>
      <c r="C2" s="436"/>
      <c r="D2" s="436"/>
      <c r="E2" s="436"/>
      <c r="F2" s="436"/>
      <c r="G2" s="437"/>
      <c r="H2" s="450"/>
      <c r="I2" s="450"/>
      <c r="J2" s="450"/>
      <c r="K2" s="450"/>
      <c r="L2" s="451"/>
      <c r="M2" s="459"/>
      <c r="N2" s="446" t="s">
        <v>270</v>
      </c>
      <c r="O2" s="441"/>
      <c r="P2" s="441"/>
      <c r="Q2" s="441"/>
      <c r="R2" s="441"/>
      <c r="S2" s="441"/>
      <c r="T2" s="441"/>
      <c r="U2" s="442" t="s">
        <v>77</v>
      </c>
      <c r="V2" s="457" t="s">
        <v>78</v>
      </c>
      <c r="W2" s="441"/>
      <c r="X2" s="441"/>
      <c r="Y2" s="441"/>
      <c r="Z2" s="441"/>
      <c r="AA2" s="446" t="s">
        <v>271</v>
      </c>
      <c r="AB2" s="446" t="s">
        <v>272</v>
      </c>
      <c r="AC2" s="446" t="s">
        <v>81</v>
      </c>
      <c r="AD2" s="446" t="s">
        <v>82</v>
      </c>
      <c r="AE2" s="446" t="s">
        <v>273</v>
      </c>
      <c r="AF2" s="446" t="s">
        <v>274</v>
      </c>
      <c r="AG2" s="446" t="s">
        <v>275</v>
      </c>
      <c r="AH2" s="446" t="s">
        <v>276</v>
      </c>
      <c r="AI2" s="446" t="s">
        <v>87</v>
      </c>
      <c r="AJ2" s="446" t="s">
        <v>88</v>
      </c>
      <c r="AK2" s="446" t="s">
        <v>89</v>
      </c>
      <c r="AL2" s="446" t="s">
        <v>90</v>
      </c>
      <c r="AM2" s="446" t="s">
        <v>91</v>
      </c>
      <c r="AN2" s="437"/>
      <c r="AO2" s="450"/>
      <c r="AP2" s="451"/>
    </row>
    <row r="3" spans="1:42" ht="99.4" customHeight="1">
      <c r="A3" s="437"/>
      <c r="B3" s="437"/>
      <c r="C3" s="437"/>
      <c r="D3" s="437"/>
      <c r="E3" s="437"/>
      <c r="F3" s="437"/>
      <c r="G3" s="172" t="s">
        <v>92</v>
      </c>
      <c r="H3" s="171" t="s">
        <v>93</v>
      </c>
      <c r="I3" s="171" t="s">
        <v>94</v>
      </c>
      <c r="J3" s="171" t="s">
        <v>95</v>
      </c>
      <c r="K3" s="171" t="s">
        <v>96</v>
      </c>
      <c r="L3" s="171" t="s">
        <v>97</v>
      </c>
      <c r="M3" s="450"/>
      <c r="N3" s="172" t="s">
        <v>277</v>
      </c>
      <c r="O3" s="171" t="s">
        <v>99</v>
      </c>
      <c r="P3" s="171" t="s">
        <v>100</v>
      </c>
      <c r="Q3" s="171" t="s">
        <v>101</v>
      </c>
      <c r="R3" s="171" t="s">
        <v>102</v>
      </c>
      <c r="S3" s="171" t="s">
        <v>103</v>
      </c>
      <c r="T3" s="170" t="s">
        <v>278</v>
      </c>
      <c r="U3" s="443"/>
      <c r="V3" s="171" t="s">
        <v>105</v>
      </c>
      <c r="W3" s="171" t="s">
        <v>279</v>
      </c>
      <c r="X3" s="171" t="s">
        <v>107</v>
      </c>
      <c r="Y3" s="171" t="s">
        <v>280</v>
      </c>
      <c r="Z3" s="170" t="s">
        <v>109</v>
      </c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172" t="s">
        <v>19</v>
      </c>
      <c r="AO3" s="171" t="s">
        <v>20</v>
      </c>
      <c r="AP3" s="171" t="s">
        <v>21</v>
      </c>
    </row>
    <row r="4" spans="1:42" ht="14.45" customHeight="1">
      <c r="A4" s="458" t="s">
        <v>112</v>
      </c>
      <c r="B4" s="441"/>
      <c r="C4" s="441"/>
      <c r="D4" s="439"/>
      <c r="E4" s="334">
        <v>6870</v>
      </c>
      <c r="F4" s="335">
        <v>5599</v>
      </c>
      <c r="G4" s="335"/>
      <c r="H4" s="335"/>
      <c r="I4" s="335"/>
      <c r="J4" s="335"/>
      <c r="K4" s="334"/>
      <c r="L4" s="335"/>
      <c r="M4" s="334"/>
      <c r="N4" s="335"/>
      <c r="O4" s="336"/>
      <c r="P4" s="335"/>
      <c r="Q4" s="335"/>
      <c r="R4" s="335"/>
      <c r="S4" s="335"/>
      <c r="T4" s="335"/>
      <c r="U4" s="337"/>
      <c r="V4" s="335"/>
      <c r="W4" s="335"/>
      <c r="X4" s="335"/>
      <c r="Y4" s="335"/>
      <c r="Z4" s="335"/>
      <c r="AA4" s="338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34"/>
      <c r="AO4" s="334"/>
      <c r="AP4" s="334"/>
    </row>
    <row r="5" spans="1:42" ht="14.45" customHeight="1">
      <c r="A5" s="452" t="s">
        <v>281</v>
      </c>
      <c r="B5" s="440" t="s">
        <v>113</v>
      </c>
      <c r="C5" s="441"/>
      <c r="D5" s="439"/>
      <c r="E5" s="339">
        <v>1135</v>
      </c>
      <c r="F5" s="340">
        <v>944</v>
      </c>
      <c r="G5" s="340">
        <v>45</v>
      </c>
      <c r="H5" s="340"/>
      <c r="I5" s="340"/>
      <c r="J5" s="340"/>
      <c r="K5" s="339"/>
      <c r="L5" s="340"/>
      <c r="M5" s="339">
        <v>284</v>
      </c>
      <c r="N5" s="340">
        <v>389</v>
      </c>
      <c r="O5" s="340"/>
      <c r="P5" s="340"/>
      <c r="Q5" s="340"/>
      <c r="R5" s="340"/>
      <c r="S5" s="340"/>
      <c r="T5" s="340"/>
      <c r="U5" s="341"/>
      <c r="V5" s="340"/>
      <c r="W5" s="340"/>
      <c r="X5" s="340"/>
      <c r="Y5" s="340"/>
      <c r="Z5" s="340"/>
      <c r="AA5" s="342"/>
      <c r="AB5" s="340">
        <v>231</v>
      </c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39">
        <v>6.8</v>
      </c>
      <c r="AO5" s="339"/>
      <c r="AP5" s="339"/>
    </row>
    <row r="6" spans="1:42" ht="14.45" customHeight="1">
      <c r="A6" s="453"/>
      <c r="B6" s="438" t="s">
        <v>25</v>
      </c>
      <c r="C6" s="439"/>
      <c r="D6" s="169" t="s">
        <v>114</v>
      </c>
      <c r="E6" s="343">
        <v>500</v>
      </c>
      <c r="F6" s="344">
        <v>450</v>
      </c>
      <c r="G6" s="344"/>
      <c r="H6" s="344"/>
      <c r="I6" s="344"/>
      <c r="J6" s="344"/>
      <c r="K6" s="343"/>
      <c r="L6" s="344"/>
      <c r="M6" s="343"/>
      <c r="N6" s="344"/>
      <c r="O6" s="344"/>
      <c r="P6" s="344"/>
      <c r="Q6" s="344"/>
      <c r="R6" s="344"/>
      <c r="S6" s="344"/>
      <c r="T6" s="344"/>
      <c r="U6" s="345"/>
      <c r="V6" s="344"/>
      <c r="W6" s="344"/>
      <c r="X6" s="344"/>
      <c r="Y6" s="344"/>
      <c r="Z6" s="344"/>
      <c r="AA6" s="346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3"/>
      <c r="AO6" s="343"/>
      <c r="AP6" s="343"/>
    </row>
    <row r="7" spans="1:42" ht="14.45" customHeight="1">
      <c r="A7" s="453"/>
      <c r="B7" s="455" t="s">
        <v>25</v>
      </c>
      <c r="C7" s="39"/>
      <c r="D7" s="42" t="s">
        <v>116</v>
      </c>
      <c r="E7" s="347">
        <v>60</v>
      </c>
      <c r="F7" s="347">
        <v>61</v>
      </c>
      <c r="G7" s="347">
        <v>317</v>
      </c>
      <c r="H7" s="347"/>
      <c r="I7" s="347"/>
      <c r="J7" s="347"/>
      <c r="K7" s="347"/>
      <c r="L7" s="347"/>
      <c r="M7" s="347">
        <v>294</v>
      </c>
      <c r="N7" s="347">
        <v>25</v>
      </c>
      <c r="O7" s="347"/>
      <c r="P7" s="347"/>
      <c r="Q7" s="347"/>
      <c r="R7" s="347"/>
      <c r="S7" s="347"/>
      <c r="T7" s="347"/>
      <c r="U7" s="348"/>
      <c r="V7" s="347"/>
      <c r="W7" s="347"/>
      <c r="X7" s="347"/>
      <c r="Y7" s="347"/>
      <c r="Z7" s="347"/>
      <c r="AA7" s="349"/>
      <c r="AB7" s="347">
        <v>399</v>
      </c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>
        <v>3.1</v>
      </c>
      <c r="AO7" s="347"/>
      <c r="AP7" s="347"/>
    </row>
    <row r="8" spans="1:42" ht="17.25" customHeight="1">
      <c r="A8" s="453"/>
      <c r="B8" s="445"/>
      <c r="C8" s="39" t="s">
        <v>282</v>
      </c>
      <c r="D8" s="42" t="s">
        <v>117</v>
      </c>
      <c r="E8" s="347">
        <v>60</v>
      </c>
      <c r="F8" s="347">
        <v>55</v>
      </c>
      <c r="G8" s="347">
        <v>341</v>
      </c>
      <c r="H8" s="347"/>
      <c r="I8" s="347"/>
      <c r="J8" s="347"/>
      <c r="K8" s="347"/>
      <c r="L8" s="347"/>
      <c r="M8" s="347">
        <v>151</v>
      </c>
      <c r="N8" s="347">
        <v>490</v>
      </c>
      <c r="O8" s="347"/>
      <c r="P8" s="347"/>
      <c r="Q8" s="347"/>
      <c r="R8" s="347"/>
      <c r="S8" s="347"/>
      <c r="T8" s="347"/>
      <c r="U8" s="348"/>
      <c r="V8" s="347"/>
      <c r="W8" s="347"/>
      <c r="X8" s="347"/>
      <c r="Y8" s="347"/>
      <c r="Z8" s="347"/>
      <c r="AA8" s="349"/>
      <c r="AB8" s="347">
        <v>454</v>
      </c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>
        <v>7.7</v>
      </c>
      <c r="AO8" s="347"/>
      <c r="AP8" s="347"/>
    </row>
    <row r="9" spans="1:42" ht="14.45" customHeight="1">
      <c r="A9" s="453"/>
      <c r="B9" s="445"/>
      <c r="C9" s="39" t="s">
        <v>283</v>
      </c>
      <c r="D9" s="42" t="s">
        <v>118</v>
      </c>
      <c r="E9" s="347">
        <v>60</v>
      </c>
      <c r="F9" s="347">
        <v>54</v>
      </c>
      <c r="G9" s="347">
        <v>217</v>
      </c>
      <c r="H9" s="347"/>
      <c r="I9" s="347"/>
      <c r="J9" s="347"/>
      <c r="K9" s="347"/>
      <c r="L9" s="347"/>
      <c r="M9" s="347">
        <v>165</v>
      </c>
      <c r="N9" s="347">
        <v>373</v>
      </c>
      <c r="O9" s="347"/>
      <c r="P9" s="347"/>
      <c r="Q9" s="347"/>
      <c r="R9" s="347"/>
      <c r="S9" s="347"/>
      <c r="T9" s="347"/>
      <c r="U9" s="348"/>
      <c r="V9" s="347"/>
      <c r="W9" s="347"/>
      <c r="X9" s="347"/>
      <c r="Y9" s="347"/>
      <c r="Z9" s="347"/>
      <c r="AA9" s="349"/>
      <c r="AB9" s="347">
        <v>142</v>
      </c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347">
        <v>0.8</v>
      </c>
      <c r="AO9" s="347"/>
      <c r="AP9" s="347"/>
    </row>
    <row r="10" spans="1:42" ht="14.45" customHeight="1">
      <c r="A10" s="453"/>
      <c r="B10" s="445"/>
      <c r="C10" s="39"/>
      <c r="D10" s="42" t="s">
        <v>119</v>
      </c>
      <c r="E10" s="347">
        <v>60</v>
      </c>
      <c r="F10" s="347">
        <v>52</v>
      </c>
      <c r="G10" s="347">
        <v>443</v>
      </c>
      <c r="H10" s="347"/>
      <c r="I10" s="347"/>
      <c r="J10" s="347"/>
      <c r="K10" s="347"/>
      <c r="L10" s="347"/>
      <c r="M10" s="347">
        <v>483</v>
      </c>
      <c r="N10" s="347">
        <v>407</v>
      </c>
      <c r="O10" s="347"/>
      <c r="P10" s="347"/>
      <c r="Q10" s="347"/>
      <c r="R10" s="347"/>
      <c r="S10" s="347"/>
      <c r="T10" s="347"/>
      <c r="U10" s="348"/>
      <c r="V10" s="347"/>
      <c r="W10" s="347"/>
      <c r="X10" s="347"/>
      <c r="Y10" s="347"/>
      <c r="Z10" s="347"/>
      <c r="AA10" s="349"/>
      <c r="AB10" s="347">
        <v>396</v>
      </c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>
        <v>5</v>
      </c>
      <c r="AO10" s="347"/>
      <c r="AP10" s="347"/>
    </row>
    <row r="11" spans="1:42" ht="14.45" customHeight="1">
      <c r="A11" s="453"/>
      <c r="B11" s="445"/>
      <c r="C11" s="39" t="s">
        <v>283</v>
      </c>
      <c r="D11" s="42" t="s">
        <v>120</v>
      </c>
      <c r="E11" s="347">
        <v>111</v>
      </c>
      <c r="F11" s="347">
        <v>1</v>
      </c>
      <c r="G11" s="347">
        <v>373</v>
      </c>
      <c r="H11" s="347"/>
      <c r="I11" s="347"/>
      <c r="J11" s="347"/>
      <c r="K11" s="347"/>
      <c r="L11" s="347"/>
      <c r="M11" s="347">
        <v>263</v>
      </c>
      <c r="N11" s="347">
        <v>350</v>
      </c>
      <c r="O11" s="347"/>
      <c r="P11" s="347"/>
      <c r="Q11" s="347"/>
      <c r="R11" s="347"/>
      <c r="S11" s="347"/>
      <c r="T11" s="347"/>
      <c r="U11" s="348"/>
      <c r="V11" s="347"/>
      <c r="W11" s="347"/>
      <c r="X11" s="347"/>
      <c r="Y11" s="347"/>
      <c r="Z11" s="347"/>
      <c r="AA11" s="349"/>
      <c r="AB11" s="347">
        <v>272</v>
      </c>
      <c r="AC11" s="347"/>
      <c r="AD11" s="347"/>
      <c r="AE11" s="347"/>
      <c r="AF11" s="347"/>
      <c r="AG11" s="347"/>
      <c r="AH11" s="347"/>
      <c r="AI11" s="347"/>
      <c r="AJ11" s="347"/>
      <c r="AK11" s="347"/>
      <c r="AL11" s="347"/>
      <c r="AM11" s="347"/>
      <c r="AN11" s="347">
        <v>6.4</v>
      </c>
      <c r="AO11" s="347"/>
      <c r="AP11" s="347"/>
    </row>
    <row r="12" spans="1:42" ht="14.45" customHeight="1">
      <c r="A12" s="453"/>
      <c r="B12" s="445"/>
      <c r="C12" s="39"/>
      <c r="D12" s="42" t="s">
        <v>121</v>
      </c>
      <c r="E12" s="347">
        <v>85</v>
      </c>
      <c r="F12" s="347">
        <v>70</v>
      </c>
      <c r="G12" s="347">
        <v>314</v>
      </c>
      <c r="H12" s="347"/>
      <c r="I12" s="347"/>
      <c r="J12" s="347"/>
      <c r="K12" s="347"/>
      <c r="L12" s="347"/>
      <c r="M12" s="347">
        <v>384</v>
      </c>
      <c r="N12" s="347">
        <v>127</v>
      </c>
      <c r="O12" s="347"/>
      <c r="P12" s="347"/>
      <c r="Q12" s="347"/>
      <c r="R12" s="347"/>
      <c r="S12" s="347"/>
      <c r="T12" s="347"/>
      <c r="U12" s="348"/>
      <c r="V12" s="347"/>
      <c r="W12" s="347"/>
      <c r="X12" s="347"/>
      <c r="Y12" s="347"/>
      <c r="Z12" s="347"/>
      <c r="AA12" s="349"/>
      <c r="AB12" s="347">
        <v>37</v>
      </c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>
        <v>-1</v>
      </c>
      <c r="AO12" s="347"/>
      <c r="AP12" s="347"/>
    </row>
    <row r="13" spans="1:42" ht="14.45" customHeight="1">
      <c r="A13" s="453"/>
      <c r="B13" s="445"/>
      <c r="C13" s="39" t="s">
        <v>284</v>
      </c>
      <c r="D13" s="42" t="s">
        <v>122</v>
      </c>
      <c r="E13" s="347">
        <v>60</v>
      </c>
      <c r="F13" s="347">
        <v>50</v>
      </c>
      <c r="G13" s="347">
        <v>224</v>
      </c>
      <c r="H13" s="347"/>
      <c r="I13" s="347"/>
      <c r="J13" s="347"/>
      <c r="K13" s="347"/>
      <c r="L13" s="347"/>
      <c r="M13" s="347">
        <v>401</v>
      </c>
      <c r="N13" s="347">
        <v>436</v>
      </c>
      <c r="O13" s="347"/>
      <c r="P13" s="347"/>
      <c r="Q13" s="347"/>
      <c r="R13" s="347"/>
      <c r="S13" s="347"/>
      <c r="T13" s="347"/>
      <c r="U13" s="348"/>
      <c r="V13" s="347"/>
      <c r="W13" s="347"/>
      <c r="X13" s="347"/>
      <c r="Y13" s="347"/>
      <c r="Z13" s="347"/>
      <c r="AA13" s="349"/>
      <c r="AB13" s="347">
        <v>238</v>
      </c>
      <c r="AC13" s="347"/>
      <c r="AD13" s="347"/>
      <c r="AE13" s="347"/>
      <c r="AF13" s="347"/>
      <c r="AG13" s="347"/>
      <c r="AH13" s="347"/>
      <c r="AI13" s="347"/>
      <c r="AJ13" s="347"/>
      <c r="AK13" s="347"/>
      <c r="AL13" s="347"/>
      <c r="AM13" s="347"/>
      <c r="AN13" s="347">
        <v>4.7</v>
      </c>
      <c r="AO13" s="347"/>
      <c r="AP13" s="347"/>
    </row>
    <row r="14" spans="1:42" ht="17.25" customHeight="1">
      <c r="A14" s="453"/>
      <c r="B14" s="445"/>
      <c r="C14" s="39" t="s">
        <v>285</v>
      </c>
      <c r="D14" s="42" t="s">
        <v>123</v>
      </c>
      <c r="E14" s="347">
        <v>119</v>
      </c>
      <c r="F14" s="347">
        <v>1</v>
      </c>
      <c r="G14" s="347">
        <v>139</v>
      </c>
      <c r="H14" s="347"/>
      <c r="I14" s="347"/>
      <c r="J14" s="347"/>
      <c r="K14" s="347"/>
      <c r="L14" s="347"/>
      <c r="M14" s="347">
        <v>268</v>
      </c>
      <c r="N14" s="347">
        <v>470</v>
      </c>
      <c r="O14" s="347"/>
      <c r="P14" s="347"/>
      <c r="Q14" s="347"/>
      <c r="R14" s="347"/>
      <c r="S14" s="347"/>
      <c r="T14" s="347"/>
      <c r="U14" s="348"/>
      <c r="V14" s="347"/>
      <c r="W14" s="347"/>
      <c r="X14" s="347"/>
      <c r="Y14" s="347"/>
      <c r="Z14" s="347"/>
      <c r="AA14" s="349"/>
      <c r="AB14" s="347">
        <v>150</v>
      </c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>
        <v>-2.6</v>
      </c>
      <c r="AO14" s="347"/>
      <c r="AP14" s="347"/>
    </row>
    <row r="15" spans="1:42" ht="14.45" customHeight="1">
      <c r="A15" s="453"/>
      <c r="B15" s="445"/>
      <c r="C15" s="39"/>
      <c r="D15" s="42" t="s">
        <v>124</v>
      </c>
      <c r="E15" s="347">
        <v>76</v>
      </c>
      <c r="F15" s="347">
        <v>1</v>
      </c>
      <c r="G15" s="347">
        <v>318</v>
      </c>
      <c r="H15" s="347"/>
      <c r="I15" s="347"/>
      <c r="J15" s="347"/>
      <c r="K15" s="347"/>
      <c r="L15" s="347"/>
      <c r="M15" s="347">
        <v>123</v>
      </c>
      <c r="N15" s="347">
        <v>301</v>
      </c>
      <c r="O15" s="347"/>
      <c r="P15" s="347"/>
      <c r="Q15" s="347"/>
      <c r="R15" s="347"/>
      <c r="S15" s="347"/>
      <c r="T15" s="347"/>
      <c r="U15" s="348"/>
      <c r="V15" s="347"/>
      <c r="W15" s="347"/>
      <c r="X15" s="347"/>
      <c r="Y15" s="347"/>
      <c r="Z15" s="347"/>
      <c r="AA15" s="349"/>
      <c r="AB15" s="347">
        <v>441</v>
      </c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7">
        <v>5.9</v>
      </c>
      <c r="AO15" s="347"/>
      <c r="AP15" s="347"/>
    </row>
    <row r="16" spans="1:42" ht="14.45" customHeight="1">
      <c r="A16" s="453"/>
      <c r="B16" s="445"/>
      <c r="C16" s="39"/>
      <c r="D16" s="42" t="s">
        <v>125</v>
      </c>
      <c r="E16" s="347">
        <v>25</v>
      </c>
      <c r="F16" s="347">
        <v>16</v>
      </c>
      <c r="G16" s="347">
        <v>212</v>
      </c>
      <c r="H16" s="347"/>
      <c r="I16" s="347"/>
      <c r="J16" s="347"/>
      <c r="K16" s="347"/>
      <c r="L16" s="347"/>
      <c r="M16" s="347">
        <v>43</v>
      </c>
      <c r="N16" s="347">
        <v>266</v>
      </c>
      <c r="O16" s="347"/>
      <c r="P16" s="347"/>
      <c r="Q16" s="347"/>
      <c r="R16" s="347"/>
      <c r="S16" s="347"/>
      <c r="T16" s="347"/>
      <c r="U16" s="348"/>
      <c r="V16" s="347"/>
      <c r="W16" s="347"/>
      <c r="X16" s="347"/>
      <c r="Y16" s="347"/>
      <c r="Z16" s="347"/>
      <c r="AA16" s="349"/>
      <c r="AB16" s="347">
        <v>114</v>
      </c>
      <c r="AC16" s="347"/>
      <c r="AD16" s="347"/>
      <c r="AE16" s="347"/>
      <c r="AF16" s="347"/>
      <c r="AG16" s="347"/>
      <c r="AH16" s="347"/>
      <c r="AI16" s="347"/>
      <c r="AJ16" s="347"/>
      <c r="AK16" s="347"/>
      <c r="AL16" s="347"/>
      <c r="AM16" s="347"/>
      <c r="AN16" s="347">
        <v>0.2</v>
      </c>
      <c r="AO16" s="347"/>
      <c r="AP16" s="347"/>
    </row>
    <row r="17" spans="1:42" ht="14.45" customHeight="1">
      <c r="A17" s="453"/>
      <c r="B17" s="445"/>
      <c r="C17" s="39"/>
      <c r="D17" s="42" t="s">
        <v>126</v>
      </c>
      <c r="E17" s="347">
        <v>90</v>
      </c>
      <c r="F17" s="347">
        <v>89</v>
      </c>
      <c r="G17" s="347">
        <v>17</v>
      </c>
      <c r="H17" s="347"/>
      <c r="I17" s="347"/>
      <c r="J17" s="347"/>
      <c r="K17" s="347"/>
      <c r="L17" s="347"/>
      <c r="M17" s="347">
        <v>240</v>
      </c>
      <c r="N17" s="347">
        <v>239</v>
      </c>
      <c r="O17" s="347"/>
      <c r="P17" s="347"/>
      <c r="Q17" s="347"/>
      <c r="R17" s="347"/>
      <c r="S17" s="347"/>
      <c r="T17" s="347"/>
      <c r="U17" s="348"/>
      <c r="V17" s="347"/>
      <c r="W17" s="347"/>
      <c r="X17" s="347"/>
      <c r="Y17" s="347"/>
      <c r="Z17" s="347"/>
      <c r="AA17" s="349"/>
      <c r="AB17" s="347">
        <v>292</v>
      </c>
      <c r="AC17" s="347"/>
      <c r="AD17" s="347"/>
      <c r="AE17" s="347"/>
      <c r="AF17" s="347"/>
      <c r="AG17" s="347"/>
      <c r="AH17" s="347"/>
      <c r="AI17" s="347"/>
      <c r="AJ17" s="347"/>
      <c r="AK17" s="347"/>
      <c r="AL17" s="347"/>
      <c r="AM17" s="347"/>
      <c r="AN17" s="347">
        <v>-1</v>
      </c>
      <c r="AO17" s="347"/>
      <c r="AP17" s="347"/>
    </row>
    <row r="18" spans="1:42" ht="17.25" customHeight="1">
      <c r="A18" s="453"/>
      <c r="B18" s="438" t="s">
        <v>26</v>
      </c>
      <c r="C18" s="439"/>
      <c r="D18" s="169" t="s">
        <v>114</v>
      </c>
      <c r="E18" s="343">
        <v>255</v>
      </c>
      <c r="F18" s="344">
        <v>192</v>
      </c>
      <c r="G18" s="344"/>
      <c r="H18" s="344"/>
      <c r="I18" s="344"/>
      <c r="J18" s="344"/>
      <c r="K18" s="343"/>
      <c r="L18" s="344"/>
      <c r="M18" s="343"/>
      <c r="N18" s="344"/>
      <c r="O18" s="344"/>
      <c r="P18" s="344"/>
      <c r="Q18" s="344"/>
      <c r="R18" s="344"/>
      <c r="S18" s="344"/>
      <c r="T18" s="344"/>
      <c r="U18" s="345"/>
      <c r="V18" s="344"/>
      <c r="W18" s="344"/>
      <c r="X18" s="344"/>
      <c r="Y18" s="344"/>
      <c r="Z18" s="344"/>
      <c r="AA18" s="346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3"/>
      <c r="AO18" s="343"/>
      <c r="AP18" s="343"/>
    </row>
    <row r="19" spans="1:42" ht="14.45" customHeight="1">
      <c r="A19" s="453"/>
      <c r="B19" s="444" t="s">
        <v>26</v>
      </c>
      <c r="C19" s="39"/>
      <c r="D19" s="42" t="s">
        <v>135</v>
      </c>
      <c r="E19" s="347">
        <v>30</v>
      </c>
      <c r="F19" s="347">
        <v>19</v>
      </c>
      <c r="G19" s="347">
        <v>59</v>
      </c>
      <c r="H19" s="347"/>
      <c r="I19" s="347"/>
      <c r="J19" s="347"/>
      <c r="K19" s="347"/>
      <c r="L19" s="347"/>
      <c r="M19" s="347">
        <v>465</v>
      </c>
      <c r="N19" s="347">
        <v>250</v>
      </c>
      <c r="O19" s="347"/>
      <c r="P19" s="347"/>
      <c r="Q19" s="347"/>
      <c r="R19" s="347"/>
      <c r="S19" s="347"/>
      <c r="T19" s="347"/>
      <c r="U19" s="348"/>
      <c r="V19" s="347"/>
      <c r="W19" s="347"/>
      <c r="X19" s="347"/>
      <c r="Y19" s="347"/>
      <c r="Z19" s="347"/>
      <c r="AA19" s="349"/>
      <c r="AB19" s="347">
        <v>214</v>
      </c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>
        <v>6.6</v>
      </c>
      <c r="AO19" s="347"/>
      <c r="AP19" s="347"/>
    </row>
    <row r="20" spans="1:42" ht="14.45" customHeight="1">
      <c r="A20" s="453"/>
      <c r="B20" s="445"/>
      <c r="C20" s="39" t="s">
        <v>286</v>
      </c>
      <c r="D20" s="42" t="s">
        <v>136</v>
      </c>
      <c r="E20" s="347">
        <v>60</v>
      </c>
      <c r="F20" s="347">
        <v>52</v>
      </c>
      <c r="G20" s="347">
        <v>368</v>
      </c>
      <c r="H20" s="347"/>
      <c r="I20" s="347"/>
      <c r="J20" s="347"/>
      <c r="K20" s="347"/>
      <c r="L20" s="347"/>
      <c r="M20" s="347">
        <v>153</v>
      </c>
      <c r="N20" s="347">
        <v>298</v>
      </c>
      <c r="O20" s="347"/>
      <c r="P20" s="347"/>
      <c r="Q20" s="347"/>
      <c r="R20" s="347"/>
      <c r="S20" s="347"/>
      <c r="T20" s="347"/>
      <c r="U20" s="348"/>
      <c r="V20" s="347"/>
      <c r="W20" s="347"/>
      <c r="X20" s="347"/>
      <c r="Y20" s="347"/>
      <c r="Z20" s="347"/>
      <c r="AA20" s="349"/>
      <c r="AB20" s="347">
        <v>92</v>
      </c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>
        <v>-3.7</v>
      </c>
      <c r="AO20" s="347"/>
      <c r="AP20" s="347"/>
    </row>
    <row r="21" spans="1:42" ht="14.45" customHeight="1">
      <c r="A21" s="453"/>
      <c r="B21" s="445"/>
      <c r="C21" s="39"/>
      <c r="D21" s="42" t="s">
        <v>137</v>
      </c>
      <c r="E21" s="347">
        <v>30</v>
      </c>
      <c r="F21" s="347">
        <v>22</v>
      </c>
      <c r="G21" s="347">
        <v>27</v>
      </c>
      <c r="H21" s="347"/>
      <c r="I21" s="347"/>
      <c r="J21" s="347"/>
      <c r="K21" s="347"/>
      <c r="L21" s="347"/>
      <c r="M21" s="347">
        <v>423</v>
      </c>
      <c r="N21" s="347">
        <v>7</v>
      </c>
      <c r="O21" s="347"/>
      <c r="P21" s="347"/>
      <c r="Q21" s="347"/>
      <c r="R21" s="347"/>
      <c r="S21" s="347"/>
      <c r="T21" s="347"/>
      <c r="U21" s="348"/>
      <c r="V21" s="347"/>
      <c r="W21" s="347"/>
      <c r="X21" s="347"/>
      <c r="Y21" s="347"/>
      <c r="Z21" s="347"/>
      <c r="AA21" s="349"/>
      <c r="AB21" s="347">
        <v>240</v>
      </c>
      <c r="AC21" s="347"/>
      <c r="AD21" s="347"/>
      <c r="AE21" s="347"/>
      <c r="AF21" s="347"/>
      <c r="AG21" s="347"/>
      <c r="AH21" s="347"/>
      <c r="AI21" s="347"/>
      <c r="AJ21" s="347"/>
      <c r="AK21" s="347"/>
      <c r="AL21" s="347"/>
      <c r="AM21" s="347"/>
      <c r="AN21" s="347">
        <v>3.7</v>
      </c>
      <c r="AO21" s="347"/>
      <c r="AP21" s="347"/>
    </row>
    <row r="22" spans="1:42" ht="14.45" customHeight="1">
      <c r="A22" s="453"/>
      <c r="B22" s="445"/>
      <c r="C22" s="39"/>
      <c r="D22" s="42" t="s">
        <v>138</v>
      </c>
      <c r="E22" s="347">
        <v>25</v>
      </c>
      <c r="F22" s="347">
        <v>10</v>
      </c>
      <c r="G22" s="347">
        <v>206</v>
      </c>
      <c r="H22" s="347"/>
      <c r="I22" s="347"/>
      <c r="J22" s="347"/>
      <c r="K22" s="347"/>
      <c r="L22" s="347"/>
      <c r="M22" s="347">
        <v>425</v>
      </c>
      <c r="N22" s="347">
        <v>328</v>
      </c>
      <c r="O22" s="347"/>
      <c r="P22" s="347"/>
      <c r="Q22" s="347"/>
      <c r="R22" s="347"/>
      <c r="S22" s="347"/>
      <c r="T22" s="347"/>
      <c r="U22" s="348"/>
      <c r="V22" s="347"/>
      <c r="W22" s="347"/>
      <c r="X22" s="347"/>
      <c r="Y22" s="347"/>
      <c r="Z22" s="347"/>
      <c r="AA22" s="349"/>
      <c r="AB22" s="347">
        <v>482</v>
      </c>
      <c r="AC22" s="347"/>
      <c r="AD22" s="347"/>
      <c r="AE22" s="347"/>
      <c r="AF22" s="347"/>
      <c r="AG22" s="347"/>
      <c r="AH22" s="347"/>
      <c r="AI22" s="347"/>
      <c r="AJ22" s="347"/>
      <c r="AK22" s="347"/>
      <c r="AL22" s="347"/>
      <c r="AM22" s="347"/>
      <c r="AN22" s="347">
        <v>4.2</v>
      </c>
      <c r="AO22" s="347"/>
      <c r="AP22" s="347"/>
    </row>
    <row r="23" spans="1:42" ht="17.25" customHeight="1">
      <c r="A23" s="453"/>
      <c r="B23" s="445"/>
      <c r="C23" s="39"/>
      <c r="D23" s="42" t="s">
        <v>139</v>
      </c>
      <c r="E23" s="347">
        <v>50</v>
      </c>
      <c r="F23" s="347">
        <v>42</v>
      </c>
      <c r="G23" s="347">
        <v>268</v>
      </c>
      <c r="H23" s="347"/>
      <c r="I23" s="347"/>
      <c r="J23" s="347"/>
      <c r="K23" s="347"/>
      <c r="L23" s="347"/>
      <c r="M23" s="347">
        <v>10</v>
      </c>
      <c r="N23" s="347">
        <v>497</v>
      </c>
      <c r="O23" s="347"/>
      <c r="P23" s="347"/>
      <c r="Q23" s="347"/>
      <c r="R23" s="347"/>
      <c r="S23" s="347"/>
      <c r="T23" s="347"/>
      <c r="U23" s="348"/>
      <c r="V23" s="347"/>
      <c r="W23" s="347"/>
      <c r="X23" s="347"/>
      <c r="Y23" s="347"/>
      <c r="Z23" s="347"/>
      <c r="AA23" s="349"/>
      <c r="AB23" s="347">
        <v>47</v>
      </c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47">
        <v>1.6</v>
      </c>
      <c r="AO23" s="347"/>
      <c r="AP23" s="347"/>
    </row>
    <row r="24" spans="1:42" ht="14.45" customHeight="1">
      <c r="A24" s="453"/>
      <c r="B24" s="443"/>
      <c r="C24" s="39"/>
      <c r="D24" s="42" t="s">
        <v>140</v>
      </c>
      <c r="E24" s="347">
        <v>60</v>
      </c>
      <c r="F24" s="347">
        <v>47</v>
      </c>
      <c r="G24" s="347">
        <v>228</v>
      </c>
      <c r="H24" s="347"/>
      <c r="I24" s="347"/>
      <c r="J24" s="347"/>
      <c r="K24" s="347"/>
      <c r="L24" s="347"/>
      <c r="M24" s="347">
        <v>336</v>
      </c>
      <c r="N24" s="347">
        <v>277</v>
      </c>
      <c r="O24" s="347"/>
      <c r="P24" s="347"/>
      <c r="Q24" s="347"/>
      <c r="R24" s="347"/>
      <c r="S24" s="347"/>
      <c r="T24" s="347"/>
      <c r="U24" s="348"/>
      <c r="V24" s="347"/>
      <c r="W24" s="347"/>
      <c r="X24" s="347"/>
      <c r="Y24" s="347"/>
      <c r="Z24" s="347"/>
      <c r="AA24" s="349"/>
      <c r="AB24" s="347">
        <v>87</v>
      </c>
      <c r="AC24" s="347"/>
      <c r="AD24" s="347"/>
      <c r="AE24" s="347"/>
      <c r="AF24" s="347"/>
      <c r="AG24" s="347"/>
      <c r="AH24" s="347"/>
      <c r="AI24" s="347"/>
      <c r="AJ24" s="347"/>
      <c r="AK24" s="347"/>
      <c r="AL24" s="347"/>
      <c r="AM24" s="347"/>
      <c r="AN24" s="347">
        <v>-0.5</v>
      </c>
      <c r="AO24" s="347"/>
      <c r="AP24" s="347"/>
    </row>
    <row r="25" spans="1:42" ht="14.45" customHeight="1">
      <c r="A25" s="453"/>
      <c r="B25" s="438" t="s">
        <v>27</v>
      </c>
      <c r="C25" s="439"/>
      <c r="D25" s="169" t="s">
        <v>114</v>
      </c>
      <c r="E25" s="343">
        <v>355</v>
      </c>
      <c r="F25" s="344">
        <v>285</v>
      </c>
      <c r="G25" s="344"/>
      <c r="H25" s="344"/>
      <c r="I25" s="344"/>
      <c r="J25" s="344"/>
      <c r="K25" s="343"/>
      <c r="L25" s="344"/>
      <c r="M25" s="343"/>
      <c r="N25" s="344"/>
      <c r="O25" s="344"/>
      <c r="P25" s="344"/>
      <c r="Q25" s="344"/>
      <c r="R25" s="344"/>
      <c r="S25" s="344"/>
      <c r="T25" s="344"/>
      <c r="U25" s="345"/>
      <c r="V25" s="344"/>
      <c r="W25" s="344"/>
      <c r="X25" s="344"/>
      <c r="Y25" s="344"/>
      <c r="Z25" s="344"/>
      <c r="AA25" s="346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344"/>
      <c r="AN25" s="343"/>
      <c r="AO25" s="343"/>
      <c r="AP25" s="343"/>
    </row>
    <row r="26" spans="1:42" ht="14.45" customHeight="1">
      <c r="A26" s="453"/>
      <c r="B26" s="444" t="s">
        <v>27</v>
      </c>
      <c r="C26" s="39"/>
      <c r="D26" s="42" t="s">
        <v>142</v>
      </c>
      <c r="E26" s="347">
        <v>30</v>
      </c>
      <c r="F26" s="347">
        <v>28</v>
      </c>
      <c r="G26" s="347">
        <v>339</v>
      </c>
      <c r="H26" s="347"/>
      <c r="I26" s="347"/>
      <c r="J26" s="347"/>
      <c r="K26" s="347"/>
      <c r="L26" s="347"/>
      <c r="M26" s="347">
        <v>406</v>
      </c>
      <c r="N26" s="347">
        <v>187</v>
      </c>
      <c r="O26" s="347"/>
      <c r="P26" s="347"/>
      <c r="Q26" s="347"/>
      <c r="R26" s="347"/>
      <c r="S26" s="347"/>
      <c r="T26" s="347"/>
      <c r="U26" s="348"/>
      <c r="V26" s="347"/>
      <c r="W26" s="347"/>
      <c r="X26" s="347"/>
      <c r="Y26" s="347"/>
      <c r="Z26" s="347"/>
      <c r="AA26" s="349"/>
      <c r="AB26" s="347">
        <v>26</v>
      </c>
      <c r="AC26" s="347"/>
      <c r="AD26" s="347"/>
      <c r="AE26" s="347"/>
      <c r="AF26" s="347"/>
      <c r="AG26" s="347"/>
      <c r="AH26" s="347"/>
      <c r="AI26" s="347"/>
      <c r="AJ26" s="347"/>
      <c r="AK26" s="347"/>
      <c r="AL26" s="347"/>
      <c r="AM26" s="347"/>
      <c r="AN26" s="347">
        <v>3.3</v>
      </c>
      <c r="AO26" s="347"/>
      <c r="AP26" s="347"/>
    </row>
    <row r="27" spans="1:42" ht="17.25" customHeight="1">
      <c r="A27" s="453"/>
      <c r="B27" s="445"/>
      <c r="C27" s="39"/>
      <c r="D27" s="42" t="s">
        <v>143</v>
      </c>
      <c r="E27" s="347">
        <v>85</v>
      </c>
      <c r="F27" s="347">
        <v>107</v>
      </c>
      <c r="G27" s="347">
        <v>152</v>
      </c>
      <c r="H27" s="347"/>
      <c r="I27" s="347"/>
      <c r="J27" s="347"/>
      <c r="K27" s="347"/>
      <c r="L27" s="347"/>
      <c r="M27" s="347">
        <v>442</v>
      </c>
      <c r="N27" s="347">
        <v>275</v>
      </c>
      <c r="O27" s="347"/>
      <c r="P27" s="347"/>
      <c r="Q27" s="347"/>
      <c r="R27" s="347"/>
      <c r="S27" s="347"/>
      <c r="T27" s="347"/>
      <c r="U27" s="348"/>
      <c r="V27" s="347"/>
      <c r="W27" s="347"/>
      <c r="X27" s="347"/>
      <c r="Y27" s="347"/>
      <c r="Z27" s="347"/>
      <c r="AA27" s="349"/>
      <c r="AB27" s="347">
        <v>195</v>
      </c>
      <c r="AC27" s="347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>
        <v>0.7</v>
      </c>
      <c r="AO27" s="347"/>
      <c r="AP27" s="347"/>
    </row>
    <row r="28" spans="1:42" ht="14.45" customHeight="1">
      <c r="A28" s="453"/>
      <c r="B28" s="445"/>
      <c r="C28" s="39"/>
      <c r="D28" s="42" t="s">
        <v>144</v>
      </c>
      <c r="E28" s="347">
        <v>60</v>
      </c>
      <c r="F28" s="347">
        <v>42</v>
      </c>
      <c r="G28" s="347">
        <v>100</v>
      </c>
      <c r="H28" s="347"/>
      <c r="I28" s="347"/>
      <c r="J28" s="347"/>
      <c r="K28" s="347"/>
      <c r="L28" s="347"/>
      <c r="M28" s="347">
        <v>318</v>
      </c>
      <c r="N28" s="347">
        <v>472</v>
      </c>
      <c r="O28" s="347"/>
      <c r="P28" s="347"/>
      <c r="Q28" s="347"/>
      <c r="R28" s="347"/>
      <c r="S28" s="347"/>
      <c r="T28" s="347"/>
      <c r="U28" s="348"/>
      <c r="V28" s="347"/>
      <c r="W28" s="347"/>
      <c r="X28" s="347"/>
      <c r="Y28" s="347"/>
      <c r="Z28" s="347"/>
      <c r="AA28" s="349"/>
      <c r="AB28" s="347">
        <v>265</v>
      </c>
      <c r="AC28" s="347"/>
      <c r="AD28" s="347"/>
      <c r="AE28" s="347"/>
      <c r="AF28" s="347"/>
      <c r="AG28" s="347"/>
      <c r="AH28" s="347"/>
      <c r="AI28" s="347"/>
      <c r="AJ28" s="347"/>
      <c r="AK28" s="347"/>
      <c r="AL28" s="347"/>
      <c r="AM28" s="347"/>
      <c r="AN28" s="347">
        <v>-0.3</v>
      </c>
      <c r="AO28" s="347"/>
      <c r="AP28" s="347"/>
    </row>
    <row r="29" spans="1:42" ht="14.45" customHeight="1">
      <c r="A29" s="453"/>
      <c r="B29" s="445"/>
      <c r="C29" s="39" t="s">
        <v>282</v>
      </c>
      <c r="D29" s="42" t="s">
        <v>145</v>
      </c>
      <c r="E29" s="347">
        <v>60</v>
      </c>
      <c r="F29" s="347">
        <v>37</v>
      </c>
      <c r="G29" s="347">
        <v>407</v>
      </c>
      <c r="H29" s="347"/>
      <c r="I29" s="347"/>
      <c r="J29" s="347"/>
      <c r="K29" s="347"/>
      <c r="L29" s="347"/>
      <c r="M29" s="347">
        <v>316</v>
      </c>
      <c r="N29" s="347">
        <v>53</v>
      </c>
      <c r="O29" s="347"/>
      <c r="P29" s="347"/>
      <c r="Q29" s="347"/>
      <c r="R29" s="347"/>
      <c r="S29" s="347"/>
      <c r="T29" s="347"/>
      <c r="U29" s="348"/>
      <c r="V29" s="347"/>
      <c r="W29" s="347"/>
      <c r="X29" s="347"/>
      <c r="Y29" s="347"/>
      <c r="Z29" s="347"/>
      <c r="AA29" s="349"/>
      <c r="AB29" s="347">
        <v>315</v>
      </c>
      <c r="AC29" s="347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>
        <v>6.6</v>
      </c>
      <c r="AO29" s="347"/>
      <c r="AP29" s="347"/>
    </row>
    <row r="30" spans="1:42" ht="14.45" customHeight="1">
      <c r="A30" s="453"/>
      <c r="B30" s="445"/>
      <c r="C30" s="39" t="s">
        <v>287</v>
      </c>
      <c r="D30" s="42" t="s">
        <v>146</v>
      </c>
      <c r="E30" s="347">
        <v>60</v>
      </c>
      <c r="F30" s="347">
        <v>39</v>
      </c>
      <c r="G30" s="347">
        <v>12</v>
      </c>
      <c r="H30" s="347"/>
      <c r="I30" s="347"/>
      <c r="J30" s="347"/>
      <c r="K30" s="347"/>
      <c r="L30" s="347"/>
      <c r="M30" s="347">
        <v>57</v>
      </c>
      <c r="N30" s="347">
        <v>380</v>
      </c>
      <c r="O30" s="347"/>
      <c r="P30" s="347"/>
      <c r="Q30" s="347"/>
      <c r="R30" s="347"/>
      <c r="S30" s="347"/>
      <c r="T30" s="347"/>
      <c r="U30" s="348"/>
      <c r="V30" s="347"/>
      <c r="W30" s="347"/>
      <c r="X30" s="347"/>
      <c r="Y30" s="347"/>
      <c r="Z30" s="347"/>
      <c r="AA30" s="349"/>
      <c r="AB30" s="347">
        <v>168</v>
      </c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47">
        <v>-3.6</v>
      </c>
      <c r="AO30" s="347"/>
      <c r="AP30" s="347"/>
    </row>
    <row r="31" spans="1:42" ht="14.45" customHeight="1">
      <c r="A31" s="451"/>
      <c r="B31" s="443"/>
      <c r="C31" s="39" t="s">
        <v>285</v>
      </c>
      <c r="D31" s="42" t="s">
        <v>147</v>
      </c>
      <c r="E31" s="347">
        <v>60</v>
      </c>
      <c r="F31" s="347">
        <v>32</v>
      </c>
      <c r="G31" s="347">
        <v>225</v>
      </c>
      <c r="H31" s="347"/>
      <c r="I31" s="347"/>
      <c r="J31" s="347"/>
      <c r="K31" s="347"/>
      <c r="L31" s="347"/>
      <c r="M31" s="347">
        <v>149</v>
      </c>
      <c r="N31" s="347">
        <v>137</v>
      </c>
      <c r="O31" s="347"/>
      <c r="P31" s="347"/>
      <c r="Q31" s="347"/>
      <c r="R31" s="347"/>
      <c r="S31" s="347"/>
      <c r="T31" s="347"/>
      <c r="U31" s="348"/>
      <c r="V31" s="347"/>
      <c r="W31" s="347"/>
      <c r="X31" s="347"/>
      <c r="Y31" s="347"/>
      <c r="Z31" s="347"/>
      <c r="AA31" s="349"/>
      <c r="AB31" s="347">
        <v>444</v>
      </c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7">
        <v>-1.8</v>
      </c>
      <c r="AO31" s="347"/>
      <c r="AP31" s="347"/>
    </row>
    <row r="32" spans="1:42" ht="14.45" customHeight="1">
      <c r="A32" s="444" t="s">
        <v>281</v>
      </c>
      <c r="B32" s="438" t="s">
        <v>28</v>
      </c>
      <c r="C32" s="439"/>
      <c r="D32" s="169" t="s">
        <v>114</v>
      </c>
      <c r="E32" s="343">
        <v>25</v>
      </c>
      <c r="F32" s="344">
        <v>17</v>
      </c>
      <c r="G32" s="344"/>
      <c r="H32" s="344"/>
      <c r="I32" s="344"/>
      <c r="J32" s="344"/>
      <c r="K32" s="343"/>
      <c r="L32" s="344"/>
      <c r="M32" s="343"/>
      <c r="N32" s="344"/>
      <c r="O32" s="344"/>
      <c r="P32" s="344"/>
      <c r="Q32" s="344"/>
      <c r="R32" s="344"/>
      <c r="S32" s="344"/>
      <c r="T32" s="344"/>
      <c r="U32" s="345"/>
      <c r="V32" s="344"/>
      <c r="W32" s="344"/>
      <c r="X32" s="344"/>
      <c r="Y32" s="344"/>
      <c r="Z32" s="344"/>
      <c r="AA32" s="346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344"/>
      <c r="AN32" s="343"/>
      <c r="AO32" s="343"/>
      <c r="AP32" s="343"/>
    </row>
    <row r="33" spans="1:42" ht="14.45" customHeight="1">
      <c r="A33" s="443"/>
      <c r="B33" s="31" t="s">
        <v>28</v>
      </c>
      <c r="C33" s="39" t="s">
        <v>283</v>
      </c>
      <c r="D33" s="42" t="s">
        <v>150</v>
      </c>
      <c r="E33" s="347">
        <v>25</v>
      </c>
      <c r="F33" s="347">
        <v>17</v>
      </c>
      <c r="G33" s="347">
        <v>22</v>
      </c>
      <c r="H33" s="347"/>
      <c r="I33" s="347"/>
      <c r="J33" s="347"/>
      <c r="K33" s="347"/>
      <c r="L33" s="347"/>
      <c r="M33" s="347">
        <v>233</v>
      </c>
      <c r="N33" s="347">
        <v>286</v>
      </c>
      <c r="O33" s="347"/>
      <c r="P33" s="347"/>
      <c r="Q33" s="347"/>
      <c r="R33" s="347"/>
      <c r="S33" s="347"/>
      <c r="T33" s="347"/>
      <c r="U33" s="348"/>
      <c r="V33" s="347"/>
      <c r="W33" s="347"/>
      <c r="X33" s="347"/>
      <c r="Y33" s="347"/>
      <c r="Z33" s="347"/>
      <c r="AA33" s="349"/>
      <c r="AB33" s="347">
        <v>204</v>
      </c>
      <c r="AC33" s="347"/>
      <c r="AD33" s="347"/>
      <c r="AE33" s="347"/>
      <c r="AF33" s="347"/>
      <c r="AG33" s="347"/>
      <c r="AH33" s="347"/>
      <c r="AI33" s="347"/>
      <c r="AJ33" s="347"/>
      <c r="AK33" s="347"/>
      <c r="AL33" s="347"/>
      <c r="AM33" s="347"/>
      <c r="AN33" s="347">
        <v>-3.2</v>
      </c>
      <c r="AO33" s="347"/>
      <c r="AP33" s="347"/>
    </row>
    <row r="34" spans="1:42" ht="14.45" customHeight="1">
      <c r="A34" s="435" t="s">
        <v>288</v>
      </c>
      <c r="B34" s="440" t="s">
        <v>113</v>
      </c>
      <c r="C34" s="441"/>
      <c r="D34" s="439"/>
      <c r="E34" s="339">
        <v>855</v>
      </c>
      <c r="F34" s="340">
        <v>651</v>
      </c>
      <c r="G34" s="340">
        <v>459</v>
      </c>
      <c r="H34" s="340"/>
      <c r="I34" s="340"/>
      <c r="J34" s="340"/>
      <c r="K34" s="339"/>
      <c r="L34" s="340"/>
      <c r="M34" s="339">
        <v>488</v>
      </c>
      <c r="N34" s="340">
        <v>269</v>
      </c>
      <c r="O34" s="340"/>
      <c r="P34" s="340"/>
      <c r="Q34" s="340"/>
      <c r="R34" s="340"/>
      <c r="S34" s="340"/>
      <c r="T34" s="340"/>
      <c r="U34" s="341"/>
      <c r="V34" s="340"/>
      <c r="W34" s="340"/>
      <c r="X34" s="340"/>
      <c r="Y34" s="340"/>
      <c r="Z34" s="340"/>
      <c r="AA34" s="342"/>
      <c r="AB34" s="340">
        <v>420</v>
      </c>
      <c r="AC34" s="340"/>
      <c r="AD34" s="340"/>
      <c r="AE34" s="340"/>
      <c r="AF34" s="340"/>
      <c r="AG34" s="340"/>
      <c r="AH34" s="340"/>
      <c r="AI34" s="340"/>
      <c r="AJ34" s="340"/>
      <c r="AK34" s="340"/>
      <c r="AL34" s="340"/>
      <c r="AM34" s="340"/>
      <c r="AN34" s="339">
        <v>2.6</v>
      </c>
      <c r="AO34" s="339"/>
      <c r="AP34" s="339"/>
    </row>
    <row r="35" spans="1:42" ht="14.45" customHeight="1">
      <c r="A35" s="436"/>
      <c r="B35" s="438" t="s">
        <v>30</v>
      </c>
      <c r="C35" s="439"/>
      <c r="D35" s="169" t="s">
        <v>114</v>
      </c>
      <c r="E35" s="343">
        <v>830</v>
      </c>
      <c r="F35" s="344">
        <v>622</v>
      </c>
      <c r="G35" s="344"/>
      <c r="H35" s="344"/>
      <c r="I35" s="344"/>
      <c r="J35" s="344"/>
      <c r="K35" s="343"/>
      <c r="L35" s="344"/>
      <c r="M35" s="343"/>
      <c r="N35" s="344"/>
      <c r="O35" s="344"/>
      <c r="P35" s="344"/>
      <c r="Q35" s="344"/>
      <c r="R35" s="344"/>
      <c r="S35" s="344"/>
      <c r="T35" s="344"/>
      <c r="U35" s="345"/>
      <c r="V35" s="344"/>
      <c r="W35" s="344"/>
      <c r="X35" s="344"/>
      <c r="Y35" s="344"/>
      <c r="Z35" s="344"/>
      <c r="AA35" s="346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3"/>
      <c r="AO35" s="343"/>
      <c r="AP35" s="343"/>
    </row>
    <row r="36" spans="1:42" ht="17.25" customHeight="1">
      <c r="A36" s="436"/>
      <c r="B36" s="444" t="s">
        <v>30</v>
      </c>
      <c r="C36" s="39"/>
      <c r="D36" s="42" t="s">
        <v>151</v>
      </c>
      <c r="E36" s="347">
        <v>58</v>
      </c>
      <c r="F36" s="347">
        <v>4</v>
      </c>
      <c r="G36" s="347">
        <v>33</v>
      </c>
      <c r="H36" s="347"/>
      <c r="I36" s="347"/>
      <c r="J36" s="347"/>
      <c r="K36" s="347"/>
      <c r="L36" s="347"/>
      <c r="M36" s="347">
        <v>245</v>
      </c>
      <c r="N36" s="347">
        <v>57</v>
      </c>
      <c r="O36" s="347"/>
      <c r="P36" s="347"/>
      <c r="Q36" s="347"/>
      <c r="R36" s="347"/>
      <c r="S36" s="347"/>
      <c r="T36" s="347"/>
      <c r="U36" s="348"/>
      <c r="V36" s="347"/>
      <c r="W36" s="347"/>
      <c r="X36" s="347"/>
      <c r="Y36" s="347"/>
      <c r="Z36" s="347"/>
      <c r="AA36" s="349"/>
      <c r="AB36" s="347">
        <v>483</v>
      </c>
      <c r="AC36" s="347"/>
      <c r="AD36" s="347"/>
      <c r="AE36" s="347"/>
      <c r="AF36" s="347"/>
      <c r="AG36" s="347"/>
      <c r="AH36" s="347"/>
      <c r="AI36" s="347"/>
      <c r="AJ36" s="347"/>
      <c r="AK36" s="347"/>
      <c r="AL36" s="347"/>
      <c r="AM36" s="347"/>
      <c r="AN36" s="347">
        <v>0.5</v>
      </c>
      <c r="AO36" s="347"/>
      <c r="AP36" s="347"/>
    </row>
    <row r="37" spans="1:42" ht="14.45" customHeight="1">
      <c r="A37" s="436"/>
      <c r="B37" s="445"/>
      <c r="C37" s="39"/>
      <c r="D37" s="42" t="s">
        <v>152</v>
      </c>
      <c r="E37" s="347">
        <v>60</v>
      </c>
      <c r="F37" s="347">
        <v>34</v>
      </c>
      <c r="G37" s="347">
        <v>90</v>
      </c>
      <c r="H37" s="347"/>
      <c r="I37" s="347"/>
      <c r="J37" s="347"/>
      <c r="K37" s="347"/>
      <c r="L37" s="347"/>
      <c r="M37" s="347">
        <v>434</v>
      </c>
      <c r="N37" s="347">
        <v>398</v>
      </c>
      <c r="O37" s="347"/>
      <c r="P37" s="347"/>
      <c r="Q37" s="347"/>
      <c r="R37" s="347"/>
      <c r="S37" s="347"/>
      <c r="T37" s="347"/>
      <c r="U37" s="348"/>
      <c r="V37" s="347"/>
      <c r="W37" s="347"/>
      <c r="X37" s="347"/>
      <c r="Y37" s="347"/>
      <c r="Z37" s="347"/>
      <c r="AA37" s="349"/>
      <c r="AB37" s="347">
        <v>165</v>
      </c>
      <c r="AC37" s="347"/>
      <c r="AD37" s="347"/>
      <c r="AE37" s="347"/>
      <c r="AF37" s="347"/>
      <c r="AG37" s="347"/>
      <c r="AH37" s="347"/>
      <c r="AI37" s="347"/>
      <c r="AJ37" s="347"/>
      <c r="AK37" s="347"/>
      <c r="AL37" s="347"/>
      <c r="AM37" s="347"/>
      <c r="AN37" s="347">
        <v>5.2</v>
      </c>
      <c r="AO37" s="347"/>
      <c r="AP37" s="347"/>
    </row>
    <row r="38" spans="1:42" ht="14.45" customHeight="1">
      <c r="A38" s="436"/>
      <c r="B38" s="445"/>
      <c r="C38" s="39" t="s">
        <v>289</v>
      </c>
      <c r="D38" s="42" t="s">
        <v>153</v>
      </c>
      <c r="E38" s="347">
        <v>129</v>
      </c>
      <c r="F38" s="347">
        <v>2</v>
      </c>
      <c r="G38" s="347">
        <v>341</v>
      </c>
      <c r="H38" s="347"/>
      <c r="I38" s="347"/>
      <c r="J38" s="347"/>
      <c r="K38" s="347"/>
      <c r="L38" s="347"/>
      <c r="M38" s="347">
        <v>209</v>
      </c>
      <c r="N38" s="347">
        <v>199</v>
      </c>
      <c r="O38" s="347"/>
      <c r="P38" s="347"/>
      <c r="Q38" s="347"/>
      <c r="R38" s="347"/>
      <c r="S38" s="347"/>
      <c r="T38" s="347"/>
      <c r="U38" s="348"/>
      <c r="V38" s="347"/>
      <c r="W38" s="347"/>
      <c r="X38" s="347"/>
      <c r="Y38" s="347"/>
      <c r="Z38" s="347"/>
      <c r="AA38" s="349"/>
      <c r="AB38" s="347">
        <v>215</v>
      </c>
      <c r="AC38" s="347"/>
      <c r="AD38" s="347"/>
      <c r="AE38" s="347"/>
      <c r="AF38" s="347"/>
      <c r="AG38" s="347"/>
      <c r="AH38" s="347"/>
      <c r="AI38" s="347"/>
      <c r="AJ38" s="347"/>
      <c r="AK38" s="347"/>
      <c r="AL38" s="347"/>
      <c r="AM38" s="347"/>
      <c r="AN38" s="347">
        <v>6.4</v>
      </c>
      <c r="AO38" s="347"/>
      <c r="AP38" s="347"/>
    </row>
    <row r="39" spans="1:42" ht="14.45" customHeight="1">
      <c r="A39" s="436"/>
      <c r="B39" s="445"/>
      <c r="C39" s="39" t="s">
        <v>290</v>
      </c>
      <c r="D39" s="42" t="s">
        <v>154</v>
      </c>
      <c r="E39" s="347">
        <v>60</v>
      </c>
      <c r="F39" s="347">
        <v>32</v>
      </c>
      <c r="G39" s="347">
        <v>462</v>
      </c>
      <c r="H39" s="347"/>
      <c r="I39" s="347"/>
      <c r="J39" s="347"/>
      <c r="K39" s="347"/>
      <c r="L39" s="347"/>
      <c r="M39" s="347">
        <v>465</v>
      </c>
      <c r="N39" s="347">
        <v>307</v>
      </c>
      <c r="O39" s="347"/>
      <c r="P39" s="347"/>
      <c r="Q39" s="347"/>
      <c r="R39" s="347"/>
      <c r="S39" s="347"/>
      <c r="T39" s="347"/>
      <c r="U39" s="348"/>
      <c r="V39" s="347"/>
      <c r="W39" s="347"/>
      <c r="X39" s="347"/>
      <c r="Y39" s="347"/>
      <c r="Z39" s="347"/>
      <c r="AA39" s="349"/>
      <c r="AB39" s="347">
        <v>337</v>
      </c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7">
        <v>3.4</v>
      </c>
      <c r="AO39" s="347"/>
      <c r="AP39" s="347"/>
    </row>
    <row r="40" spans="1:42" ht="14.45" customHeight="1">
      <c r="A40" s="436"/>
      <c r="B40" s="445"/>
      <c r="C40" s="39" t="s">
        <v>282</v>
      </c>
      <c r="D40" s="42" t="s">
        <v>117</v>
      </c>
      <c r="E40" s="347">
        <v>80</v>
      </c>
      <c r="F40" s="347">
        <v>65</v>
      </c>
      <c r="G40" s="347">
        <v>236</v>
      </c>
      <c r="H40" s="347"/>
      <c r="I40" s="347"/>
      <c r="J40" s="347"/>
      <c r="K40" s="347"/>
      <c r="L40" s="347"/>
      <c r="M40" s="347">
        <v>196</v>
      </c>
      <c r="N40" s="347">
        <v>374</v>
      </c>
      <c r="O40" s="347"/>
      <c r="P40" s="347"/>
      <c r="Q40" s="347"/>
      <c r="R40" s="347"/>
      <c r="S40" s="347"/>
      <c r="T40" s="347"/>
      <c r="U40" s="348"/>
      <c r="V40" s="347"/>
      <c r="W40" s="347"/>
      <c r="X40" s="347"/>
      <c r="Y40" s="347"/>
      <c r="Z40" s="347"/>
      <c r="AA40" s="349"/>
      <c r="AB40" s="347">
        <v>221</v>
      </c>
      <c r="AC40" s="347"/>
      <c r="AD40" s="347"/>
      <c r="AE40" s="347"/>
      <c r="AF40" s="347"/>
      <c r="AG40" s="347"/>
      <c r="AH40" s="347"/>
      <c r="AI40" s="347"/>
      <c r="AJ40" s="347"/>
      <c r="AK40" s="347"/>
      <c r="AL40" s="347"/>
      <c r="AM40" s="347"/>
      <c r="AN40" s="347">
        <v>-1.5</v>
      </c>
      <c r="AO40" s="347"/>
      <c r="AP40" s="347"/>
    </row>
    <row r="41" spans="1:42" ht="17.25" customHeight="1">
      <c r="A41" s="436"/>
      <c r="B41" s="445"/>
      <c r="C41" s="39"/>
      <c r="D41" s="42" t="s">
        <v>120</v>
      </c>
      <c r="E41" s="347">
        <v>60</v>
      </c>
      <c r="F41" s="347">
        <v>36</v>
      </c>
      <c r="G41" s="347">
        <v>354</v>
      </c>
      <c r="H41" s="347"/>
      <c r="I41" s="347"/>
      <c r="J41" s="347"/>
      <c r="K41" s="347"/>
      <c r="L41" s="347"/>
      <c r="M41" s="347">
        <v>147</v>
      </c>
      <c r="N41" s="347">
        <v>67</v>
      </c>
      <c r="O41" s="347"/>
      <c r="P41" s="347"/>
      <c r="Q41" s="347"/>
      <c r="R41" s="347"/>
      <c r="S41" s="347"/>
      <c r="T41" s="347"/>
      <c r="U41" s="348"/>
      <c r="V41" s="347"/>
      <c r="W41" s="347"/>
      <c r="X41" s="347"/>
      <c r="Y41" s="347"/>
      <c r="Z41" s="347"/>
      <c r="AA41" s="349"/>
      <c r="AB41" s="347">
        <v>220</v>
      </c>
      <c r="AC41" s="347"/>
      <c r="AD41" s="347"/>
      <c r="AE41" s="347"/>
      <c r="AF41" s="347"/>
      <c r="AG41" s="347"/>
      <c r="AH41" s="347"/>
      <c r="AI41" s="347"/>
      <c r="AJ41" s="347"/>
      <c r="AK41" s="347"/>
      <c r="AL41" s="347"/>
      <c r="AM41" s="347"/>
      <c r="AN41" s="347">
        <v>-0.6</v>
      </c>
      <c r="AO41" s="347"/>
      <c r="AP41" s="347"/>
    </row>
    <row r="42" spans="1:42" ht="14.45" customHeight="1">
      <c r="A42" s="436"/>
      <c r="B42" s="445"/>
      <c r="C42" s="39"/>
      <c r="D42" s="42" t="s">
        <v>155</v>
      </c>
      <c r="E42" s="347">
        <v>115</v>
      </c>
      <c r="F42" s="347">
        <v>100</v>
      </c>
      <c r="G42" s="347">
        <v>477</v>
      </c>
      <c r="H42" s="347"/>
      <c r="I42" s="347"/>
      <c r="J42" s="347"/>
      <c r="K42" s="347"/>
      <c r="L42" s="347"/>
      <c r="M42" s="347">
        <v>32</v>
      </c>
      <c r="N42" s="347">
        <v>429</v>
      </c>
      <c r="O42" s="347"/>
      <c r="P42" s="347"/>
      <c r="Q42" s="347"/>
      <c r="R42" s="347"/>
      <c r="S42" s="347"/>
      <c r="T42" s="347"/>
      <c r="U42" s="348"/>
      <c r="V42" s="347"/>
      <c r="W42" s="347"/>
      <c r="X42" s="347"/>
      <c r="Y42" s="347"/>
      <c r="Z42" s="347"/>
      <c r="AA42" s="349"/>
      <c r="AB42" s="347">
        <v>143</v>
      </c>
      <c r="AC42" s="347"/>
      <c r="AD42" s="347"/>
      <c r="AE42" s="347"/>
      <c r="AF42" s="347"/>
      <c r="AG42" s="347"/>
      <c r="AH42" s="347"/>
      <c r="AI42" s="347"/>
      <c r="AJ42" s="347"/>
      <c r="AK42" s="347"/>
      <c r="AL42" s="347"/>
      <c r="AM42" s="347"/>
      <c r="AN42" s="347">
        <v>5.7</v>
      </c>
      <c r="AO42" s="347"/>
      <c r="AP42" s="347"/>
    </row>
    <row r="43" spans="1:42" ht="14.45" customHeight="1">
      <c r="A43" s="436"/>
      <c r="B43" s="445"/>
      <c r="C43" s="39"/>
      <c r="D43" s="42" t="s">
        <v>156</v>
      </c>
      <c r="E43" s="347">
        <v>148</v>
      </c>
      <c r="F43" s="347">
        <v>1</v>
      </c>
      <c r="G43" s="347">
        <v>135</v>
      </c>
      <c r="H43" s="347"/>
      <c r="I43" s="347"/>
      <c r="J43" s="347"/>
      <c r="K43" s="347"/>
      <c r="L43" s="347"/>
      <c r="M43" s="347">
        <v>149</v>
      </c>
      <c r="N43" s="347">
        <v>97</v>
      </c>
      <c r="O43" s="347"/>
      <c r="P43" s="347"/>
      <c r="Q43" s="347"/>
      <c r="R43" s="347"/>
      <c r="S43" s="347"/>
      <c r="T43" s="347"/>
      <c r="U43" s="348"/>
      <c r="V43" s="347"/>
      <c r="W43" s="347"/>
      <c r="X43" s="347"/>
      <c r="Y43" s="347"/>
      <c r="Z43" s="347"/>
      <c r="AA43" s="349"/>
      <c r="AB43" s="347">
        <v>316</v>
      </c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7">
        <v>2.5</v>
      </c>
      <c r="AO43" s="347"/>
      <c r="AP43" s="347"/>
    </row>
    <row r="44" spans="1:42" ht="14.45" customHeight="1">
      <c r="A44" s="436"/>
      <c r="B44" s="445"/>
      <c r="C44" s="39"/>
      <c r="D44" s="42" t="s">
        <v>121</v>
      </c>
      <c r="E44" s="347">
        <v>85</v>
      </c>
      <c r="F44" s="347">
        <v>73</v>
      </c>
      <c r="G44" s="347">
        <v>454</v>
      </c>
      <c r="H44" s="347"/>
      <c r="I44" s="347"/>
      <c r="J44" s="347"/>
      <c r="K44" s="347"/>
      <c r="L44" s="347"/>
      <c r="M44" s="347">
        <v>313</v>
      </c>
      <c r="N44" s="347">
        <v>224</v>
      </c>
      <c r="O44" s="347"/>
      <c r="P44" s="347"/>
      <c r="Q44" s="347"/>
      <c r="R44" s="347"/>
      <c r="S44" s="347"/>
      <c r="T44" s="347"/>
      <c r="U44" s="348"/>
      <c r="V44" s="347"/>
      <c r="W44" s="347"/>
      <c r="X44" s="347"/>
      <c r="Y44" s="347"/>
      <c r="Z44" s="347"/>
      <c r="AA44" s="349"/>
      <c r="AB44" s="347">
        <v>258</v>
      </c>
      <c r="AC44" s="347"/>
      <c r="AD44" s="347"/>
      <c r="AE44" s="347"/>
      <c r="AF44" s="347"/>
      <c r="AG44" s="347"/>
      <c r="AH44" s="347"/>
      <c r="AI44" s="347"/>
      <c r="AJ44" s="347"/>
      <c r="AK44" s="347"/>
      <c r="AL44" s="347"/>
      <c r="AM44" s="347"/>
      <c r="AN44" s="347">
        <v>-1.8</v>
      </c>
      <c r="AO44" s="347"/>
      <c r="AP44" s="347"/>
    </row>
    <row r="45" spans="1:42" ht="14.45" customHeight="1">
      <c r="A45" s="436"/>
      <c r="B45" s="445"/>
      <c r="C45" s="39"/>
      <c r="D45" s="42" t="s">
        <v>157</v>
      </c>
      <c r="E45" s="347">
        <v>60</v>
      </c>
      <c r="F45" s="347">
        <v>59</v>
      </c>
      <c r="G45" s="347">
        <v>78</v>
      </c>
      <c r="H45" s="347"/>
      <c r="I45" s="347"/>
      <c r="J45" s="347"/>
      <c r="K45" s="347"/>
      <c r="L45" s="347"/>
      <c r="M45" s="347">
        <v>121</v>
      </c>
      <c r="N45" s="347">
        <v>196</v>
      </c>
      <c r="O45" s="347"/>
      <c r="P45" s="347"/>
      <c r="Q45" s="347"/>
      <c r="R45" s="347"/>
      <c r="S45" s="347"/>
      <c r="T45" s="347"/>
      <c r="U45" s="348"/>
      <c r="V45" s="347"/>
      <c r="W45" s="347"/>
      <c r="X45" s="347"/>
      <c r="Y45" s="347"/>
      <c r="Z45" s="347"/>
      <c r="AA45" s="349"/>
      <c r="AB45" s="347">
        <v>383</v>
      </c>
      <c r="AC45" s="347"/>
      <c r="AD45" s="347"/>
      <c r="AE45" s="347"/>
      <c r="AF45" s="347"/>
      <c r="AG45" s="347"/>
      <c r="AH45" s="347"/>
      <c r="AI45" s="347"/>
      <c r="AJ45" s="347"/>
      <c r="AK45" s="347"/>
      <c r="AL45" s="347"/>
      <c r="AM45" s="347"/>
      <c r="AN45" s="347">
        <v>-0.2</v>
      </c>
      <c r="AO45" s="347"/>
      <c r="AP45" s="347"/>
    </row>
    <row r="46" spans="1:42" ht="17.25" customHeight="1">
      <c r="A46" s="436"/>
      <c r="B46" s="445"/>
      <c r="C46" s="39" t="s">
        <v>291</v>
      </c>
      <c r="D46" s="42" t="s">
        <v>158</v>
      </c>
      <c r="E46" s="347">
        <v>60</v>
      </c>
      <c r="F46" s="347">
        <v>51</v>
      </c>
      <c r="G46" s="347">
        <v>332</v>
      </c>
      <c r="H46" s="347"/>
      <c r="I46" s="347"/>
      <c r="J46" s="347"/>
      <c r="K46" s="347"/>
      <c r="L46" s="347"/>
      <c r="M46" s="347">
        <v>476</v>
      </c>
      <c r="N46" s="347">
        <v>286</v>
      </c>
      <c r="O46" s="347"/>
      <c r="P46" s="347"/>
      <c r="Q46" s="347"/>
      <c r="R46" s="347"/>
      <c r="S46" s="347"/>
      <c r="T46" s="347"/>
      <c r="U46" s="348"/>
      <c r="V46" s="347"/>
      <c r="W46" s="347"/>
      <c r="X46" s="347"/>
      <c r="Y46" s="347"/>
      <c r="Z46" s="347"/>
      <c r="AA46" s="349"/>
      <c r="AB46" s="347">
        <v>95</v>
      </c>
      <c r="AC46" s="347"/>
      <c r="AD46" s="347"/>
      <c r="AE46" s="347"/>
      <c r="AF46" s="347"/>
      <c r="AG46" s="347"/>
      <c r="AH46" s="347"/>
      <c r="AI46" s="347"/>
      <c r="AJ46" s="347"/>
      <c r="AK46" s="347"/>
      <c r="AL46" s="347"/>
      <c r="AM46" s="347"/>
      <c r="AN46" s="347">
        <v>-3.2</v>
      </c>
      <c r="AO46" s="347"/>
      <c r="AP46" s="347"/>
    </row>
    <row r="47" spans="1:42" ht="17.25" customHeight="1">
      <c r="A47" s="436"/>
      <c r="B47" s="445"/>
      <c r="C47" s="39" t="s">
        <v>292</v>
      </c>
      <c r="D47" s="42" t="s">
        <v>159</v>
      </c>
      <c r="E47" s="347">
        <v>55</v>
      </c>
      <c r="F47" s="347">
        <v>33</v>
      </c>
      <c r="G47" s="347">
        <v>383</v>
      </c>
      <c r="H47" s="347"/>
      <c r="I47" s="347"/>
      <c r="J47" s="347"/>
      <c r="K47" s="347"/>
      <c r="L47" s="347"/>
      <c r="M47" s="347">
        <v>20</v>
      </c>
      <c r="N47" s="347">
        <v>260</v>
      </c>
      <c r="O47" s="347"/>
      <c r="P47" s="347"/>
      <c r="Q47" s="347"/>
      <c r="R47" s="347"/>
      <c r="S47" s="347"/>
      <c r="T47" s="347"/>
      <c r="U47" s="348"/>
      <c r="V47" s="347"/>
      <c r="W47" s="347"/>
      <c r="X47" s="347"/>
      <c r="Y47" s="347"/>
      <c r="Z47" s="347"/>
      <c r="AA47" s="349"/>
      <c r="AB47" s="347">
        <v>230</v>
      </c>
      <c r="AC47" s="347"/>
      <c r="AD47" s="347"/>
      <c r="AE47" s="347"/>
      <c r="AF47" s="347"/>
      <c r="AG47" s="347"/>
      <c r="AH47" s="347"/>
      <c r="AI47" s="347"/>
      <c r="AJ47" s="347"/>
      <c r="AK47" s="347"/>
      <c r="AL47" s="347"/>
      <c r="AM47" s="347"/>
      <c r="AN47" s="347">
        <v>3.8</v>
      </c>
      <c r="AO47" s="347"/>
      <c r="AP47" s="347"/>
    </row>
    <row r="48" spans="1:42" ht="17.25" customHeight="1">
      <c r="A48" s="436"/>
      <c r="B48" s="445"/>
      <c r="C48" s="39"/>
      <c r="D48" s="42" t="s">
        <v>160</v>
      </c>
      <c r="E48" s="347">
        <v>60</v>
      </c>
      <c r="F48" s="347">
        <v>51</v>
      </c>
      <c r="G48" s="347">
        <v>424</v>
      </c>
      <c r="H48" s="347"/>
      <c r="I48" s="347"/>
      <c r="J48" s="347"/>
      <c r="K48" s="347"/>
      <c r="L48" s="347"/>
      <c r="M48" s="347">
        <v>239</v>
      </c>
      <c r="N48" s="347">
        <v>87</v>
      </c>
      <c r="O48" s="347"/>
      <c r="P48" s="347"/>
      <c r="Q48" s="347"/>
      <c r="R48" s="347"/>
      <c r="S48" s="347"/>
      <c r="T48" s="347"/>
      <c r="U48" s="348"/>
      <c r="V48" s="347"/>
      <c r="W48" s="347"/>
      <c r="X48" s="347"/>
      <c r="Y48" s="347"/>
      <c r="Z48" s="347"/>
      <c r="AA48" s="349"/>
      <c r="AB48" s="347">
        <v>30</v>
      </c>
      <c r="AC48" s="347"/>
      <c r="AD48" s="347"/>
      <c r="AE48" s="347"/>
      <c r="AF48" s="347"/>
      <c r="AG48" s="347"/>
      <c r="AH48" s="347"/>
      <c r="AI48" s="347"/>
      <c r="AJ48" s="347"/>
      <c r="AK48" s="347"/>
      <c r="AL48" s="347"/>
      <c r="AM48" s="347"/>
      <c r="AN48" s="347">
        <v>0</v>
      </c>
      <c r="AO48" s="347"/>
      <c r="AP48" s="347"/>
    </row>
    <row r="49" spans="1:42" ht="14.45" customHeight="1">
      <c r="A49" s="436"/>
      <c r="B49" s="445"/>
      <c r="C49" s="39" t="s">
        <v>293</v>
      </c>
      <c r="D49" s="42" t="s">
        <v>161</v>
      </c>
      <c r="E49" s="347">
        <v>85</v>
      </c>
      <c r="F49" s="347">
        <v>62</v>
      </c>
      <c r="G49" s="347">
        <v>473</v>
      </c>
      <c r="H49" s="347"/>
      <c r="I49" s="347"/>
      <c r="J49" s="347"/>
      <c r="K49" s="347"/>
      <c r="L49" s="347"/>
      <c r="M49" s="347">
        <v>71</v>
      </c>
      <c r="N49" s="347">
        <v>329</v>
      </c>
      <c r="O49" s="347"/>
      <c r="P49" s="347"/>
      <c r="Q49" s="347"/>
      <c r="R49" s="347"/>
      <c r="S49" s="347"/>
      <c r="T49" s="347"/>
      <c r="U49" s="348"/>
      <c r="V49" s="347"/>
      <c r="W49" s="347"/>
      <c r="X49" s="347"/>
      <c r="Y49" s="347"/>
      <c r="Z49" s="347"/>
      <c r="AA49" s="349"/>
      <c r="AB49" s="347">
        <v>38</v>
      </c>
      <c r="AC49" s="347"/>
      <c r="AD49" s="347"/>
      <c r="AE49" s="347"/>
      <c r="AF49" s="347"/>
      <c r="AG49" s="347"/>
      <c r="AH49" s="347"/>
      <c r="AI49" s="347"/>
      <c r="AJ49" s="347"/>
      <c r="AK49" s="347"/>
      <c r="AL49" s="347"/>
      <c r="AM49" s="347"/>
      <c r="AN49" s="347">
        <v>-0.9</v>
      </c>
      <c r="AO49" s="347"/>
      <c r="AP49" s="347"/>
    </row>
    <row r="50" spans="1:42" ht="14.45" customHeight="1">
      <c r="A50" s="436"/>
      <c r="B50" s="443"/>
      <c r="C50" s="39" t="s">
        <v>294</v>
      </c>
      <c r="D50" s="42" t="s">
        <v>162</v>
      </c>
      <c r="E50" s="347">
        <v>50</v>
      </c>
      <c r="F50" s="347">
        <v>19</v>
      </c>
      <c r="G50" s="347">
        <v>322</v>
      </c>
      <c r="H50" s="347"/>
      <c r="I50" s="347"/>
      <c r="J50" s="347"/>
      <c r="K50" s="347"/>
      <c r="L50" s="347"/>
      <c r="M50" s="347">
        <v>181</v>
      </c>
      <c r="N50" s="347">
        <v>247</v>
      </c>
      <c r="O50" s="347"/>
      <c r="P50" s="347"/>
      <c r="Q50" s="347"/>
      <c r="R50" s="347"/>
      <c r="S50" s="347"/>
      <c r="T50" s="347"/>
      <c r="U50" s="348"/>
      <c r="V50" s="347"/>
      <c r="W50" s="347"/>
      <c r="X50" s="347"/>
      <c r="Y50" s="347"/>
      <c r="Z50" s="347"/>
      <c r="AA50" s="349"/>
      <c r="AB50" s="347">
        <v>355</v>
      </c>
      <c r="AC50" s="347"/>
      <c r="AD50" s="347"/>
      <c r="AE50" s="347"/>
      <c r="AF50" s="347"/>
      <c r="AG50" s="347"/>
      <c r="AH50" s="347"/>
      <c r="AI50" s="347"/>
      <c r="AJ50" s="347"/>
      <c r="AK50" s="347"/>
      <c r="AL50" s="347"/>
      <c r="AM50" s="347"/>
      <c r="AN50" s="347">
        <v>6.3</v>
      </c>
      <c r="AO50" s="347"/>
      <c r="AP50" s="347"/>
    </row>
    <row r="51" spans="1:42" ht="14.45" customHeight="1">
      <c r="A51" s="436"/>
      <c r="B51" s="438" t="s">
        <v>31</v>
      </c>
      <c r="C51" s="439"/>
      <c r="D51" s="169" t="s">
        <v>114</v>
      </c>
      <c r="E51" s="343">
        <v>25</v>
      </c>
      <c r="F51" s="344">
        <v>29</v>
      </c>
      <c r="G51" s="344"/>
      <c r="H51" s="344"/>
      <c r="I51" s="344"/>
      <c r="J51" s="344"/>
      <c r="K51" s="343"/>
      <c r="L51" s="344"/>
      <c r="M51" s="343"/>
      <c r="N51" s="344"/>
      <c r="O51" s="344"/>
      <c r="P51" s="344"/>
      <c r="Q51" s="344"/>
      <c r="R51" s="344"/>
      <c r="S51" s="344"/>
      <c r="T51" s="344"/>
      <c r="U51" s="345"/>
      <c r="V51" s="344"/>
      <c r="W51" s="344"/>
      <c r="X51" s="344"/>
      <c r="Y51" s="344"/>
      <c r="Z51" s="344"/>
      <c r="AA51" s="346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3"/>
      <c r="AO51" s="343"/>
      <c r="AP51" s="343"/>
    </row>
    <row r="52" spans="1:42" ht="14.45" customHeight="1">
      <c r="A52" s="437"/>
      <c r="B52" s="31" t="s">
        <v>31</v>
      </c>
      <c r="C52" s="39" t="s">
        <v>59</v>
      </c>
      <c r="D52" s="42" t="s">
        <v>172</v>
      </c>
      <c r="E52" s="347">
        <v>25</v>
      </c>
      <c r="F52" s="347">
        <v>29</v>
      </c>
      <c r="G52" s="347">
        <v>249</v>
      </c>
      <c r="H52" s="347"/>
      <c r="I52" s="347"/>
      <c r="J52" s="347"/>
      <c r="K52" s="347"/>
      <c r="L52" s="347"/>
      <c r="M52" s="347">
        <v>135</v>
      </c>
      <c r="N52" s="347">
        <v>72</v>
      </c>
      <c r="O52" s="347"/>
      <c r="P52" s="347"/>
      <c r="Q52" s="347"/>
      <c r="R52" s="347"/>
      <c r="S52" s="347"/>
      <c r="T52" s="347"/>
      <c r="U52" s="348"/>
      <c r="V52" s="347"/>
      <c r="W52" s="347"/>
      <c r="X52" s="347"/>
      <c r="Y52" s="347"/>
      <c r="Z52" s="347"/>
      <c r="AA52" s="349"/>
      <c r="AB52" s="347">
        <v>344</v>
      </c>
      <c r="AC52" s="347"/>
      <c r="AD52" s="347"/>
      <c r="AE52" s="347"/>
      <c r="AF52" s="347"/>
      <c r="AG52" s="347"/>
      <c r="AH52" s="347"/>
      <c r="AI52" s="347"/>
      <c r="AJ52" s="347"/>
      <c r="AK52" s="347"/>
      <c r="AL52" s="347"/>
      <c r="AM52" s="347"/>
      <c r="AN52" s="347">
        <v>-3.5</v>
      </c>
      <c r="AO52" s="347"/>
      <c r="AP52" s="347"/>
    </row>
    <row r="53" spans="1:42" ht="14.45" customHeight="1">
      <c r="A53" s="435" t="s">
        <v>295</v>
      </c>
      <c r="B53" s="440" t="s">
        <v>113</v>
      </c>
      <c r="C53" s="441"/>
      <c r="D53" s="439"/>
      <c r="E53" s="339">
        <v>235</v>
      </c>
      <c r="F53" s="340">
        <v>184</v>
      </c>
      <c r="G53" s="340">
        <v>470</v>
      </c>
      <c r="H53" s="340"/>
      <c r="I53" s="340"/>
      <c r="J53" s="340"/>
      <c r="K53" s="339"/>
      <c r="L53" s="340"/>
      <c r="M53" s="339">
        <v>31</v>
      </c>
      <c r="N53" s="340">
        <v>485</v>
      </c>
      <c r="O53" s="340"/>
      <c r="P53" s="340"/>
      <c r="Q53" s="340"/>
      <c r="R53" s="340"/>
      <c r="S53" s="340"/>
      <c r="T53" s="340"/>
      <c r="U53" s="341"/>
      <c r="V53" s="340"/>
      <c r="W53" s="340"/>
      <c r="X53" s="340"/>
      <c r="Y53" s="340"/>
      <c r="Z53" s="340"/>
      <c r="AA53" s="342"/>
      <c r="AB53" s="340">
        <v>35</v>
      </c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39">
        <v>7.5</v>
      </c>
      <c r="AO53" s="339"/>
      <c r="AP53" s="339"/>
    </row>
    <row r="54" spans="1:42" ht="14.45" customHeight="1">
      <c r="A54" s="436"/>
      <c r="B54" s="438" t="s">
        <v>34</v>
      </c>
      <c r="C54" s="439"/>
      <c r="D54" s="169" t="s">
        <v>114</v>
      </c>
      <c r="E54" s="343">
        <v>125</v>
      </c>
      <c r="F54" s="344">
        <v>90</v>
      </c>
      <c r="G54" s="344"/>
      <c r="H54" s="344"/>
      <c r="I54" s="344"/>
      <c r="J54" s="344"/>
      <c r="K54" s="343"/>
      <c r="L54" s="344"/>
      <c r="M54" s="343"/>
      <c r="N54" s="344"/>
      <c r="O54" s="344"/>
      <c r="P54" s="344"/>
      <c r="Q54" s="344"/>
      <c r="R54" s="344"/>
      <c r="S54" s="344"/>
      <c r="T54" s="344"/>
      <c r="U54" s="345"/>
      <c r="V54" s="344"/>
      <c r="W54" s="344"/>
      <c r="X54" s="344"/>
      <c r="Y54" s="344"/>
      <c r="Z54" s="344"/>
      <c r="AA54" s="346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344"/>
      <c r="AN54" s="343"/>
      <c r="AO54" s="343"/>
      <c r="AP54" s="343"/>
    </row>
    <row r="55" spans="1:42" ht="14.45" customHeight="1">
      <c r="A55" s="436"/>
      <c r="B55" s="444" t="s">
        <v>34</v>
      </c>
      <c r="C55" s="39"/>
      <c r="D55" s="42" t="s">
        <v>175</v>
      </c>
      <c r="E55" s="347">
        <v>25</v>
      </c>
      <c r="F55" s="347">
        <v>10</v>
      </c>
      <c r="G55" s="347">
        <v>266</v>
      </c>
      <c r="H55" s="347"/>
      <c r="I55" s="347"/>
      <c r="J55" s="347"/>
      <c r="K55" s="347"/>
      <c r="L55" s="347"/>
      <c r="M55" s="347">
        <v>366</v>
      </c>
      <c r="N55" s="347">
        <v>158</v>
      </c>
      <c r="O55" s="347"/>
      <c r="P55" s="347"/>
      <c r="Q55" s="347"/>
      <c r="R55" s="347"/>
      <c r="S55" s="347"/>
      <c r="T55" s="347"/>
      <c r="U55" s="348"/>
      <c r="V55" s="347"/>
      <c r="W55" s="347"/>
      <c r="X55" s="347"/>
      <c r="Y55" s="347"/>
      <c r="Z55" s="347"/>
      <c r="AA55" s="349"/>
      <c r="AB55" s="347">
        <v>43</v>
      </c>
      <c r="AC55" s="347"/>
      <c r="AD55" s="347"/>
      <c r="AE55" s="347"/>
      <c r="AF55" s="347"/>
      <c r="AG55" s="347"/>
      <c r="AH55" s="347"/>
      <c r="AI55" s="347"/>
      <c r="AJ55" s="347"/>
      <c r="AK55" s="347"/>
      <c r="AL55" s="347"/>
      <c r="AM55" s="347"/>
      <c r="AN55" s="347">
        <v>0.4</v>
      </c>
      <c r="AO55" s="347"/>
      <c r="AP55" s="347"/>
    </row>
    <row r="56" spans="1:42" ht="14.45" customHeight="1">
      <c r="A56" s="436"/>
      <c r="B56" s="445"/>
      <c r="C56" s="39"/>
      <c r="D56" s="42" t="s">
        <v>176</v>
      </c>
      <c r="E56" s="347">
        <v>25</v>
      </c>
      <c r="F56" s="347">
        <v>21</v>
      </c>
      <c r="G56" s="347">
        <v>482</v>
      </c>
      <c r="H56" s="347"/>
      <c r="I56" s="347"/>
      <c r="J56" s="347"/>
      <c r="K56" s="347"/>
      <c r="L56" s="347"/>
      <c r="M56" s="347">
        <v>294</v>
      </c>
      <c r="N56" s="347">
        <v>222</v>
      </c>
      <c r="O56" s="347"/>
      <c r="P56" s="347"/>
      <c r="Q56" s="347"/>
      <c r="R56" s="347"/>
      <c r="S56" s="347"/>
      <c r="T56" s="347"/>
      <c r="U56" s="348"/>
      <c r="V56" s="347"/>
      <c r="W56" s="347"/>
      <c r="X56" s="347"/>
      <c r="Y56" s="347"/>
      <c r="Z56" s="347"/>
      <c r="AA56" s="349"/>
      <c r="AB56" s="347">
        <v>106</v>
      </c>
      <c r="AC56" s="347"/>
      <c r="AD56" s="347"/>
      <c r="AE56" s="347"/>
      <c r="AF56" s="347"/>
      <c r="AG56" s="347"/>
      <c r="AH56" s="347"/>
      <c r="AI56" s="347"/>
      <c r="AJ56" s="347"/>
      <c r="AK56" s="347"/>
      <c r="AL56" s="347"/>
      <c r="AM56" s="347"/>
      <c r="AN56" s="347">
        <v>-3.7</v>
      </c>
      <c r="AO56" s="347"/>
      <c r="AP56" s="347"/>
    </row>
    <row r="57" spans="1:42" ht="17.25" customHeight="1">
      <c r="A57" s="436"/>
      <c r="B57" s="445"/>
      <c r="C57" s="39" t="s">
        <v>284</v>
      </c>
      <c r="D57" s="42" t="s">
        <v>122</v>
      </c>
      <c r="E57" s="347">
        <v>50</v>
      </c>
      <c r="F57" s="347">
        <v>53</v>
      </c>
      <c r="G57" s="347">
        <v>41</v>
      </c>
      <c r="H57" s="347"/>
      <c r="I57" s="347"/>
      <c r="J57" s="347"/>
      <c r="K57" s="347"/>
      <c r="L57" s="347"/>
      <c r="M57" s="347">
        <v>175</v>
      </c>
      <c r="N57" s="347">
        <v>163</v>
      </c>
      <c r="O57" s="347"/>
      <c r="P57" s="347"/>
      <c r="Q57" s="347"/>
      <c r="R57" s="347"/>
      <c r="S57" s="347"/>
      <c r="T57" s="347"/>
      <c r="U57" s="348"/>
      <c r="V57" s="347"/>
      <c r="W57" s="347"/>
      <c r="X57" s="347"/>
      <c r="Y57" s="347"/>
      <c r="Z57" s="347"/>
      <c r="AA57" s="349"/>
      <c r="AB57" s="347">
        <v>457</v>
      </c>
      <c r="AC57" s="347"/>
      <c r="AD57" s="347"/>
      <c r="AE57" s="347"/>
      <c r="AF57" s="347"/>
      <c r="AG57" s="347"/>
      <c r="AH57" s="347"/>
      <c r="AI57" s="347"/>
      <c r="AJ57" s="347"/>
      <c r="AK57" s="347"/>
      <c r="AL57" s="347"/>
      <c r="AM57" s="347"/>
      <c r="AN57" s="347">
        <v>6.8</v>
      </c>
      <c r="AO57" s="347"/>
      <c r="AP57" s="347"/>
    </row>
    <row r="58" spans="1:42" ht="14.45" customHeight="1">
      <c r="A58" s="436"/>
      <c r="B58" s="443"/>
      <c r="C58" s="39"/>
      <c r="D58" s="42" t="s">
        <v>120</v>
      </c>
      <c r="E58" s="347">
        <v>25</v>
      </c>
      <c r="F58" s="347">
        <v>6</v>
      </c>
      <c r="G58" s="347">
        <v>111</v>
      </c>
      <c r="H58" s="347"/>
      <c r="I58" s="347"/>
      <c r="J58" s="347"/>
      <c r="K58" s="347"/>
      <c r="L58" s="347"/>
      <c r="M58" s="347">
        <v>437</v>
      </c>
      <c r="N58" s="347">
        <v>346</v>
      </c>
      <c r="O58" s="347"/>
      <c r="P58" s="347"/>
      <c r="Q58" s="347"/>
      <c r="R58" s="347"/>
      <c r="S58" s="347"/>
      <c r="T58" s="347"/>
      <c r="U58" s="348"/>
      <c r="V58" s="347"/>
      <c r="W58" s="347"/>
      <c r="X58" s="347"/>
      <c r="Y58" s="347"/>
      <c r="Z58" s="347"/>
      <c r="AA58" s="349"/>
      <c r="AB58" s="347">
        <v>71</v>
      </c>
      <c r="AC58" s="347"/>
      <c r="AD58" s="347"/>
      <c r="AE58" s="347"/>
      <c r="AF58" s="347"/>
      <c r="AG58" s="347"/>
      <c r="AH58" s="347"/>
      <c r="AI58" s="347"/>
      <c r="AJ58" s="347"/>
      <c r="AK58" s="347"/>
      <c r="AL58" s="347"/>
      <c r="AM58" s="347"/>
      <c r="AN58" s="347">
        <v>5.9</v>
      </c>
      <c r="AO58" s="347"/>
      <c r="AP58" s="347"/>
    </row>
    <row r="59" spans="1:42" ht="14.45" customHeight="1">
      <c r="A59" s="436"/>
      <c r="B59" s="438" t="s">
        <v>35</v>
      </c>
      <c r="C59" s="439"/>
      <c r="D59" s="169" t="s">
        <v>114</v>
      </c>
      <c r="E59" s="343">
        <v>50</v>
      </c>
      <c r="F59" s="344">
        <v>33</v>
      </c>
      <c r="G59" s="344"/>
      <c r="H59" s="344"/>
      <c r="I59" s="344"/>
      <c r="J59" s="344"/>
      <c r="K59" s="343"/>
      <c r="L59" s="344"/>
      <c r="M59" s="343"/>
      <c r="N59" s="344"/>
      <c r="O59" s="344"/>
      <c r="P59" s="344"/>
      <c r="Q59" s="344"/>
      <c r="R59" s="344"/>
      <c r="S59" s="344"/>
      <c r="T59" s="344"/>
      <c r="U59" s="345"/>
      <c r="V59" s="344"/>
      <c r="W59" s="344"/>
      <c r="X59" s="344"/>
      <c r="Y59" s="344"/>
      <c r="Z59" s="344"/>
      <c r="AA59" s="346"/>
      <c r="AB59" s="344"/>
      <c r="AC59" s="344"/>
      <c r="AD59" s="344"/>
      <c r="AE59" s="344"/>
      <c r="AF59" s="344"/>
      <c r="AG59" s="344"/>
      <c r="AH59" s="344"/>
      <c r="AI59" s="344"/>
      <c r="AJ59" s="344"/>
      <c r="AK59" s="344"/>
      <c r="AL59" s="344"/>
      <c r="AM59" s="344"/>
      <c r="AN59" s="343"/>
      <c r="AO59" s="343"/>
      <c r="AP59" s="343"/>
    </row>
    <row r="60" spans="1:42" ht="14.45" customHeight="1">
      <c r="A60" s="437"/>
      <c r="B60" s="444" t="s">
        <v>35</v>
      </c>
      <c r="C60" s="39"/>
      <c r="D60" s="42" t="s">
        <v>178</v>
      </c>
      <c r="E60" s="347">
        <v>25</v>
      </c>
      <c r="F60" s="347">
        <v>17</v>
      </c>
      <c r="G60" s="347">
        <v>48</v>
      </c>
      <c r="H60" s="347"/>
      <c r="I60" s="347"/>
      <c r="J60" s="347"/>
      <c r="K60" s="347"/>
      <c r="L60" s="347"/>
      <c r="M60" s="347">
        <v>420</v>
      </c>
      <c r="N60" s="347">
        <v>214</v>
      </c>
      <c r="O60" s="347"/>
      <c r="P60" s="347"/>
      <c r="Q60" s="347"/>
      <c r="R60" s="347"/>
      <c r="S60" s="347"/>
      <c r="T60" s="347"/>
      <c r="U60" s="348"/>
      <c r="V60" s="347"/>
      <c r="W60" s="347"/>
      <c r="X60" s="347"/>
      <c r="Y60" s="347"/>
      <c r="Z60" s="347"/>
      <c r="AA60" s="349"/>
      <c r="AB60" s="347">
        <v>29</v>
      </c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>
        <v>5.2</v>
      </c>
      <c r="AO60" s="347"/>
      <c r="AP60" s="347"/>
    </row>
    <row r="61" spans="1:42" ht="14.45" customHeight="1">
      <c r="A61" s="435" t="s">
        <v>295</v>
      </c>
      <c r="B61" s="443"/>
      <c r="C61" s="39"/>
      <c r="D61" s="42" t="s">
        <v>123</v>
      </c>
      <c r="E61" s="347">
        <v>25</v>
      </c>
      <c r="F61" s="347">
        <v>16</v>
      </c>
      <c r="G61" s="347">
        <v>134</v>
      </c>
      <c r="H61" s="347"/>
      <c r="I61" s="347"/>
      <c r="J61" s="347"/>
      <c r="K61" s="347"/>
      <c r="L61" s="347"/>
      <c r="M61" s="347">
        <v>178</v>
      </c>
      <c r="N61" s="347">
        <v>105</v>
      </c>
      <c r="O61" s="347"/>
      <c r="P61" s="347"/>
      <c r="Q61" s="347"/>
      <c r="R61" s="347"/>
      <c r="S61" s="347"/>
      <c r="T61" s="347"/>
      <c r="U61" s="348"/>
      <c r="V61" s="347"/>
      <c r="W61" s="347"/>
      <c r="X61" s="347"/>
      <c r="Y61" s="347"/>
      <c r="Z61" s="347"/>
      <c r="AA61" s="349"/>
      <c r="AB61" s="347">
        <v>289</v>
      </c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347">
        <v>-4.3</v>
      </c>
      <c r="AO61" s="347"/>
      <c r="AP61" s="347"/>
    </row>
    <row r="62" spans="1:42" ht="17.25" customHeight="1">
      <c r="A62" s="436"/>
      <c r="B62" s="438" t="s">
        <v>36</v>
      </c>
      <c r="C62" s="439"/>
      <c r="D62" s="169" t="s">
        <v>114</v>
      </c>
      <c r="E62" s="343">
        <v>60</v>
      </c>
      <c r="F62" s="344">
        <v>61</v>
      </c>
      <c r="G62" s="344"/>
      <c r="H62" s="344"/>
      <c r="I62" s="344"/>
      <c r="J62" s="344"/>
      <c r="K62" s="343"/>
      <c r="L62" s="344"/>
      <c r="M62" s="343"/>
      <c r="N62" s="344"/>
      <c r="O62" s="344"/>
      <c r="P62" s="344"/>
      <c r="Q62" s="344"/>
      <c r="R62" s="344"/>
      <c r="S62" s="344"/>
      <c r="T62" s="344"/>
      <c r="U62" s="345"/>
      <c r="V62" s="344"/>
      <c r="W62" s="344"/>
      <c r="X62" s="344"/>
      <c r="Y62" s="344"/>
      <c r="Z62" s="344"/>
      <c r="AA62" s="346"/>
      <c r="AB62" s="344"/>
      <c r="AC62" s="344"/>
      <c r="AD62" s="344"/>
      <c r="AE62" s="344"/>
      <c r="AF62" s="344"/>
      <c r="AG62" s="344"/>
      <c r="AH62" s="344"/>
      <c r="AI62" s="344"/>
      <c r="AJ62" s="344"/>
      <c r="AK62" s="344"/>
      <c r="AL62" s="344"/>
      <c r="AM62" s="344"/>
      <c r="AN62" s="343"/>
      <c r="AO62" s="343"/>
      <c r="AP62" s="343"/>
    </row>
    <row r="63" spans="1:42" ht="14.45" customHeight="1">
      <c r="A63" s="436"/>
      <c r="B63" s="31" t="s">
        <v>36</v>
      </c>
      <c r="C63" s="39"/>
      <c r="D63" s="42" t="s">
        <v>180</v>
      </c>
      <c r="E63" s="347">
        <v>30</v>
      </c>
      <c r="F63" s="347">
        <v>36</v>
      </c>
      <c r="G63" s="347">
        <v>342</v>
      </c>
      <c r="H63" s="347"/>
      <c r="I63" s="347"/>
      <c r="J63" s="347"/>
      <c r="K63" s="347"/>
      <c r="L63" s="347"/>
      <c r="M63" s="347">
        <v>338</v>
      </c>
      <c r="N63" s="347">
        <v>391</v>
      </c>
      <c r="O63" s="347"/>
      <c r="P63" s="347"/>
      <c r="Q63" s="347"/>
      <c r="R63" s="347"/>
      <c r="S63" s="347"/>
      <c r="T63" s="347"/>
      <c r="U63" s="348"/>
      <c r="V63" s="347"/>
      <c r="W63" s="347"/>
      <c r="X63" s="347"/>
      <c r="Y63" s="347"/>
      <c r="Z63" s="347"/>
      <c r="AA63" s="349"/>
      <c r="AB63" s="347">
        <v>244</v>
      </c>
      <c r="AC63" s="347"/>
      <c r="AD63" s="347"/>
      <c r="AE63" s="347"/>
      <c r="AF63" s="347"/>
      <c r="AG63" s="347"/>
      <c r="AH63" s="347"/>
      <c r="AI63" s="347"/>
      <c r="AJ63" s="347"/>
      <c r="AK63" s="347"/>
      <c r="AL63" s="347"/>
      <c r="AM63" s="347"/>
      <c r="AN63" s="347">
        <v>-3</v>
      </c>
      <c r="AO63" s="347"/>
      <c r="AP63" s="347"/>
    </row>
    <row r="64" spans="1:42" ht="14.45" customHeight="1">
      <c r="A64" s="437"/>
      <c r="B64" s="31" t="s">
        <v>36</v>
      </c>
      <c r="C64" s="39"/>
      <c r="D64" s="42" t="s">
        <v>181</v>
      </c>
      <c r="E64" s="347">
        <v>30</v>
      </c>
      <c r="F64" s="347">
        <v>25</v>
      </c>
      <c r="G64" s="347">
        <v>439</v>
      </c>
      <c r="H64" s="347"/>
      <c r="I64" s="347"/>
      <c r="J64" s="347"/>
      <c r="K64" s="347"/>
      <c r="L64" s="347"/>
      <c r="M64" s="347">
        <v>291</v>
      </c>
      <c r="N64" s="347">
        <v>475</v>
      </c>
      <c r="O64" s="347"/>
      <c r="P64" s="347"/>
      <c r="Q64" s="347"/>
      <c r="R64" s="347"/>
      <c r="S64" s="347"/>
      <c r="T64" s="347"/>
      <c r="U64" s="348"/>
      <c r="V64" s="347"/>
      <c r="W64" s="347"/>
      <c r="X64" s="347"/>
      <c r="Y64" s="347"/>
      <c r="Z64" s="347"/>
      <c r="AA64" s="349"/>
      <c r="AB64" s="347">
        <v>14</v>
      </c>
      <c r="AC64" s="347"/>
      <c r="AD64" s="347"/>
      <c r="AE64" s="347"/>
      <c r="AF64" s="347"/>
      <c r="AG64" s="347"/>
      <c r="AH64" s="347"/>
      <c r="AI64" s="347"/>
      <c r="AJ64" s="347"/>
      <c r="AK64" s="347"/>
      <c r="AL64" s="347"/>
      <c r="AM64" s="347"/>
      <c r="AN64" s="347">
        <v>2.8</v>
      </c>
      <c r="AO64" s="347"/>
      <c r="AP64" s="347"/>
    </row>
    <row r="65" spans="1:42" ht="14.45" customHeight="1">
      <c r="A65" s="435" t="s">
        <v>296</v>
      </c>
      <c r="B65" s="440" t="s">
        <v>113</v>
      </c>
      <c r="C65" s="441"/>
      <c r="D65" s="439"/>
      <c r="E65" s="339">
        <v>1035</v>
      </c>
      <c r="F65" s="340">
        <v>884</v>
      </c>
      <c r="G65" s="340">
        <v>90</v>
      </c>
      <c r="H65" s="340"/>
      <c r="I65" s="340"/>
      <c r="J65" s="340"/>
      <c r="K65" s="339"/>
      <c r="L65" s="340"/>
      <c r="M65" s="339">
        <v>349</v>
      </c>
      <c r="N65" s="340">
        <v>324</v>
      </c>
      <c r="O65" s="340"/>
      <c r="P65" s="340"/>
      <c r="Q65" s="340"/>
      <c r="R65" s="340"/>
      <c r="S65" s="340"/>
      <c r="T65" s="340"/>
      <c r="U65" s="341"/>
      <c r="V65" s="340"/>
      <c r="W65" s="340"/>
      <c r="X65" s="340"/>
      <c r="Y65" s="340"/>
      <c r="Z65" s="340"/>
      <c r="AA65" s="342"/>
      <c r="AB65" s="340">
        <v>453</v>
      </c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  <c r="AM65" s="340"/>
      <c r="AN65" s="339">
        <v>3.6</v>
      </c>
      <c r="AO65" s="339"/>
      <c r="AP65" s="339"/>
    </row>
    <row r="66" spans="1:42" ht="14.45" customHeight="1">
      <c r="A66" s="436"/>
      <c r="B66" s="438" t="s">
        <v>38</v>
      </c>
      <c r="C66" s="439"/>
      <c r="D66" s="169" t="s">
        <v>114</v>
      </c>
      <c r="E66" s="343">
        <v>380</v>
      </c>
      <c r="F66" s="344">
        <v>328</v>
      </c>
      <c r="G66" s="344"/>
      <c r="H66" s="344"/>
      <c r="I66" s="344"/>
      <c r="J66" s="344"/>
      <c r="K66" s="343"/>
      <c r="L66" s="344"/>
      <c r="M66" s="343"/>
      <c r="N66" s="344"/>
      <c r="O66" s="344"/>
      <c r="P66" s="344"/>
      <c r="Q66" s="344"/>
      <c r="R66" s="344"/>
      <c r="S66" s="344"/>
      <c r="T66" s="344"/>
      <c r="U66" s="345"/>
      <c r="V66" s="344"/>
      <c r="W66" s="344"/>
      <c r="X66" s="344"/>
      <c r="Y66" s="344"/>
      <c r="Z66" s="344"/>
      <c r="AA66" s="346"/>
      <c r="AB66" s="344"/>
      <c r="AC66" s="344"/>
      <c r="AD66" s="344"/>
      <c r="AE66" s="344"/>
      <c r="AF66" s="344"/>
      <c r="AG66" s="344"/>
      <c r="AH66" s="344"/>
      <c r="AI66" s="344"/>
      <c r="AJ66" s="344"/>
      <c r="AK66" s="344"/>
      <c r="AL66" s="344"/>
      <c r="AM66" s="344"/>
      <c r="AN66" s="343"/>
      <c r="AO66" s="343"/>
      <c r="AP66" s="343"/>
    </row>
    <row r="67" spans="1:42" ht="17.25" customHeight="1">
      <c r="A67" s="436"/>
      <c r="B67" s="444" t="s">
        <v>38</v>
      </c>
      <c r="C67" s="39"/>
      <c r="D67" s="42" t="s">
        <v>183</v>
      </c>
      <c r="E67" s="347">
        <v>30</v>
      </c>
      <c r="F67" s="347">
        <v>31</v>
      </c>
      <c r="G67" s="347">
        <v>113</v>
      </c>
      <c r="H67" s="347"/>
      <c r="I67" s="347"/>
      <c r="J67" s="347"/>
      <c r="K67" s="347"/>
      <c r="L67" s="347"/>
      <c r="M67" s="347">
        <v>44</v>
      </c>
      <c r="N67" s="347">
        <v>432</v>
      </c>
      <c r="O67" s="347"/>
      <c r="P67" s="347"/>
      <c r="Q67" s="347"/>
      <c r="R67" s="347"/>
      <c r="S67" s="347"/>
      <c r="T67" s="347"/>
      <c r="U67" s="348"/>
      <c r="V67" s="347"/>
      <c r="W67" s="347"/>
      <c r="X67" s="347"/>
      <c r="Y67" s="347"/>
      <c r="Z67" s="347"/>
      <c r="AA67" s="349"/>
      <c r="AB67" s="347">
        <v>408</v>
      </c>
      <c r="AC67" s="347"/>
      <c r="AD67" s="347"/>
      <c r="AE67" s="347"/>
      <c r="AF67" s="347"/>
      <c r="AG67" s="347"/>
      <c r="AH67" s="347"/>
      <c r="AI67" s="347"/>
      <c r="AJ67" s="347"/>
      <c r="AK67" s="347"/>
      <c r="AL67" s="347"/>
      <c r="AM67" s="347"/>
      <c r="AN67" s="347">
        <v>-4.8</v>
      </c>
      <c r="AO67" s="347"/>
      <c r="AP67" s="347"/>
    </row>
    <row r="68" spans="1:42" ht="14.45" customHeight="1">
      <c r="A68" s="436"/>
      <c r="B68" s="445"/>
      <c r="C68" s="39"/>
      <c r="D68" s="42" t="s">
        <v>184</v>
      </c>
      <c r="E68" s="347">
        <v>30</v>
      </c>
      <c r="F68" s="347">
        <v>27</v>
      </c>
      <c r="G68" s="347">
        <v>350</v>
      </c>
      <c r="H68" s="347"/>
      <c r="I68" s="347"/>
      <c r="J68" s="347"/>
      <c r="K68" s="347"/>
      <c r="L68" s="347"/>
      <c r="M68" s="347">
        <v>140</v>
      </c>
      <c r="N68" s="347">
        <v>80</v>
      </c>
      <c r="O68" s="347"/>
      <c r="P68" s="347"/>
      <c r="Q68" s="347"/>
      <c r="R68" s="347"/>
      <c r="S68" s="347"/>
      <c r="T68" s="347"/>
      <c r="U68" s="348"/>
      <c r="V68" s="347"/>
      <c r="W68" s="347"/>
      <c r="X68" s="347"/>
      <c r="Y68" s="347"/>
      <c r="Z68" s="347"/>
      <c r="AA68" s="349"/>
      <c r="AB68" s="347">
        <v>403</v>
      </c>
      <c r="AC68" s="347"/>
      <c r="AD68" s="347"/>
      <c r="AE68" s="347"/>
      <c r="AF68" s="347"/>
      <c r="AG68" s="347"/>
      <c r="AH68" s="347"/>
      <c r="AI68" s="347"/>
      <c r="AJ68" s="347"/>
      <c r="AK68" s="347"/>
      <c r="AL68" s="347"/>
      <c r="AM68" s="347"/>
      <c r="AN68" s="347">
        <v>2.2999999999999998</v>
      </c>
      <c r="AO68" s="347"/>
      <c r="AP68" s="347"/>
    </row>
    <row r="69" spans="1:42" ht="14.45" customHeight="1">
      <c r="A69" s="436"/>
      <c r="B69" s="445"/>
      <c r="C69" s="39"/>
      <c r="D69" s="42" t="s">
        <v>185</v>
      </c>
      <c r="E69" s="347">
        <v>85</v>
      </c>
      <c r="F69" s="347">
        <v>82</v>
      </c>
      <c r="G69" s="347">
        <v>383</v>
      </c>
      <c r="H69" s="347"/>
      <c r="I69" s="347"/>
      <c r="J69" s="347"/>
      <c r="K69" s="347"/>
      <c r="L69" s="347"/>
      <c r="M69" s="347">
        <v>159</v>
      </c>
      <c r="N69" s="347">
        <v>478</v>
      </c>
      <c r="O69" s="347"/>
      <c r="P69" s="347"/>
      <c r="Q69" s="347"/>
      <c r="R69" s="347"/>
      <c r="S69" s="347"/>
      <c r="T69" s="347"/>
      <c r="U69" s="348"/>
      <c r="V69" s="347"/>
      <c r="W69" s="347"/>
      <c r="X69" s="347"/>
      <c r="Y69" s="347"/>
      <c r="Z69" s="347"/>
      <c r="AA69" s="349"/>
      <c r="AB69" s="347">
        <v>471</v>
      </c>
      <c r="AC69" s="347"/>
      <c r="AD69" s="347"/>
      <c r="AE69" s="347"/>
      <c r="AF69" s="347"/>
      <c r="AG69" s="347"/>
      <c r="AH69" s="347"/>
      <c r="AI69" s="347"/>
      <c r="AJ69" s="347"/>
      <c r="AK69" s="347"/>
      <c r="AL69" s="347"/>
      <c r="AM69" s="347"/>
      <c r="AN69" s="347">
        <v>6.9</v>
      </c>
      <c r="AO69" s="347"/>
      <c r="AP69" s="347"/>
    </row>
    <row r="70" spans="1:42" ht="14.45" customHeight="1">
      <c r="A70" s="436"/>
      <c r="B70" s="445"/>
      <c r="C70" s="39" t="s">
        <v>285</v>
      </c>
      <c r="D70" s="42" t="s">
        <v>153</v>
      </c>
      <c r="E70" s="347">
        <v>60</v>
      </c>
      <c r="F70" s="347">
        <v>71</v>
      </c>
      <c r="G70" s="347">
        <v>327</v>
      </c>
      <c r="H70" s="347"/>
      <c r="I70" s="347"/>
      <c r="J70" s="347"/>
      <c r="K70" s="347"/>
      <c r="L70" s="347"/>
      <c r="M70" s="347">
        <v>10</v>
      </c>
      <c r="N70" s="347">
        <v>283</v>
      </c>
      <c r="O70" s="347"/>
      <c r="P70" s="347"/>
      <c r="Q70" s="347"/>
      <c r="R70" s="347"/>
      <c r="S70" s="347"/>
      <c r="T70" s="347"/>
      <c r="U70" s="348"/>
      <c r="V70" s="347"/>
      <c r="W70" s="347"/>
      <c r="X70" s="347"/>
      <c r="Y70" s="347"/>
      <c r="Z70" s="347"/>
      <c r="AA70" s="349"/>
      <c r="AB70" s="347">
        <v>325</v>
      </c>
      <c r="AC70" s="347"/>
      <c r="AD70" s="347"/>
      <c r="AE70" s="347"/>
      <c r="AF70" s="347"/>
      <c r="AG70" s="347"/>
      <c r="AH70" s="347"/>
      <c r="AI70" s="347"/>
      <c r="AJ70" s="347"/>
      <c r="AK70" s="347"/>
      <c r="AL70" s="347"/>
      <c r="AM70" s="347"/>
      <c r="AN70" s="347">
        <v>-0.9</v>
      </c>
      <c r="AO70" s="347"/>
      <c r="AP70" s="347"/>
    </row>
    <row r="71" spans="1:42" ht="14.45" customHeight="1">
      <c r="A71" s="436"/>
      <c r="B71" s="445"/>
      <c r="C71" s="39"/>
      <c r="D71" s="42" t="s">
        <v>186</v>
      </c>
      <c r="E71" s="347">
        <v>60</v>
      </c>
      <c r="F71" s="347">
        <v>50</v>
      </c>
      <c r="G71" s="347">
        <v>158</v>
      </c>
      <c r="H71" s="347"/>
      <c r="I71" s="347"/>
      <c r="J71" s="347"/>
      <c r="K71" s="347"/>
      <c r="L71" s="347"/>
      <c r="M71" s="347">
        <v>448</v>
      </c>
      <c r="N71" s="347">
        <v>131</v>
      </c>
      <c r="O71" s="347"/>
      <c r="P71" s="347"/>
      <c r="Q71" s="347"/>
      <c r="R71" s="347"/>
      <c r="S71" s="347"/>
      <c r="T71" s="347"/>
      <c r="U71" s="348"/>
      <c r="V71" s="347"/>
      <c r="W71" s="347"/>
      <c r="X71" s="347"/>
      <c r="Y71" s="347"/>
      <c r="Z71" s="347"/>
      <c r="AA71" s="349"/>
      <c r="AB71" s="347">
        <v>285</v>
      </c>
      <c r="AC71" s="347"/>
      <c r="AD71" s="347"/>
      <c r="AE71" s="347"/>
      <c r="AF71" s="347"/>
      <c r="AG71" s="347"/>
      <c r="AH71" s="347"/>
      <c r="AI71" s="347"/>
      <c r="AJ71" s="347"/>
      <c r="AK71" s="347"/>
      <c r="AL71" s="347"/>
      <c r="AM71" s="347"/>
      <c r="AN71" s="347">
        <v>0.6</v>
      </c>
      <c r="AO71" s="347"/>
      <c r="AP71" s="347"/>
    </row>
    <row r="72" spans="1:42" ht="17.25" customHeight="1">
      <c r="A72" s="436"/>
      <c r="B72" s="445"/>
      <c r="C72" s="39" t="s">
        <v>297</v>
      </c>
      <c r="D72" s="42" t="s">
        <v>187</v>
      </c>
      <c r="E72" s="347">
        <v>60</v>
      </c>
      <c r="F72" s="347">
        <v>31</v>
      </c>
      <c r="G72" s="347">
        <v>213</v>
      </c>
      <c r="H72" s="347"/>
      <c r="I72" s="347"/>
      <c r="J72" s="347"/>
      <c r="K72" s="347"/>
      <c r="L72" s="347"/>
      <c r="M72" s="347">
        <v>477</v>
      </c>
      <c r="N72" s="347">
        <v>422</v>
      </c>
      <c r="O72" s="347"/>
      <c r="P72" s="347"/>
      <c r="Q72" s="347"/>
      <c r="R72" s="347"/>
      <c r="S72" s="347"/>
      <c r="T72" s="347"/>
      <c r="U72" s="348"/>
      <c r="V72" s="347"/>
      <c r="W72" s="347"/>
      <c r="X72" s="347"/>
      <c r="Y72" s="347"/>
      <c r="Z72" s="347"/>
      <c r="AA72" s="349"/>
      <c r="AB72" s="347">
        <v>183</v>
      </c>
      <c r="AC72" s="347"/>
      <c r="AD72" s="347"/>
      <c r="AE72" s="347"/>
      <c r="AF72" s="347"/>
      <c r="AG72" s="347"/>
      <c r="AH72" s="347"/>
      <c r="AI72" s="347"/>
      <c r="AJ72" s="347"/>
      <c r="AK72" s="347"/>
      <c r="AL72" s="347"/>
      <c r="AM72" s="347"/>
      <c r="AN72" s="347">
        <v>2</v>
      </c>
      <c r="AO72" s="347"/>
      <c r="AP72" s="347"/>
    </row>
    <row r="73" spans="1:42" ht="14.45" customHeight="1">
      <c r="A73" s="436"/>
      <c r="B73" s="443"/>
      <c r="C73" s="39"/>
      <c r="D73" s="42" t="s">
        <v>188</v>
      </c>
      <c r="E73" s="347">
        <v>55</v>
      </c>
      <c r="F73" s="347">
        <v>36</v>
      </c>
      <c r="G73" s="347">
        <v>437</v>
      </c>
      <c r="H73" s="347"/>
      <c r="I73" s="347"/>
      <c r="J73" s="347"/>
      <c r="K73" s="347"/>
      <c r="L73" s="347"/>
      <c r="M73" s="347">
        <v>303</v>
      </c>
      <c r="N73" s="347">
        <v>46</v>
      </c>
      <c r="O73" s="347"/>
      <c r="P73" s="347"/>
      <c r="Q73" s="347"/>
      <c r="R73" s="347"/>
      <c r="S73" s="347"/>
      <c r="T73" s="347"/>
      <c r="U73" s="348"/>
      <c r="V73" s="347"/>
      <c r="W73" s="347"/>
      <c r="X73" s="347"/>
      <c r="Y73" s="347"/>
      <c r="Z73" s="347"/>
      <c r="AA73" s="349"/>
      <c r="AB73" s="347">
        <v>479</v>
      </c>
      <c r="AC73" s="347"/>
      <c r="AD73" s="347"/>
      <c r="AE73" s="347"/>
      <c r="AF73" s="347"/>
      <c r="AG73" s="347"/>
      <c r="AH73" s="347"/>
      <c r="AI73" s="347"/>
      <c r="AJ73" s="347"/>
      <c r="AK73" s="347"/>
      <c r="AL73" s="347"/>
      <c r="AM73" s="347"/>
      <c r="AN73" s="347">
        <v>2</v>
      </c>
      <c r="AO73" s="347"/>
      <c r="AP73" s="347"/>
    </row>
    <row r="74" spans="1:42" ht="14.45" customHeight="1">
      <c r="A74" s="436"/>
      <c r="B74" s="438" t="s">
        <v>39</v>
      </c>
      <c r="C74" s="439"/>
      <c r="D74" s="169" t="s">
        <v>114</v>
      </c>
      <c r="E74" s="343">
        <v>325</v>
      </c>
      <c r="F74" s="344">
        <v>310</v>
      </c>
      <c r="G74" s="344"/>
      <c r="H74" s="344"/>
      <c r="I74" s="344"/>
      <c r="J74" s="344"/>
      <c r="K74" s="343"/>
      <c r="L74" s="344"/>
      <c r="M74" s="343"/>
      <c r="N74" s="344"/>
      <c r="O74" s="344"/>
      <c r="P74" s="344"/>
      <c r="Q74" s="344"/>
      <c r="R74" s="344"/>
      <c r="S74" s="344"/>
      <c r="T74" s="344"/>
      <c r="U74" s="345"/>
      <c r="V74" s="344"/>
      <c r="W74" s="344"/>
      <c r="X74" s="344"/>
      <c r="Y74" s="344"/>
      <c r="Z74" s="344"/>
      <c r="AA74" s="346"/>
      <c r="AB74" s="344"/>
      <c r="AC74" s="344"/>
      <c r="AD74" s="344"/>
      <c r="AE74" s="344"/>
      <c r="AF74" s="344"/>
      <c r="AG74" s="344"/>
      <c r="AH74" s="344"/>
      <c r="AI74" s="344"/>
      <c r="AJ74" s="344"/>
      <c r="AK74" s="344"/>
      <c r="AL74" s="344"/>
      <c r="AM74" s="344"/>
      <c r="AN74" s="343"/>
      <c r="AO74" s="343"/>
      <c r="AP74" s="343"/>
    </row>
    <row r="75" spans="1:42" ht="14.45" customHeight="1">
      <c r="A75" s="436"/>
      <c r="B75" s="444" t="s">
        <v>39</v>
      </c>
      <c r="C75" s="39" t="s">
        <v>282</v>
      </c>
      <c r="D75" s="42" t="s">
        <v>117</v>
      </c>
      <c r="E75" s="347">
        <v>60</v>
      </c>
      <c r="F75" s="347">
        <v>52</v>
      </c>
      <c r="G75" s="347">
        <v>75</v>
      </c>
      <c r="H75" s="347"/>
      <c r="I75" s="347"/>
      <c r="J75" s="347"/>
      <c r="K75" s="347"/>
      <c r="L75" s="347"/>
      <c r="M75" s="347">
        <v>19</v>
      </c>
      <c r="N75" s="347">
        <v>303</v>
      </c>
      <c r="O75" s="347"/>
      <c r="P75" s="347"/>
      <c r="Q75" s="347"/>
      <c r="R75" s="347"/>
      <c r="S75" s="347"/>
      <c r="T75" s="347"/>
      <c r="U75" s="348"/>
      <c r="V75" s="347"/>
      <c r="W75" s="347"/>
      <c r="X75" s="347"/>
      <c r="Y75" s="347"/>
      <c r="Z75" s="347"/>
      <c r="AA75" s="349"/>
      <c r="AB75" s="347">
        <v>242</v>
      </c>
      <c r="AC75" s="347"/>
      <c r="AD75" s="347"/>
      <c r="AE75" s="347"/>
      <c r="AF75" s="347"/>
      <c r="AG75" s="347"/>
      <c r="AH75" s="347"/>
      <c r="AI75" s="347"/>
      <c r="AJ75" s="347"/>
      <c r="AK75" s="347"/>
      <c r="AL75" s="347"/>
      <c r="AM75" s="347"/>
      <c r="AN75" s="347">
        <v>1.1000000000000001</v>
      </c>
      <c r="AO75" s="347"/>
      <c r="AP75" s="347"/>
    </row>
    <row r="76" spans="1:42" ht="14.45" customHeight="1">
      <c r="A76" s="436"/>
      <c r="B76" s="445"/>
      <c r="C76" s="39"/>
      <c r="D76" s="42" t="s">
        <v>190</v>
      </c>
      <c r="E76" s="347">
        <v>60</v>
      </c>
      <c r="F76" s="347">
        <v>69</v>
      </c>
      <c r="G76" s="347">
        <v>223</v>
      </c>
      <c r="H76" s="347"/>
      <c r="I76" s="347"/>
      <c r="J76" s="347"/>
      <c r="K76" s="347"/>
      <c r="L76" s="347"/>
      <c r="M76" s="347">
        <v>276</v>
      </c>
      <c r="N76" s="347">
        <v>262</v>
      </c>
      <c r="O76" s="347"/>
      <c r="P76" s="347"/>
      <c r="Q76" s="347"/>
      <c r="R76" s="347"/>
      <c r="S76" s="347"/>
      <c r="T76" s="347"/>
      <c r="U76" s="348"/>
      <c r="V76" s="347"/>
      <c r="W76" s="347"/>
      <c r="X76" s="347"/>
      <c r="Y76" s="347"/>
      <c r="Z76" s="347"/>
      <c r="AA76" s="349"/>
      <c r="AB76" s="347">
        <v>212</v>
      </c>
      <c r="AC76" s="347"/>
      <c r="AD76" s="347"/>
      <c r="AE76" s="347"/>
      <c r="AF76" s="347"/>
      <c r="AG76" s="347"/>
      <c r="AH76" s="347"/>
      <c r="AI76" s="347"/>
      <c r="AJ76" s="347"/>
      <c r="AK76" s="347"/>
      <c r="AL76" s="347"/>
      <c r="AM76" s="347"/>
      <c r="AN76" s="347">
        <v>-1.9</v>
      </c>
      <c r="AO76" s="347"/>
      <c r="AP76" s="347"/>
    </row>
    <row r="77" spans="1:42" ht="17.25" customHeight="1">
      <c r="A77" s="436"/>
      <c r="B77" s="445"/>
      <c r="C77" s="39" t="s">
        <v>298</v>
      </c>
      <c r="D77" s="42" t="s">
        <v>191</v>
      </c>
      <c r="E77" s="347">
        <v>85</v>
      </c>
      <c r="F77" s="347">
        <v>81</v>
      </c>
      <c r="G77" s="347">
        <v>394</v>
      </c>
      <c r="H77" s="347"/>
      <c r="I77" s="347"/>
      <c r="J77" s="347"/>
      <c r="K77" s="347"/>
      <c r="L77" s="347"/>
      <c r="M77" s="347">
        <v>113</v>
      </c>
      <c r="N77" s="347">
        <v>125</v>
      </c>
      <c r="O77" s="347"/>
      <c r="P77" s="347"/>
      <c r="Q77" s="347"/>
      <c r="R77" s="347"/>
      <c r="S77" s="347"/>
      <c r="T77" s="347"/>
      <c r="U77" s="348"/>
      <c r="V77" s="347"/>
      <c r="W77" s="347"/>
      <c r="X77" s="347"/>
      <c r="Y77" s="347"/>
      <c r="Z77" s="347"/>
      <c r="AA77" s="349"/>
      <c r="AB77" s="347">
        <v>429</v>
      </c>
      <c r="AC77" s="347"/>
      <c r="AD77" s="347"/>
      <c r="AE77" s="347"/>
      <c r="AF77" s="347"/>
      <c r="AG77" s="347"/>
      <c r="AH77" s="347"/>
      <c r="AI77" s="347"/>
      <c r="AJ77" s="347"/>
      <c r="AK77" s="347"/>
      <c r="AL77" s="347"/>
      <c r="AM77" s="347"/>
      <c r="AN77" s="347">
        <v>-2</v>
      </c>
      <c r="AO77" s="347"/>
      <c r="AP77" s="347"/>
    </row>
    <row r="78" spans="1:42" ht="14.45" customHeight="1">
      <c r="A78" s="436"/>
      <c r="B78" s="445"/>
      <c r="C78" s="39" t="s">
        <v>291</v>
      </c>
      <c r="D78" s="42" t="s">
        <v>192</v>
      </c>
      <c r="E78" s="347">
        <v>60</v>
      </c>
      <c r="F78" s="347">
        <v>48</v>
      </c>
      <c r="G78" s="347">
        <v>469</v>
      </c>
      <c r="H78" s="347"/>
      <c r="I78" s="347"/>
      <c r="J78" s="347"/>
      <c r="K78" s="347"/>
      <c r="L78" s="347"/>
      <c r="M78" s="347">
        <v>470</v>
      </c>
      <c r="N78" s="347">
        <v>149</v>
      </c>
      <c r="O78" s="347"/>
      <c r="P78" s="347"/>
      <c r="Q78" s="347"/>
      <c r="R78" s="347"/>
      <c r="S78" s="347"/>
      <c r="T78" s="347"/>
      <c r="U78" s="348"/>
      <c r="V78" s="347"/>
      <c r="W78" s="347"/>
      <c r="X78" s="347"/>
      <c r="Y78" s="347"/>
      <c r="Z78" s="347"/>
      <c r="AA78" s="349"/>
      <c r="AB78" s="347">
        <v>53</v>
      </c>
      <c r="AC78" s="347"/>
      <c r="AD78" s="347"/>
      <c r="AE78" s="347"/>
      <c r="AF78" s="347"/>
      <c r="AG78" s="347"/>
      <c r="AH78" s="347"/>
      <c r="AI78" s="347"/>
      <c r="AJ78" s="347"/>
      <c r="AK78" s="347"/>
      <c r="AL78" s="347"/>
      <c r="AM78" s="347"/>
      <c r="AN78" s="347">
        <v>-3.2</v>
      </c>
      <c r="AO78" s="347"/>
      <c r="AP78" s="347"/>
    </row>
    <row r="79" spans="1:42" ht="14.45" customHeight="1">
      <c r="A79" s="436"/>
      <c r="B79" s="443"/>
      <c r="C79" s="39"/>
      <c r="D79" s="42" t="s">
        <v>123</v>
      </c>
      <c r="E79" s="347">
        <v>60</v>
      </c>
      <c r="F79" s="347">
        <v>60</v>
      </c>
      <c r="G79" s="347">
        <v>162</v>
      </c>
      <c r="H79" s="347"/>
      <c r="I79" s="347"/>
      <c r="J79" s="347"/>
      <c r="K79" s="347"/>
      <c r="L79" s="347"/>
      <c r="M79" s="347">
        <v>177</v>
      </c>
      <c r="N79" s="347">
        <v>317</v>
      </c>
      <c r="O79" s="347"/>
      <c r="P79" s="347"/>
      <c r="Q79" s="347"/>
      <c r="R79" s="347"/>
      <c r="S79" s="347"/>
      <c r="T79" s="347"/>
      <c r="U79" s="348"/>
      <c r="V79" s="347"/>
      <c r="W79" s="347"/>
      <c r="X79" s="347"/>
      <c r="Y79" s="347"/>
      <c r="Z79" s="347"/>
      <c r="AA79" s="349"/>
      <c r="AB79" s="347">
        <v>108</v>
      </c>
      <c r="AC79" s="347"/>
      <c r="AD79" s="347"/>
      <c r="AE79" s="347"/>
      <c r="AF79" s="347"/>
      <c r="AG79" s="347"/>
      <c r="AH79" s="347"/>
      <c r="AI79" s="347"/>
      <c r="AJ79" s="347"/>
      <c r="AK79" s="347"/>
      <c r="AL79" s="347"/>
      <c r="AM79" s="347"/>
      <c r="AN79" s="347">
        <v>6.1</v>
      </c>
      <c r="AO79" s="347"/>
      <c r="AP79" s="347"/>
    </row>
    <row r="80" spans="1:42" ht="14.45" customHeight="1">
      <c r="A80" s="436"/>
      <c r="B80" s="438" t="s">
        <v>40</v>
      </c>
      <c r="C80" s="439"/>
      <c r="D80" s="169" t="s">
        <v>114</v>
      </c>
      <c r="E80" s="343">
        <v>225</v>
      </c>
      <c r="F80" s="344">
        <v>176</v>
      </c>
      <c r="G80" s="344"/>
      <c r="H80" s="344"/>
      <c r="I80" s="344"/>
      <c r="J80" s="344"/>
      <c r="K80" s="343"/>
      <c r="L80" s="344"/>
      <c r="M80" s="343"/>
      <c r="N80" s="344"/>
      <c r="O80" s="344"/>
      <c r="P80" s="344"/>
      <c r="Q80" s="344"/>
      <c r="R80" s="344"/>
      <c r="S80" s="344"/>
      <c r="T80" s="344"/>
      <c r="U80" s="345"/>
      <c r="V80" s="344"/>
      <c r="W80" s="344"/>
      <c r="X80" s="344"/>
      <c r="Y80" s="344"/>
      <c r="Z80" s="344"/>
      <c r="AA80" s="346"/>
      <c r="AB80" s="344"/>
      <c r="AC80" s="344"/>
      <c r="AD80" s="344"/>
      <c r="AE80" s="344"/>
      <c r="AF80" s="344"/>
      <c r="AG80" s="344"/>
      <c r="AH80" s="344"/>
      <c r="AI80" s="344"/>
      <c r="AJ80" s="344"/>
      <c r="AK80" s="344"/>
      <c r="AL80" s="344"/>
      <c r="AM80" s="344"/>
      <c r="AN80" s="343"/>
      <c r="AO80" s="343"/>
      <c r="AP80" s="343"/>
    </row>
    <row r="81" spans="1:42" ht="14.45" customHeight="1">
      <c r="A81" s="436"/>
      <c r="B81" s="444" t="s">
        <v>40</v>
      </c>
      <c r="C81" s="39"/>
      <c r="D81" s="42" t="s">
        <v>195</v>
      </c>
      <c r="E81" s="347">
        <v>174</v>
      </c>
      <c r="F81" s="347">
        <v>1</v>
      </c>
      <c r="G81" s="347">
        <v>246</v>
      </c>
      <c r="H81" s="347"/>
      <c r="I81" s="347"/>
      <c r="J81" s="347"/>
      <c r="K81" s="347"/>
      <c r="L81" s="347"/>
      <c r="M81" s="347">
        <v>26</v>
      </c>
      <c r="N81" s="347">
        <v>375</v>
      </c>
      <c r="O81" s="347"/>
      <c r="P81" s="347"/>
      <c r="Q81" s="347"/>
      <c r="R81" s="347"/>
      <c r="S81" s="347"/>
      <c r="T81" s="347"/>
      <c r="U81" s="348"/>
      <c r="V81" s="347"/>
      <c r="W81" s="347"/>
      <c r="X81" s="347"/>
      <c r="Y81" s="347"/>
      <c r="Z81" s="347"/>
      <c r="AA81" s="349"/>
      <c r="AB81" s="347">
        <v>79</v>
      </c>
      <c r="AC81" s="347"/>
      <c r="AD81" s="347"/>
      <c r="AE81" s="347"/>
      <c r="AF81" s="347"/>
      <c r="AG81" s="347"/>
      <c r="AH81" s="347"/>
      <c r="AI81" s="347"/>
      <c r="AJ81" s="347"/>
      <c r="AK81" s="347"/>
      <c r="AL81" s="347"/>
      <c r="AM81" s="347"/>
      <c r="AN81" s="347">
        <v>-1.3</v>
      </c>
      <c r="AO81" s="347"/>
      <c r="AP81" s="347"/>
    </row>
    <row r="82" spans="1:42" ht="17.25" customHeight="1">
      <c r="A82" s="436"/>
      <c r="B82" s="445"/>
      <c r="C82" s="39" t="s">
        <v>285</v>
      </c>
      <c r="D82" s="42" t="s">
        <v>117</v>
      </c>
      <c r="E82" s="347">
        <v>25</v>
      </c>
      <c r="F82" s="347">
        <v>23</v>
      </c>
      <c r="G82" s="347">
        <v>41</v>
      </c>
      <c r="H82" s="347"/>
      <c r="I82" s="347"/>
      <c r="J82" s="347"/>
      <c r="K82" s="347"/>
      <c r="L82" s="347"/>
      <c r="M82" s="347">
        <v>423</v>
      </c>
      <c r="N82" s="347">
        <v>253</v>
      </c>
      <c r="O82" s="347"/>
      <c r="P82" s="347"/>
      <c r="Q82" s="347"/>
      <c r="R82" s="347"/>
      <c r="S82" s="347"/>
      <c r="T82" s="347"/>
      <c r="U82" s="348"/>
      <c r="V82" s="347"/>
      <c r="W82" s="347"/>
      <c r="X82" s="347"/>
      <c r="Y82" s="347"/>
      <c r="Z82" s="347"/>
      <c r="AA82" s="349"/>
      <c r="AB82" s="347">
        <v>426</v>
      </c>
      <c r="AC82" s="347"/>
      <c r="AD82" s="347"/>
      <c r="AE82" s="347"/>
      <c r="AF82" s="347"/>
      <c r="AG82" s="347"/>
      <c r="AH82" s="347"/>
      <c r="AI82" s="347"/>
      <c r="AJ82" s="347"/>
      <c r="AK82" s="347"/>
      <c r="AL82" s="347"/>
      <c r="AM82" s="347"/>
      <c r="AN82" s="347">
        <v>-4</v>
      </c>
      <c r="AO82" s="347"/>
      <c r="AP82" s="347"/>
    </row>
    <row r="83" spans="1:42" ht="14.45" customHeight="1">
      <c r="A83" s="436"/>
      <c r="B83" s="445"/>
      <c r="C83" s="39" t="s">
        <v>287</v>
      </c>
      <c r="D83" s="42" t="s">
        <v>196</v>
      </c>
      <c r="E83" s="347">
        <v>30</v>
      </c>
      <c r="F83" s="347">
        <v>24</v>
      </c>
      <c r="G83" s="347">
        <v>416</v>
      </c>
      <c r="H83" s="347"/>
      <c r="I83" s="347"/>
      <c r="J83" s="347"/>
      <c r="K83" s="347"/>
      <c r="L83" s="347"/>
      <c r="M83" s="347">
        <v>308</v>
      </c>
      <c r="N83" s="347">
        <v>208</v>
      </c>
      <c r="O83" s="347"/>
      <c r="P83" s="347"/>
      <c r="Q83" s="347"/>
      <c r="R83" s="347"/>
      <c r="S83" s="347"/>
      <c r="T83" s="347"/>
      <c r="U83" s="348"/>
      <c r="V83" s="347"/>
      <c r="W83" s="347"/>
      <c r="X83" s="347"/>
      <c r="Y83" s="347"/>
      <c r="Z83" s="347"/>
      <c r="AA83" s="349"/>
      <c r="AB83" s="347">
        <v>485</v>
      </c>
      <c r="AC83" s="347"/>
      <c r="AD83" s="347"/>
      <c r="AE83" s="347"/>
      <c r="AF83" s="347"/>
      <c r="AG83" s="347"/>
      <c r="AH83" s="347"/>
      <c r="AI83" s="347"/>
      <c r="AJ83" s="347"/>
      <c r="AK83" s="347"/>
      <c r="AL83" s="347"/>
      <c r="AM83" s="347"/>
      <c r="AN83" s="347">
        <v>2.2000000000000002</v>
      </c>
      <c r="AO83" s="347"/>
      <c r="AP83" s="347"/>
    </row>
    <row r="84" spans="1:42" ht="14.45" customHeight="1">
      <c r="A84" s="436"/>
      <c r="B84" s="445"/>
      <c r="C84" s="39"/>
      <c r="D84" s="42" t="s">
        <v>155</v>
      </c>
      <c r="E84" s="347">
        <v>30</v>
      </c>
      <c r="F84" s="347">
        <v>31</v>
      </c>
      <c r="G84" s="347">
        <v>131</v>
      </c>
      <c r="H84" s="347"/>
      <c r="I84" s="347"/>
      <c r="J84" s="347"/>
      <c r="K84" s="347"/>
      <c r="L84" s="347"/>
      <c r="M84" s="347">
        <v>72</v>
      </c>
      <c r="N84" s="347">
        <v>256</v>
      </c>
      <c r="O84" s="347"/>
      <c r="P84" s="347"/>
      <c r="Q84" s="347"/>
      <c r="R84" s="347"/>
      <c r="S84" s="347"/>
      <c r="T84" s="347"/>
      <c r="U84" s="348"/>
      <c r="V84" s="347"/>
      <c r="W84" s="347"/>
      <c r="X84" s="347"/>
      <c r="Y84" s="347"/>
      <c r="Z84" s="347"/>
      <c r="AA84" s="349"/>
      <c r="AB84" s="347">
        <v>330</v>
      </c>
      <c r="AC84" s="347"/>
      <c r="AD84" s="347"/>
      <c r="AE84" s="347"/>
      <c r="AF84" s="347"/>
      <c r="AG84" s="347"/>
      <c r="AH84" s="347"/>
      <c r="AI84" s="347"/>
      <c r="AJ84" s="347"/>
      <c r="AK84" s="347"/>
      <c r="AL84" s="347"/>
      <c r="AM84" s="347"/>
      <c r="AN84" s="347">
        <v>5.4</v>
      </c>
      <c r="AO84" s="347"/>
      <c r="AP84" s="347"/>
    </row>
    <row r="85" spans="1:42" ht="14.45" customHeight="1">
      <c r="A85" s="436"/>
      <c r="B85" s="445"/>
      <c r="C85" s="39" t="s">
        <v>290</v>
      </c>
      <c r="D85" s="42" t="s">
        <v>118</v>
      </c>
      <c r="E85" s="347">
        <v>30</v>
      </c>
      <c r="F85" s="347">
        <v>19</v>
      </c>
      <c r="G85" s="347">
        <v>157</v>
      </c>
      <c r="H85" s="347"/>
      <c r="I85" s="347"/>
      <c r="J85" s="347"/>
      <c r="K85" s="347"/>
      <c r="L85" s="347"/>
      <c r="M85" s="347">
        <v>330</v>
      </c>
      <c r="N85" s="347">
        <v>476</v>
      </c>
      <c r="O85" s="347"/>
      <c r="P85" s="347"/>
      <c r="Q85" s="347"/>
      <c r="R85" s="347"/>
      <c r="S85" s="347"/>
      <c r="T85" s="347"/>
      <c r="U85" s="348"/>
      <c r="V85" s="347"/>
      <c r="W85" s="347"/>
      <c r="X85" s="347"/>
      <c r="Y85" s="347"/>
      <c r="Z85" s="347"/>
      <c r="AA85" s="349"/>
      <c r="AB85" s="347">
        <v>456</v>
      </c>
      <c r="AC85" s="347"/>
      <c r="AD85" s="347"/>
      <c r="AE85" s="347"/>
      <c r="AF85" s="347"/>
      <c r="AG85" s="347"/>
      <c r="AH85" s="347"/>
      <c r="AI85" s="347"/>
      <c r="AJ85" s="347"/>
      <c r="AK85" s="347"/>
      <c r="AL85" s="347"/>
      <c r="AM85" s="347"/>
      <c r="AN85" s="347">
        <v>4.5</v>
      </c>
      <c r="AO85" s="347"/>
      <c r="AP85" s="347"/>
    </row>
    <row r="86" spans="1:42" ht="14.45" customHeight="1">
      <c r="A86" s="436"/>
      <c r="B86" s="445"/>
      <c r="C86" s="39" t="s">
        <v>299</v>
      </c>
      <c r="D86" s="42" t="s">
        <v>197</v>
      </c>
      <c r="E86" s="347">
        <v>50</v>
      </c>
      <c r="F86" s="347">
        <v>36</v>
      </c>
      <c r="G86" s="347">
        <v>387</v>
      </c>
      <c r="H86" s="347"/>
      <c r="I86" s="347"/>
      <c r="J86" s="347"/>
      <c r="K86" s="347"/>
      <c r="L86" s="347"/>
      <c r="M86" s="347">
        <v>419</v>
      </c>
      <c r="N86" s="347">
        <v>37</v>
      </c>
      <c r="O86" s="347"/>
      <c r="P86" s="347"/>
      <c r="Q86" s="347"/>
      <c r="R86" s="347"/>
      <c r="S86" s="347"/>
      <c r="T86" s="347"/>
      <c r="U86" s="348"/>
      <c r="V86" s="347"/>
      <c r="W86" s="347"/>
      <c r="X86" s="347"/>
      <c r="Y86" s="347"/>
      <c r="Z86" s="347"/>
      <c r="AA86" s="349"/>
      <c r="AB86" s="347">
        <v>63</v>
      </c>
      <c r="AC86" s="347"/>
      <c r="AD86" s="347"/>
      <c r="AE86" s="347"/>
      <c r="AF86" s="347"/>
      <c r="AG86" s="347"/>
      <c r="AH86" s="347"/>
      <c r="AI86" s="347"/>
      <c r="AJ86" s="347"/>
      <c r="AK86" s="347"/>
      <c r="AL86" s="347"/>
      <c r="AM86" s="347"/>
      <c r="AN86" s="347">
        <v>7.7</v>
      </c>
      <c r="AO86" s="347"/>
      <c r="AP86" s="347"/>
    </row>
    <row r="87" spans="1:42" ht="14.45" customHeight="1">
      <c r="A87" s="436"/>
      <c r="B87" s="445"/>
      <c r="C87" s="39" t="s">
        <v>290</v>
      </c>
      <c r="D87" s="42" t="s">
        <v>154</v>
      </c>
      <c r="E87" s="347">
        <v>30</v>
      </c>
      <c r="F87" s="347">
        <v>14</v>
      </c>
      <c r="G87" s="347">
        <v>184</v>
      </c>
      <c r="H87" s="347"/>
      <c r="I87" s="347"/>
      <c r="J87" s="347"/>
      <c r="K87" s="347"/>
      <c r="L87" s="347"/>
      <c r="M87" s="347">
        <v>137</v>
      </c>
      <c r="N87" s="347">
        <v>346</v>
      </c>
      <c r="O87" s="347"/>
      <c r="P87" s="347"/>
      <c r="Q87" s="347"/>
      <c r="R87" s="347"/>
      <c r="S87" s="347"/>
      <c r="T87" s="347"/>
      <c r="U87" s="348"/>
      <c r="V87" s="347"/>
      <c r="W87" s="347"/>
      <c r="X87" s="347"/>
      <c r="Y87" s="347"/>
      <c r="Z87" s="347"/>
      <c r="AA87" s="349"/>
      <c r="AB87" s="347">
        <v>449</v>
      </c>
      <c r="AC87" s="347"/>
      <c r="AD87" s="347"/>
      <c r="AE87" s="347"/>
      <c r="AF87" s="347"/>
      <c r="AG87" s="347"/>
      <c r="AH87" s="347"/>
      <c r="AI87" s="347"/>
      <c r="AJ87" s="347"/>
      <c r="AK87" s="347"/>
      <c r="AL87" s="347"/>
      <c r="AM87" s="347"/>
      <c r="AN87" s="347">
        <v>-0.5</v>
      </c>
      <c r="AO87" s="347"/>
      <c r="AP87" s="347"/>
    </row>
    <row r="88" spans="1:42" ht="17.25" customHeight="1">
      <c r="A88" s="436"/>
      <c r="B88" s="443"/>
      <c r="C88" s="39" t="s">
        <v>285</v>
      </c>
      <c r="D88" s="42" t="s">
        <v>198</v>
      </c>
      <c r="E88" s="347">
        <v>30</v>
      </c>
      <c r="F88" s="347">
        <v>28</v>
      </c>
      <c r="G88" s="347">
        <v>150</v>
      </c>
      <c r="H88" s="347"/>
      <c r="I88" s="347"/>
      <c r="J88" s="347"/>
      <c r="K88" s="347"/>
      <c r="L88" s="347"/>
      <c r="M88" s="347">
        <v>10</v>
      </c>
      <c r="N88" s="347">
        <v>233</v>
      </c>
      <c r="O88" s="347"/>
      <c r="P88" s="347"/>
      <c r="Q88" s="347"/>
      <c r="R88" s="347"/>
      <c r="S88" s="347"/>
      <c r="T88" s="347"/>
      <c r="U88" s="348"/>
      <c r="V88" s="347"/>
      <c r="W88" s="347"/>
      <c r="X88" s="347"/>
      <c r="Y88" s="347"/>
      <c r="Z88" s="347"/>
      <c r="AA88" s="349"/>
      <c r="AB88" s="347">
        <v>13</v>
      </c>
      <c r="AC88" s="347"/>
      <c r="AD88" s="347"/>
      <c r="AE88" s="347"/>
      <c r="AF88" s="347"/>
      <c r="AG88" s="347"/>
      <c r="AH88" s="347"/>
      <c r="AI88" s="347"/>
      <c r="AJ88" s="347"/>
      <c r="AK88" s="347"/>
      <c r="AL88" s="347"/>
      <c r="AM88" s="347"/>
      <c r="AN88" s="347">
        <v>5.5</v>
      </c>
      <c r="AO88" s="347"/>
      <c r="AP88" s="347"/>
    </row>
    <row r="89" spans="1:42" ht="14.45" customHeight="1">
      <c r="A89" s="436"/>
      <c r="B89" s="438" t="s">
        <v>41</v>
      </c>
      <c r="C89" s="439"/>
      <c r="D89" s="169" t="s">
        <v>114</v>
      </c>
      <c r="E89" s="343">
        <v>105</v>
      </c>
      <c r="F89" s="344">
        <v>70</v>
      </c>
      <c r="G89" s="344"/>
      <c r="H89" s="344"/>
      <c r="I89" s="344"/>
      <c r="J89" s="344"/>
      <c r="K89" s="343"/>
      <c r="L89" s="344"/>
      <c r="M89" s="343"/>
      <c r="N89" s="344"/>
      <c r="O89" s="344"/>
      <c r="P89" s="344"/>
      <c r="Q89" s="344"/>
      <c r="R89" s="344"/>
      <c r="S89" s="344"/>
      <c r="T89" s="344"/>
      <c r="U89" s="345"/>
      <c r="V89" s="344"/>
      <c r="W89" s="344"/>
      <c r="X89" s="344"/>
      <c r="Y89" s="344"/>
      <c r="Z89" s="344"/>
      <c r="AA89" s="346"/>
      <c r="AB89" s="344"/>
      <c r="AC89" s="344"/>
      <c r="AD89" s="344"/>
      <c r="AE89" s="344"/>
      <c r="AF89" s="344"/>
      <c r="AG89" s="344"/>
      <c r="AH89" s="344"/>
      <c r="AI89" s="344"/>
      <c r="AJ89" s="344"/>
      <c r="AK89" s="344"/>
      <c r="AL89" s="344"/>
      <c r="AM89" s="344"/>
      <c r="AN89" s="343"/>
      <c r="AO89" s="343"/>
      <c r="AP89" s="343"/>
    </row>
    <row r="90" spans="1:42" ht="14.45" customHeight="1">
      <c r="A90" s="436"/>
      <c r="B90" s="444" t="s">
        <v>41</v>
      </c>
      <c r="C90" s="39"/>
      <c r="D90" s="42" t="s">
        <v>122</v>
      </c>
      <c r="E90" s="347">
        <v>30</v>
      </c>
      <c r="F90" s="347">
        <v>34</v>
      </c>
      <c r="G90" s="347">
        <v>95</v>
      </c>
      <c r="H90" s="347"/>
      <c r="I90" s="347"/>
      <c r="J90" s="347"/>
      <c r="K90" s="347"/>
      <c r="L90" s="347"/>
      <c r="M90" s="347">
        <v>5</v>
      </c>
      <c r="N90" s="347">
        <v>53</v>
      </c>
      <c r="O90" s="347"/>
      <c r="P90" s="347"/>
      <c r="Q90" s="347"/>
      <c r="R90" s="347"/>
      <c r="S90" s="347"/>
      <c r="T90" s="347"/>
      <c r="U90" s="348"/>
      <c r="V90" s="347"/>
      <c r="W90" s="347"/>
      <c r="X90" s="347"/>
      <c r="Y90" s="347"/>
      <c r="Z90" s="347"/>
      <c r="AA90" s="349"/>
      <c r="AB90" s="347">
        <v>380</v>
      </c>
      <c r="AC90" s="347"/>
      <c r="AD90" s="347"/>
      <c r="AE90" s="347"/>
      <c r="AF90" s="347"/>
      <c r="AG90" s="347"/>
      <c r="AH90" s="347"/>
      <c r="AI90" s="347"/>
      <c r="AJ90" s="347"/>
      <c r="AK90" s="347"/>
      <c r="AL90" s="347"/>
      <c r="AM90" s="347"/>
      <c r="AN90" s="347">
        <v>7</v>
      </c>
      <c r="AO90" s="347"/>
      <c r="AP90" s="347"/>
    </row>
    <row r="91" spans="1:42" ht="14.45" customHeight="1">
      <c r="A91" s="437"/>
      <c r="B91" s="445"/>
      <c r="C91" s="39" t="s">
        <v>300</v>
      </c>
      <c r="D91" s="42" t="s">
        <v>201</v>
      </c>
      <c r="E91" s="347">
        <v>25</v>
      </c>
      <c r="F91" s="347">
        <v>18</v>
      </c>
      <c r="G91" s="347">
        <v>384</v>
      </c>
      <c r="H91" s="347"/>
      <c r="I91" s="347"/>
      <c r="J91" s="347"/>
      <c r="K91" s="347"/>
      <c r="L91" s="347"/>
      <c r="M91" s="347">
        <v>446</v>
      </c>
      <c r="N91" s="347">
        <v>56</v>
      </c>
      <c r="O91" s="347"/>
      <c r="P91" s="347"/>
      <c r="Q91" s="347"/>
      <c r="R91" s="347"/>
      <c r="S91" s="347"/>
      <c r="T91" s="347"/>
      <c r="U91" s="348"/>
      <c r="V91" s="347"/>
      <c r="W91" s="347"/>
      <c r="X91" s="347"/>
      <c r="Y91" s="347"/>
      <c r="Z91" s="347"/>
      <c r="AA91" s="349"/>
      <c r="AB91" s="347">
        <v>99</v>
      </c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>
        <v>-1.6</v>
      </c>
      <c r="AO91" s="347"/>
      <c r="AP91" s="347"/>
    </row>
    <row r="92" spans="1:42" ht="14.45" customHeight="1">
      <c r="A92" s="435" t="s">
        <v>296</v>
      </c>
      <c r="B92" s="445"/>
      <c r="C92" s="39" t="s">
        <v>285</v>
      </c>
      <c r="D92" s="42" t="s">
        <v>202</v>
      </c>
      <c r="E92" s="347">
        <v>25</v>
      </c>
      <c r="F92" s="347">
        <v>10</v>
      </c>
      <c r="G92" s="347">
        <v>232</v>
      </c>
      <c r="H92" s="347"/>
      <c r="I92" s="347"/>
      <c r="J92" s="347"/>
      <c r="K92" s="347"/>
      <c r="L92" s="347"/>
      <c r="M92" s="347">
        <v>370</v>
      </c>
      <c r="N92" s="347">
        <v>162</v>
      </c>
      <c r="O92" s="347"/>
      <c r="P92" s="347"/>
      <c r="Q92" s="347"/>
      <c r="R92" s="347"/>
      <c r="S92" s="347"/>
      <c r="T92" s="347"/>
      <c r="U92" s="348"/>
      <c r="V92" s="347"/>
      <c r="W92" s="347"/>
      <c r="X92" s="347"/>
      <c r="Y92" s="347"/>
      <c r="Z92" s="347"/>
      <c r="AA92" s="349"/>
      <c r="AB92" s="347">
        <v>314</v>
      </c>
      <c r="AC92" s="347"/>
      <c r="AD92" s="347"/>
      <c r="AE92" s="347"/>
      <c r="AF92" s="347"/>
      <c r="AG92" s="347"/>
      <c r="AH92" s="347"/>
      <c r="AI92" s="347"/>
      <c r="AJ92" s="347"/>
      <c r="AK92" s="347"/>
      <c r="AL92" s="347"/>
      <c r="AM92" s="347"/>
      <c r="AN92" s="347">
        <v>-1</v>
      </c>
      <c r="AO92" s="347"/>
      <c r="AP92" s="347"/>
    </row>
    <row r="93" spans="1:42" ht="17.25" customHeight="1">
      <c r="A93" s="437"/>
      <c r="B93" s="443"/>
      <c r="C93" s="39" t="s">
        <v>282</v>
      </c>
      <c r="D93" s="42" t="s">
        <v>203</v>
      </c>
      <c r="E93" s="347">
        <v>25</v>
      </c>
      <c r="F93" s="347">
        <v>8</v>
      </c>
      <c r="G93" s="347">
        <v>294</v>
      </c>
      <c r="H93" s="347"/>
      <c r="I93" s="347"/>
      <c r="J93" s="347"/>
      <c r="K93" s="347"/>
      <c r="L93" s="347"/>
      <c r="M93" s="347">
        <v>253</v>
      </c>
      <c r="N93" s="347">
        <v>434</v>
      </c>
      <c r="O93" s="347"/>
      <c r="P93" s="347"/>
      <c r="Q93" s="347"/>
      <c r="R93" s="347"/>
      <c r="S93" s="347"/>
      <c r="T93" s="347"/>
      <c r="U93" s="348"/>
      <c r="V93" s="347"/>
      <c r="W93" s="347"/>
      <c r="X93" s="347"/>
      <c r="Y93" s="347"/>
      <c r="Z93" s="347"/>
      <c r="AA93" s="349"/>
      <c r="AB93" s="347">
        <v>188</v>
      </c>
      <c r="AC93" s="347"/>
      <c r="AD93" s="347"/>
      <c r="AE93" s="347"/>
      <c r="AF93" s="347"/>
      <c r="AG93" s="347"/>
      <c r="AH93" s="347"/>
      <c r="AI93" s="347"/>
      <c r="AJ93" s="347"/>
      <c r="AK93" s="347"/>
      <c r="AL93" s="347"/>
      <c r="AM93" s="347"/>
      <c r="AN93" s="347">
        <v>-2.7</v>
      </c>
      <c r="AO93" s="347"/>
      <c r="AP93" s="347"/>
    </row>
    <row r="94" spans="1:42" ht="14.45" customHeight="1">
      <c r="A94" s="435" t="s">
        <v>301</v>
      </c>
      <c r="B94" s="440" t="s">
        <v>113</v>
      </c>
      <c r="C94" s="441"/>
      <c r="D94" s="439"/>
      <c r="E94" s="339">
        <v>775</v>
      </c>
      <c r="F94" s="340">
        <v>647</v>
      </c>
      <c r="G94" s="340">
        <v>489</v>
      </c>
      <c r="H94" s="340"/>
      <c r="I94" s="340"/>
      <c r="J94" s="340"/>
      <c r="K94" s="339"/>
      <c r="L94" s="340"/>
      <c r="M94" s="339">
        <v>64</v>
      </c>
      <c r="N94" s="340">
        <v>236</v>
      </c>
      <c r="O94" s="340"/>
      <c r="P94" s="340"/>
      <c r="Q94" s="340"/>
      <c r="R94" s="340"/>
      <c r="S94" s="340"/>
      <c r="T94" s="340"/>
      <c r="U94" s="341"/>
      <c r="V94" s="340"/>
      <c r="W94" s="340"/>
      <c r="X94" s="340"/>
      <c r="Y94" s="340"/>
      <c r="Z94" s="340"/>
      <c r="AA94" s="342"/>
      <c r="AB94" s="340">
        <v>350</v>
      </c>
      <c r="AC94" s="340"/>
      <c r="AD94" s="340"/>
      <c r="AE94" s="340"/>
      <c r="AF94" s="340"/>
      <c r="AG94" s="340"/>
      <c r="AH94" s="340"/>
      <c r="AI94" s="340"/>
      <c r="AJ94" s="340"/>
      <c r="AK94" s="340"/>
      <c r="AL94" s="340"/>
      <c r="AM94" s="340"/>
      <c r="AN94" s="339">
        <v>-3</v>
      </c>
      <c r="AO94" s="339"/>
      <c r="AP94" s="339"/>
    </row>
    <row r="95" spans="1:42" ht="14.45" customHeight="1">
      <c r="A95" s="436"/>
      <c r="B95" s="438" t="s">
        <v>43</v>
      </c>
      <c r="C95" s="439"/>
      <c r="D95" s="169" t="s">
        <v>114</v>
      </c>
      <c r="E95" s="343">
        <v>385</v>
      </c>
      <c r="F95" s="344">
        <v>369</v>
      </c>
      <c r="G95" s="344"/>
      <c r="H95" s="344"/>
      <c r="I95" s="344"/>
      <c r="J95" s="344"/>
      <c r="K95" s="343"/>
      <c r="L95" s="344"/>
      <c r="M95" s="343"/>
      <c r="N95" s="344"/>
      <c r="O95" s="344"/>
      <c r="P95" s="344"/>
      <c r="Q95" s="344"/>
      <c r="R95" s="344"/>
      <c r="S95" s="344"/>
      <c r="T95" s="344"/>
      <c r="U95" s="345"/>
      <c r="V95" s="344"/>
      <c r="W95" s="344"/>
      <c r="X95" s="344"/>
      <c r="Y95" s="344"/>
      <c r="Z95" s="344"/>
      <c r="AA95" s="346"/>
      <c r="AB95" s="344"/>
      <c r="AC95" s="344"/>
      <c r="AD95" s="344"/>
      <c r="AE95" s="344"/>
      <c r="AF95" s="344"/>
      <c r="AG95" s="344"/>
      <c r="AH95" s="344"/>
      <c r="AI95" s="344"/>
      <c r="AJ95" s="344"/>
      <c r="AK95" s="344"/>
      <c r="AL95" s="344"/>
      <c r="AM95" s="344"/>
      <c r="AN95" s="343"/>
      <c r="AO95" s="343"/>
      <c r="AP95" s="343"/>
    </row>
    <row r="96" spans="1:42" ht="14.45" customHeight="1">
      <c r="A96" s="436"/>
      <c r="B96" s="444" t="s">
        <v>43</v>
      </c>
      <c r="C96" s="39"/>
      <c r="D96" s="42" t="s">
        <v>205</v>
      </c>
      <c r="E96" s="347">
        <v>30</v>
      </c>
      <c r="F96" s="347">
        <v>24</v>
      </c>
      <c r="G96" s="347">
        <v>268</v>
      </c>
      <c r="H96" s="347"/>
      <c r="I96" s="347"/>
      <c r="J96" s="347"/>
      <c r="K96" s="347"/>
      <c r="L96" s="347"/>
      <c r="M96" s="347">
        <v>359</v>
      </c>
      <c r="N96" s="347">
        <v>474</v>
      </c>
      <c r="O96" s="347"/>
      <c r="P96" s="347"/>
      <c r="Q96" s="347"/>
      <c r="R96" s="347"/>
      <c r="S96" s="347"/>
      <c r="T96" s="347"/>
      <c r="U96" s="348"/>
      <c r="V96" s="347"/>
      <c r="W96" s="347"/>
      <c r="X96" s="347"/>
      <c r="Y96" s="347"/>
      <c r="Z96" s="347"/>
      <c r="AA96" s="349"/>
      <c r="AB96" s="347">
        <v>364</v>
      </c>
      <c r="AC96" s="347"/>
      <c r="AD96" s="347"/>
      <c r="AE96" s="347"/>
      <c r="AF96" s="347"/>
      <c r="AG96" s="347"/>
      <c r="AH96" s="347"/>
      <c r="AI96" s="347"/>
      <c r="AJ96" s="347"/>
      <c r="AK96" s="347"/>
      <c r="AL96" s="347"/>
      <c r="AM96" s="347"/>
      <c r="AN96" s="347">
        <v>3.2</v>
      </c>
      <c r="AO96" s="347"/>
      <c r="AP96" s="347"/>
    </row>
    <row r="97" spans="1:42" ht="14.45" customHeight="1">
      <c r="A97" s="436"/>
      <c r="B97" s="445"/>
      <c r="C97" s="39"/>
      <c r="D97" s="42" t="s">
        <v>206</v>
      </c>
      <c r="E97" s="347">
        <v>30</v>
      </c>
      <c r="F97" s="347">
        <v>37</v>
      </c>
      <c r="G97" s="347">
        <v>40</v>
      </c>
      <c r="H97" s="347"/>
      <c r="I97" s="347"/>
      <c r="J97" s="347"/>
      <c r="K97" s="347"/>
      <c r="L97" s="347"/>
      <c r="M97" s="347">
        <v>437</v>
      </c>
      <c r="N97" s="347">
        <v>373</v>
      </c>
      <c r="O97" s="347"/>
      <c r="P97" s="347"/>
      <c r="Q97" s="347"/>
      <c r="R97" s="347"/>
      <c r="S97" s="347"/>
      <c r="T97" s="347"/>
      <c r="U97" s="348"/>
      <c r="V97" s="347"/>
      <c r="W97" s="347"/>
      <c r="X97" s="347"/>
      <c r="Y97" s="347"/>
      <c r="Z97" s="347"/>
      <c r="AA97" s="349"/>
      <c r="AB97" s="347">
        <v>271</v>
      </c>
      <c r="AC97" s="347"/>
      <c r="AD97" s="347"/>
      <c r="AE97" s="347"/>
      <c r="AF97" s="347"/>
      <c r="AG97" s="347"/>
      <c r="AH97" s="347"/>
      <c r="AI97" s="347"/>
      <c r="AJ97" s="347"/>
      <c r="AK97" s="347"/>
      <c r="AL97" s="347"/>
      <c r="AM97" s="347"/>
      <c r="AN97" s="347">
        <v>0.9</v>
      </c>
      <c r="AO97" s="347"/>
      <c r="AP97" s="347"/>
    </row>
    <row r="98" spans="1:42" ht="17.25" customHeight="1">
      <c r="A98" s="436"/>
      <c r="B98" s="445"/>
      <c r="C98" s="39"/>
      <c r="D98" s="42" t="s">
        <v>207</v>
      </c>
      <c r="E98" s="347">
        <v>60</v>
      </c>
      <c r="F98" s="347">
        <v>58</v>
      </c>
      <c r="G98" s="347">
        <v>336</v>
      </c>
      <c r="H98" s="347"/>
      <c r="I98" s="347"/>
      <c r="J98" s="347"/>
      <c r="K98" s="347"/>
      <c r="L98" s="347"/>
      <c r="M98" s="347">
        <v>281</v>
      </c>
      <c r="N98" s="347">
        <v>295</v>
      </c>
      <c r="O98" s="347"/>
      <c r="P98" s="347"/>
      <c r="Q98" s="347"/>
      <c r="R98" s="347"/>
      <c r="S98" s="347"/>
      <c r="T98" s="347"/>
      <c r="U98" s="348"/>
      <c r="V98" s="347"/>
      <c r="W98" s="347"/>
      <c r="X98" s="347"/>
      <c r="Y98" s="347"/>
      <c r="Z98" s="347"/>
      <c r="AA98" s="349"/>
      <c r="AB98" s="347">
        <v>336</v>
      </c>
      <c r="AC98" s="347"/>
      <c r="AD98" s="347"/>
      <c r="AE98" s="347"/>
      <c r="AF98" s="347"/>
      <c r="AG98" s="347"/>
      <c r="AH98" s="347"/>
      <c r="AI98" s="347"/>
      <c r="AJ98" s="347"/>
      <c r="AK98" s="347"/>
      <c r="AL98" s="347"/>
      <c r="AM98" s="347"/>
      <c r="AN98" s="347">
        <v>3.6</v>
      </c>
      <c r="AO98" s="347"/>
      <c r="AP98" s="347"/>
    </row>
    <row r="99" spans="1:42" ht="14.45" customHeight="1">
      <c r="A99" s="436"/>
      <c r="B99" s="445"/>
      <c r="C99" s="39"/>
      <c r="D99" s="42" t="s">
        <v>116</v>
      </c>
      <c r="E99" s="347">
        <v>30</v>
      </c>
      <c r="F99" s="347">
        <v>30</v>
      </c>
      <c r="G99" s="347">
        <v>39</v>
      </c>
      <c r="H99" s="347"/>
      <c r="I99" s="347"/>
      <c r="J99" s="347"/>
      <c r="K99" s="347"/>
      <c r="L99" s="347"/>
      <c r="M99" s="347">
        <v>275</v>
      </c>
      <c r="N99" s="347">
        <v>441</v>
      </c>
      <c r="O99" s="347"/>
      <c r="P99" s="347"/>
      <c r="Q99" s="347"/>
      <c r="R99" s="347"/>
      <c r="S99" s="347"/>
      <c r="T99" s="347"/>
      <c r="U99" s="348"/>
      <c r="V99" s="347"/>
      <c r="W99" s="347"/>
      <c r="X99" s="347"/>
      <c r="Y99" s="347"/>
      <c r="Z99" s="347"/>
      <c r="AA99" s="349"/>
      <c r="AB99" s="347">
        <v>61</v>
      </c>
      <c r="AC99" s="347"/>
      <c r="AD99" s="347"/>
      <c r="AE99" s="347"/>
      <c r="AF99" s="347"/>
      <c r="AG99" s="347"/>
      <c r="AH99" s="347"/>
      <c r="AI99" s="347"/>
      <c r="AJ99" s="347"/>
      <c r="AK99" s="347"/>
      <c r="AL99" s="347"/>
      <c r="AM99" s="347"/>
      <c r="AN99" s="347">
        <v>7.3</v>
      </c>
      <c r="AO99" s="347"/>
      <c r="AP99" s="347"/>
    </row>
    <row r="100" spans="1:42" ht="14.45" customHeight="1">
      <c r="A100" s="436"/>
      <c r="B100" s="445"/>
      <c r="C100" s="39"/>
      <c r="D100" s="42" t="s">
        <v>156</v>
      </c>
      <c r="E100" s="347">
        <v>25</v>
      </c>
      <c r="F100" s="347">
        <v>28</v>
      </c>
      <c r="G100" s="347">
        <v>173</v>
      </c>
      <c r="H100" s="347"/>
      <c r="I100" s="347"/>
      <c r="J100" s="347"/>
      <c r="K100" s="347"/>
      <c r="L100" s="347"/>
      <c r="M100" s="347">
        <v>239</v>
      </c>
      <c r="N100" s="347">
        <v>77</v>
      </c>
      <c r="O100" s="347"/>
      <c r="P100" s="347"/>
      <c r="Q100" s="347"/>
      <c r="R100" s="347"/>
      <c r="S100" s="347"/>
      <c r="T100" s="347"/>
      <c r="U100" s="348"/>
      <c r="V100" s="347"/>
      <c r="W100" s="347"/>
      <c r="X100" s="347"/>
      <c r="Y100" s="347"/>
      <c r="Z100" s="347"/>
      <c r="AA100" s="349"/>
      <c r="AB100" s="347">
        <v>419</v>
      </c>
      <c r="AC100" s="347"/>
      <c r="AD100" s="347"/>
      <c r="AE100" s="347"/>
      <c r="AF100" s="347"/>
      <c r="AG100" s="347"/>
      <c r="AH100" s="347"/>
      <c r="AI100" s="347"/>
      <c r="AJ100" s="347"/>
      <c r="AK100" s="347"/>
      <c r="AL100" s="347"/>
      <c r="AM100" s="347"/>
      <c r="AN100" s="347">
        <v>6.1</v>
      </c>
      <c r="AO100" s="347"/>
      <c r="AP100" s="347"/>
    </row>
    <row r="101" spans="1:42" ht="14.45" customHeight="1">
      <c r="A101" s="436"/>
      <c r="B101" s="445"/>
      <c r="C101" s="39"/>
      <c r="D101" s="42" t="s">
        <v>122</v>
      </c>
      <c r="E101" s="347">
        <v>60</v>
      </c>
      <c r="F101" s="347">
        <v>70</v>
      </c>
      <c r="G101" s="347">
        <v>23</v>
      </c>
      <c r="H101" s="347"/>
      <c r="I101" s="347"/>
      <c r="J101" s="347"/>
      <c r="K101" s="347"/>
      <c r="L101" s="347"/>
      <c r="M101" s="347">
        <v>103</v>
      </c>
      <c r="N101" s="347">
        <v>8</v>
      </c>
      <c r="O101" s="347"/>
      <c r="P101" s="347"/>
      <c r="Q101" s="347"/>
      <c r="R101" s="347"/>
      <c r="S101" s="347"/>
      <c r="T101" s="347"/>
      <c r="U101" s="348"/>
      <c r="V101" s="347"/>
      <c r="W101" s="347"/>
      <c r="X101" s="347"/>
      <c r="Y101" s="347"/>
      <c r="Z101" s="347"/>
      <c r="AA101" s="349"/>
      <c r="AB101" s="347">
        <v>30</v>
      </c>
      <c r="AC101" s="347"/>
      <c r="AD101" s="347"/>
      <c r="AE101" s="347"/>
      <c r="AF101" s="347"/>
      <c r="AG101" s="347"/>
      <c r="AH101" s="347"/>
      <c r="AI101" s="347"/>
      <c r="AJ101" s="347"/>
      <c r="AK101" s="347"/>
      <c r="AL101" s="347"/>
      <c r="AM101" s="347"/>
      <c r="AN101" s="347">
        <v>-4.5999999999999996</v>
      </c>
      <c r="AO101" s="347"/>
      <c r="AP101" s="347"/>
    </row>
    <row r="102" spans="1:42" ht="14.45" customHeight="1">
      <c r="A102" s="436"/>
      <c r="B102" s="445"/>
      <c r="C102" s="39" t="s">
        <v>285</v>
      </c>
      <c r="D102" s="42" t="s">
        <v>153</v>
      </c>
      <c r="E102" s="347">
        <v>60</v>
      </c>
      <c r="F102" s="347">
        <v>58</v>
      </c>
      <c r="G102" s="347">
        <v>361</v>
      </c>
      <c r="H102" s="347"/>
      <c r="I102" s="347"/>
      <c r="J102" s="347"/>
      <c r="K102" s="347"/>
      <c r="L102" s="347"/>
      <c r="M102" s="347">
        <v>467</v>
      </c>
      <c r="N102" s="347">
        <v>296</v>
      </c>
      <c r="O102" s="347"/>
      <c r="P102" s="347"/>
      <c r="Q102" s="347"/>
      <c r="R102" s="347"/>
      <c r="S102" s="347"/>
      <c r="T102" s="347"/>
      <c r="U102" s="348"/>
      <c r="V102" s="347"/>
      <c r="W102" s="347"/>
      <c r="X102" s="347"/>
      <c r="Y102" s="347"/>
      <c r="Z102" s="347"/>
      <c r="AA102" s="349"/>
      <c r="AB102" s="347">
        <v>236</v>
      </c>
      <c r="AC102" s="347"/>
      <c r="AD102" s="347"/>
      <c r="AE102" s="347"/>
      <c r="AF102" s="347"/>
      <c r="AG102" s="347"/>
      <c r="AH102" s="347"/>
      <c r="AI102" s="347"/>
      <c r="AJ102" s="347"/>
      <c r="AK102" s="347"/>
      <c r="AL102" s="347"/>
      <c r="AM102" s="347"/>
      <c r="AN102" s="347">
        <v>-2.5</v>
      </c>
      <c r="AO102" s="347"/>
      <c r="AP102" s="347"/>
    </row>
    <row r="103" spans="1:42" ht="17.25" customHeight="1">
      <c r="A103" s="436"/>
      <c r="B103" s="445"/>
      <c r="C103" s="39" t="s">
        <v>297</v>
      </c>
      <c r="D103" s="42" t="s">
        <v>187</v>
      </c>
      <c r="E103" s="347">
        <v>30</v>
      </c>
      <c r="F103" s="347">
        <v>13</v>
      </c>
      <c r="G103" s="347">
        <v>83</v>
      </c>
      <c r="H103" s="347"/>
      <c r="I103" s="347"/>
      <c r="J103" s="347"/>
      <c r="K103" s="347"/>
      <c r="L103" s="347"/>
      <c r="M103" s="347">
        <v>89</v>
      </c>
      <c r="N103" s="347">
        <v>488</v>
      </c>
      <c r="O103" s="347"/>
      <c r="P103" s="347"/>
      <c r="Q103" s="347"/>
      <c r="R103" s="347"/>
      <c r="S103" s="347"/>
      <c r="T103" s="347"/>
      <c r="U103" s="348"/>
      <c r="V103" s="347"/>
      <c r="W103" s="347"/>
      <c r="X103" s="347"/>
      <c r="Y103" s="347"/>
      <c r="Z103" s="347"/>
      <c r="AA103" s="349"/>
      <c r="AB103" s="347">
        <v>272</v>
      </c>
      <c r="AC103" s="347"/>
      <c r="AD103" s="347"/>
      <c r="AE103" s="347"/>
      <c r="AF103" s="347"/>
      <c r="AG103" s="347"/>
      <c r="AH103" s="347"/>
      <c r="AI103" s="347"/>
      <c r="AJ103" s="347"/>
      <c r="AK103" s="347"/>
      <c r="AL103" s="347"/>
      <c r="AM103" s="347"/>
      <c r="AN103" s="347">
        <v>0.5</v>
      </c>
      <c r="AO103" s="347"/>
      <c r="AP103" s="347"/>
    </row>
    <row r="104" spans="1:42" ht="14.45" customHeight="1">
      <c r="A104" s="436"/>
      <c r="B104" s="443"/>
      <c r="C104" s="39" t="s">
        <v>282</v>
      </c>
      <c r="D104" s="42" t="s">
        <v>208</v>
      </c>
      <c r="E104" s="347">
        <v>60</v>
      </c>
      <c r="F104" s="347">
        <v>51</v>
      </c>
      <c r="G104" s="347">
        <v>131</v>
      </c>
      <c r="H104" s="347"/>
      <c r="I104" s="347"/>
      <c r="J104" s="347"/>
      <c r="K104" s="347"/>
      <c r="L104" s="347"/>
      <c r="M104" s="347">
        <v>492</v>
      </c>
      <c r="N104" s="347">
        <v>285</v>
      </c>
      <c r="O104" s="347"/>
      <c r="P104" s="347"/>
      <c r="Q104" s="347"/>
      <c r="R104" s="347"/>
      <c r="S104" s="347"/>
      <c r="T104" s="347"/>
      <c r="U104" s="348"/>
      <c r="V104" s="347"/>
      <c r="W104" s="347"/>
      <c r="X104" s="347"/>
      <c r="Y104" s="347"/>
      <c r="Z104" s="347"/>
      <c r="AA104" s="349"/>
      <c r="AB104" s="347">
        <v>261</v>
      </c>
      <c r="AC104" s="347"/>
      <c r="AD104" s="347"/>
      <c r="AE104" s="347"/>
      <c r="AF104" s="347"/>
      <c r="AG104" s="347"/>
      <c r="AH104" s="347"/>
      <c r="AI104" s="347"/>
      <c r="AJ104" s="347"/>
      <c r="AK104" s="347"/>
      <c r="AL104" s="347"/>
      <c r="AM104" s="347"/>
      <c r="AN104" s="347">
        <v>6.7</v>
      </c>
      <c r="AO104" s="347"/>
      <c r="AP104" s="347"/>
    </row>
    <row r="105" spans="1:42" ht="14.45" customHeight="1">
      <c r="A105" s="436"/>
      <c r="B105" s="438" t="s">
        <v>44</v>
      </c>
      <c r="C105" s="439"/>
      <c r="D105" s="169" t="s">
        <v>114</v>
      </c>
      <c r="E105" s="343">
        <v>240</v>
      </c>
      <c r="F105" s="344">
        <v>181</v>
      </c>
      <c r="G105" s="344"/>
      <c r="H105" s="344"/>
      <c r="I105" s="344"/>
      <c r="J105" s="344"/>
      <c r="K105" s="343"/>
      <c r="L105" s="344"/>
      <c r="M105" s="343"/>
      <c r="N105" s="344"/>
      <c r="O105" s="344"/>
      <c r="P105" s="344"/>
      <c r="Q105" s="344"/>
      <c r="R105" s="344"/>
      <c r="S105" s="344"/>
      <c r="T105" s="344"/>
      <c r="U105" s="345"/>
      <c r="V105" s="344"/>
      <c r="W105" s="344"/>
      <c r="X105" s="344"/>
      <c r="Y105" s="344"/>
      <c r="Z105" s="344"/>
      <c r="AA105" s="346"/>
      <c r="AB105" s="344"/>
      <c r="AC105" s="344"/>
      <c r="AD105" s="344"/>
      <c r="AE105" s="344"/>
      <c r="AF105" s="344"/>
      <c r="AG105" s="344"/>
      <c r="AH105" s="344"/>
      <c r="AI105" s="344"/>
      <c r="AJ105" s="344"/>
      <c r="AK105" s="344"/>
      <c r="AL105" s="344"/>
      <c r="AM105" s="344"/>
      <c r="AN105" s="343"/>
      <c r="AO105" s="343"/>
      <c r="AP105" s="343"/>
    </row>
    <row r="106" spans="1:42" ht="14.45" customHeight="1">
      <c r="A106" s="436"/>
      <c r="B106" s="444" t="s">
        <v>44</v>
      </c>
      <c r="C106" s="39"/>
      <c r="D106" s="42" t="s">
        <v>155</v>
      </c>
      <c r="E106" s="347">
        <v>60</v>
      </c>
      <c r="F106" s="347">
        <v>46</v>
      </c>
      <c r="G106" s="347">
        <v>313</v>
      </c>
      <c r="H106" s="347"/>
      <c r="I106" s="347"/>
      <c r="J106" s="347"/>
      <c r="K106" s="347"/>
      <c r="L106" s="347"/>
      <c r="M106" s="347">
        <v>125</v>
      </c>
      <c r="N106" s="347">
        <v>404</v>
      </c>
      <c r="O106" s="347"/>
      <c r="P106" s="347"/>
      <c r="Q106" s="347"/>
      <c r="R106" s="347"/>
      <c r="S106" s="347"/>
      <c r="T106" s="347"/>
      <c r="U106" s="348"/>
      <c r="V106" s="347"/>
      <c r="W106" s="347"/>
      <c r="X106" s="347"/>
      <c r="Y106" s="347"/>
      <c r="Z106" s="347"/>
      <c r="AA106" s="349"/>
      <c r="AB106" s="347">
        <v>36</v>
      </c>
      <c r="AC106" s="347"/>
      <c r="AD106" s="347"/>
      <c r="AE106" s="347"/>
      <c r="AF106" s="347"/>
      <c r="AG106" s="347"/>
      <c r="AH106" s="347"/>
      <c r="AI106" s="347"/>
      <c r="AJ106" s="347"/>
      <c r="AK106" s="347"/>
      <c r="AL106" s="347"/>
      <c r="AM106" s="347"/>
      <c r="AN106" s="347">
        <v>-0.6</v>
      </c>
      <c r="AO106" s="347"/>
      <c r="AP106" s="347"/>
    </row>
    <row r="107" spans="1:42" ht="14.45" customHeight="1">
      <c r="A107" s="436"/>
      <c r="B107" s="445"/>
      <c r="C107" s="39"/>
      <c r="D107" s="42" t="s">
        <v>143</v>
      </c>
      <c r="E107" s="347">
        <v>60</v>
      </c>
      <c r="F107" s="347">
        <v>68</v>
      </c>
      <c r="G107" s="347">
        <v>58</v>
      </c>
      <c r="H107" s="347"/>
      <c r="I107" s="347"/>
      <c r="J107" s="347"/>
      <c r="K107" s="347"/>
      <c r="L107" s="347"/>
      <c r="M107" s="347">
        <v>213</v>
      </c>
      <c r="N107" s="347">
        <v>482</v>
      </c>
      <c r="O107" s="347"/>
      <c r="P107" s="347"/>
      <c r="Q107" s="347"/>
      <c r="R107" s="347"/>
      <c r="S107" s="347"/>
      <c r="T107" s="347"/>
      <c r="U107" s="348"/>
      <c r="V107" s="347"/>
      <c r="W107" s="347"/>
      <c r="X107" s="347"/>
      <c r="Y107" s="347"/>
      <c r="Z107" s="347"/>
      <c r="AA107" s="349"/>
      <c r="AB107" s="347">
        <v>378</v>
      </c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>
        <v>-2.8</v>
      </c>
      <c r="AO107" s="347"/>
      <c r="AP107" s="347"/>
    </row>
    <row r="108" spans="1:42" ht="17.25" customHeight="1">
      <c r="A108" s="436"/>
      <c r="B108" s="445"/>
      <c r="C108" s="39" t="s">
        <v>285</v>
      </c>
      <c r="D108" s="42" t="s">
        <v>153</v>
      </c>
      <c r="E108" s="347">
        <v>60</v>
      </c>
      <c r="F108" s="347">
        <v>32</v>
      </c>
      <c r="G108" s="347">
        <v>109</v>
      </c>
      <c r="H108" s="347"/>
      <c r="I108" s="347"/>
      <c r="J108" s="347"/>
      <c r="K108" s="347"/>
      <c r="L108" s="347"/>
      <c r="M108" s="347">
        <v>11</v>
      </c>
      <c r="N108" s="347">
        <v>471</v>
      </c>
      <c r="O108" s="347"/>
      <c r="P108" s="347"/>
      <c r="Q108" s="347"/>
      <c r="R108" s="347"/>
      <c r="S108" s="347"/>
      <c r="T108" s="347"/>
      <c r="U108" s="348"/>
      <c r="V108" s="347"/>
      <c r="W108" s="347"/>
      <c r="X108" s="347"/>
      <c r="Y108" s="347"/>
      <c r="Z108" s="347"/>
      <c r="AA108" s="349"/>
      <c r="AB108" s="347">
        <v>182</v>
      </c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>
        <v>4.2</v>
      </c>
      <c r="AO108" s="347"/>
      <c r="AP108" s="347"/>
    </row>
    <row r="109" spans="1:42" ht="14.45" customHeight="1">
      <c r="A109" s="436"/>
      <c r="B109" s="445"/>
      <c r="C109" s="39" t="s">
        <v>282</v>
      </c>
      <c r="D109" s="42" t="s">
        <v>212</v>
      </c>
      <c r="E109" s="347">
        <v>30</v>
      </c>
      <c r="F109" s="347">
        <v>18</v>
      </c>
      <c r="G109" s="347">
        <v>99</v>
      </c>
      <c r="H109" s="347"/>
      <c r="I109" s="347"/>
      <c r="J109" s="347"/>
      <c r="K109" s="347"/>
      <c r="L109" s="347"/>
      <c r="M109" s="347">
        <v>369</v>
      </c>
      <c r="N109" s="347">
        <v>307</v>
      </c>
      <c r="O109" s="347"/>
      <c r="P109" s="347"/>
      <c r="Q109" s="347"/>
      <c r="R109" s="347"/>
      <c r="S109" s="347"/>
      <c r="T109" s="347"/>
      <c r="U109" s="348"/>
      <c r="V109" s="347"/>
      <c r="W109" s="347"/>
      <c r="X109" s="347"/>
      <c r="Y109" s="347"/>
      <c r="Z109" s="347"/>
      <c r="AA109" s="349"/>
      <c r="AB109" s="347">
        <v>398</v>
      </c>
      <c r="AC109" s="347"/>
      <c r="AD109" s="347"/>
      <c r="AE109" s="347"/>
      <c r="AF109" s="347"/>
      <c r="AG109" s="347"/>
      <c r="AH109" s="347"/>
      <c r="AI109" s="347"/>
      <c r="AJ109" s="347"/>
      <c r="AK109" s="347"/>
      <c r="AL109" s="347"/>
      <c r="AM109" s="347"/>
      <c r="AN109" s="347">
        <v>1.7</v>
      </c>
      <c r="AO109" s="347"/>
      <c r="AP109" s="347"/>
    </row>
    <row r="110" spans="1:42" ht="14.45" customHeight="1">
      <c r="A110" s="436"/>
      <c r="B110" s="443"/>
      <c r="C110" s="39"/>
      <c r="D110" s="42" t="s">
        <v>213</v>
      </c>
      <c r="E110" s="347">
        <v>30</v>
      </c>
      <c r="F110" s="347">
        <v>17</v>
      </c>
      <c r="G110" s="347">
        <v>313</v>
      </c>
      <c r="H110" s="347"/>
      <c r="I110" s="347"/>
      <c r="J110" s="347"/>
      <c r="K110" s="347"/>
      <c r="L110" s="347"/>
      <c r="M110" s="347">
        <v>299</v>
      </c>
      <c r="N110" s="347">
        <v>75</v>
      </c>
      <c r="O110" s="347"/>
      <c r="P110" s="347"/>
      <c r="Q110" s="347"/>
      <c r="R110" s="347"/>
      <c r="S110" s="347"/>
      <c r="T110" s="347"/>
      <c r="U110" s="348"/>
      <c r="V110" s="347"/>
      <c r="W110" s="347"/>
      <c r="X110" s="347"/>
      <c r="Y110" s="347"/>
      <c r="Z110" s="347"/>
      <c r="AA110" s="349"/>
      <c r="AB110" s="347">
        <v>482</v>
      </c>
      <c r="AC110" s="347"/>
      <c r="AD110" s="347"/>
      <c r="AE110" s="347"/>
      <c r="AF110" s="347"/>
      <c r="AG110" s="347"/>
      <c r="AH110" s="347"/>
      <c r="AI110" s="347"/>
      <c r="AJ110" s="347"/>
      <c r="AK110" s="347"/>
      <c r="AL110" s="347"/>
      <c r="AM110" s="347"/>
      <c r="AN110" s="347">
        <v>5.3</v>
      </c>
      <c r="AO110" s="347"/>
      <c r="AP110" s="347"/>
    </row>
    <row r="111" spans="1:42" ht="14.45" customHeight="1">
      <c r="A111" s="436"/>
      <c r="B111" s="438" t="s">
        <v>45</v>
      </c>
      <c r="C111" s="439"/>
      <c r="D111" s="169" t="s">
        <v>114</v>
      </c>
      <c r="E111" s="343">
        <v>100</v>
      </c>
      <c r="F111" s="344">
        <v>53</v>
      </c>
      <c r="G111" s="344"/>
      <c r="H111" s="344"/>
      <c r="I111" s="344"/>
      <c r="J111" s="344"/>
      <c r="K111" s="343"/>
      <c r="L111" s="344"/>
      <c r="M111" s="343"/>
      <c r="N111" s="344"/>
      <c r="O111" s="344"/>
      <c r="P111" s="344"/>
      <c r="Q111" s="344"/>
      <c r="R111" s="344"/>
      <c r="S111" s="344"/>
      <c r="T111" s="344"/>
      <c r="U111" s="345"/>
      <c r="V111" s="344"/>
      <c r="W111" s="344"/>
      <c r="X111" s="344"/>
      <c r="Y111" s="344"/>
      <c r="Z111" s="344"/>
      <c r="AA111" s="346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3"/>
      <c r="AO111" s="343"/>
      <c r="AP111" s="343"/>
    </row>
    <row r="112" spans="1:42" ht="14.45" customHeight="1">
      <c r="A112" s="436"/>
      <c r="B112" s="444" t="s">
        <v>45</v>
      </c>
      <c r="C112" s="39" t="s">
        <v>300</v>
      </c>
      <c r="D112" s="42" t="s">
        <v>155</v>
      </c>
      <c r="E112" s="347">
        <v>25</v>
      </c>
      <c r="F112" s="347">
        <v>8</v>
      </c>
      <c r="G112" s="347">
        <v>370</v>
      </c>
      <c r="H112" s="347"/>
      <c r="I112" s="347"/>
      <c r="J112" s="347"/>
      <c r="K112" s="347"/>
      <c r="L112" s="347"/>
      <c r="M112" s="347">
        <v>448</v>
      </c>
      <c r="N112" s="347">
        <v>320</v>
      </c>
      <c r="O112" s="347"/>
      <c r="P112" s="347"/>
      <c r="Q112" s="347"/>
      <c r="R112" s="347"/>
      <c r="S112" s="347"/>
      <c r="T112" s="347"/>
      <c r="U112" s="348"/>
      <c r="V112" s="347"/>
      <c r="W112" s="347"/>
      <c r="X112" s="347"/>
      <c r="Y112" s="347"/>
      <c r="Z112" s="347"/>
      <c r="AA112" s="349"/>
      <c r="AB112" s="347">
        <v>356</v>
      </c>
      <c r="AC112" s="347"/>
      <c r="AD112" s="347"/>
      <c r="AE112" s="347"/>
      <c r="AF112" s="347"/>
      <c r="AG112" s="347"/>
      <c r="AH112" s="347"/>
      <c r="AI112" s="347"/>
      <c r="AJ112" s="347"/>
      <c r="AK112" s="347"/>
      <c r="AL112" s="347"/>
      <c r="AM112" s="347"/>
      <c r="AN112" s="347">
        <v>5.9</v>
      </c>
      <c r="AO112" s="347"/>
      <c r="AP112" s="347"/>
    </row>
    <row r="113" spans="1:42" ht="17.25" customHeight="1">
      <c r="A113" s="436"/>
      <c r="B113" s="445"/>
      <c r="C113" s="39"/>
      <c r="D113" s="42" t="s">
        <v>180</v>
      </c>
      <c r="E113" s="347">
        <v>25</v>
      </c>
      <c r="F113" s="347">
        <v>13</v>
      </c>
      <c r="G113" s="347">
        <v>422</v>
      </c>
      <c r="H113" s="347"/>
      <c r="I113" s="347"/>
      <c r="J113" s="347"/>
      <c r="K113" s="347"/>
      <c r="L113" s="347"/>
      <c r="M113" s="347">
        <v>236</v>
      </c>
      <c r="N113" s="347">
        <v>21</v>
      </c>
      <c r="O113" s="347"/>
      <c r="P113" s="347"/>
      <c r="Q113" s="347"/>
      <c r="R113" s="347"/>
      <c r="S113" s="347"/>
      <c r="T113" s="347"/>
      <c r="U113" s="348"/>
      <c r="V113" s="347"/>
      <c r="W113" s="347"/>
      <c r="X113" s="347"/>
      <c r="Y113" s="347"/>
      <c r="Z113" s="347"/>
      <c r="AA113" s="349"/>
      <c r="AB113" s="347">
        <v>491</v>
      </c>
      <c r="AC113" s="347"/>
      <c r="AD113" s="347"/>
      <c r="AE113" s="347"/>
      <c r="AF113" s="347"/>
      <c r="AG113" s="347"/>
      <c r="AH113" s="347"/>
      <c r="AI113" s="347"/>
      <c r="AJ113" s="347"/>
      <c r="AK113" s="347"/>
      <c r="AL113" s="347"/>
      <c r="AM113" s="347"/>
      <c r="AN113" s="347">
        <v>-1.7</v>
      </c>
      <c r="AO113" s="347"/>
      <c r="AP113" s="347"/>
    </row>
    <row r="114" spans="1:42" ht="14.45" customHeight="1">
      <c r="A114" s="436"/>
      <c r="B114" s="445"/>
      <c r="C114" s="39" t="s">
        <v>298</v>
      </c>
      <c r="D114" s="42" t="s">
        <v>122</v>
      </c>
      <c r="E114" s="347">
        <v>25</v>
      </c>
      <c r="F114" s="347">
        <v>21</v>
      </c>
      <c r="G114" s="347">
        <v>369</v>
      </c>
      <c r="H114" s="347"/>
      <c r="I114" s="347"/>
      <c r="J114" s="347"/>
      <c r="K114" s="347"/>
      <c r="L114" s="347"/>
      <c r="M114" s="347">
        <v>30</v>
      </c>
      <c r="N114" s="347">
        <v>85</v>
      </c>
      <c r="O114" s="347"/>
      <c r="P114" s="347"/>
      <c r="Q114" s="347"/>
      <c r="R114" s="347"/>
      <c r="S114" s="347"/>
      <c r="T114" s="347"/>
      <c r="U114" s="348"/>
      <c r="V114" s="347"/>
      <c r="W114" s="347"/>
      <c r="X114" s="347"/>
      <c r="Y114" s="347"/>
      <c r="Z114" s="347"/>
      <c r="AA114" s="349"/>
      <c r="AB114" s="347">
        <v>48</v>
      </c>
      <c r="AC114" s="347"/>
      <c r="AD114" s="347"/>
      <c r="AE114" s="347"/>
      <c r="AF114" s="347"/>
      <c r="AG114" s="347"/>
      <c r="AH114" s="347"/>
      <c r="AI114" s="347"/>
      <c r="AJ114" s="347"/>
      <c r="AK114" s="347"/>
      <c r="AL114" s="347"/>
      <c r="AM114" s="347"/>
      <c r="AN114" s="347">
        <v>6.2</v>
      </c>
      <c r="AO114" s="347"/>
      <c r="AP114" s="347"/>
    </row>
    <row r="115" spans="1:42" ht="14.45" customHeight="1">
      <c r="A115" s="436"/>
      <c r="B115" s="443"/>
      <c r="C115" s="39" t="s">
        <v>285</v>
      </c>
      <c r="D115" s="42" t="s">
        <v>153</v>
      </c>
      <c r="E115" s="347">
        <v>25</v>
      </c>
      <c r="F115" s="347">
        <v>11</v>
      </c>
      <c r="G115" s="347">
        <v>254</v>
      </c>
      <c r="H115" s="347"/>
      <c r="I115" s="347"/>
      <c r="J115" s="347"/>
      <c r="K115" s="347"/>
      <c r="L115" s="347"/>
      <c r="M115" s="347">
        <v>248</v>
      </c>
      <c r="N115" s="347">
        <v>101</v>
      </c>
      <c r="O115" s="347"/>
      <c r="P115" s="347"/>
      <c r="Q115" s="347"/>
      <c r="R115" s="347"/>
      <c r="S115" s="347"/>
      <c r="T115" s="347"/>
      <c r="U115" s="348"/>
      <c r="V115" s="347"/>
      <c r="W115" s="347"/>
      <c r="X115" s="347"/>
      <c r="Y115" s="347"/>
      <c r="Z115" s="347"/>
      <c r="AA115" s="349"/>
      <c r="AB115" s="347">
        <v>425</v>
      </c>
      <c r="AC115" s="347"/>
      <c r="AD115" s="347"/>
      <c r="AE115" s="347"/>
      <c r="AF115" s="347"/>
      <c r="AG115" s="347"/>
      <c r="AH115" s="347"/>
      <c r="AI115" s="347"/>
      <c r="AJ115" s="347"/>
      <c r="AK115" s="347"/>
      <c r="AL115" s="347"/>
      <c r="AM115" s="347"/>
      <c r="AN115" s="347">
        <v>-3</v>
      </c>
      <c r="AO115" s="347"/>
      <c r="AP115" s="347"/>
    </row>
    <row r="116" spans="1:42" ht="14.45" customHeight="1">
      <c r="A116" s="436"/>
      <c r="B116" s="438" t="s">
        <v>46</v>
      </c>
      <c r="C116" s="439"/>
      <c r="D116" s="169" t="s">
        <v>114</v>
      </c>
      <c r="E116" s="343">
        <v>50</v>
      </c>
      <c r="F116" s="344">
        <v>44</v>
      </c>
      <c r="G116" s="344"/>
      <c r="H116" s="344"/>
      <c r="I116" s="344"/>
      <c r="J116" s="344"/>
      <c r="K116" s="343"/>
      <c r="L116" s="344"/>
      <c r="M116" s="343"/>
      <c r="N116" s="344"/>
      <c r="O116" s="344"/>
      <c r="P116" s="344"/>
      <c r="Q116" s="344"/>
      <c r="R116" s="344"/>
      <c r="S116" s="344"/>
      <c r="T116" s="344"/>
      <c r="U116" s="345"/>
      <c r="V116" s="344"/>
      <c r="W116" s="344"/>
      <c r="X116" s="344"/>
      <c r="Y116" s="344"/>
      <c r="Z116" s="344"/>
      <c r="AA116" s="346"/>
      <c r="AB116" s="344"/>
      <c r="AC116" s="344"/>
      <c r="AD116" s="344"/>
      <c r="AE116" s="344"/>
      <c r="AF116" s="344"/>
      <c r="AG116" s="344"/>
      <c r="AH116" s="344"/>
      <c r="AI116" s="344"/>
      <c r="AJ116" s="344"/>
      <c r="AK116" s="344"/>
      <c r="AL116" s="344"/>
      <c r="AM116" s="344"/>
      <c r="AN116" s="343"/>
      <c r="AO116" s="343"/>
      <c r="AP116" s="343"/>
    </row>
    <row r="117" spans="1:42" ht="14.45" customHeight="1">
      <c r="A117" s="436"/>
      <c r="B117" s="444" t="s">
        <v>46</v>
      </c>
      <c r="C117" s="39"/>
      <c r="D117" s="42" t="s">
        <v>123</v>
      </c>
      <c r="E117" s="347">
        <v>25</v>
      </c>
      <c r="F117" s="347">
        <v>25</v>
      </c>
      <c r="G117" s="347">
        <v>28</v>
      </c>
      <c r="H117" s="347"/>
      <c r="I117" s="347"/>
      <c r="J117" s="347"/>
      <c r="K117" s="347"/>
      <c r="L117" s="347"/>
      <c r="M117" s="347">
        <v>416</v>
      </c>
      <c r="N117" s="347">
        <v>173</v>
      </c>
      <c r="O117" s="347"/>
      <c r="P117" s="347"/>
      <c r="Q117" s="347"/>
      <c r="R117" s="347"/>
      <c r="S117" s="347"/>
      <c r="T117" s="347"/>
      <c r="U117" s="348"/>
      <c r="V117" s="347"/>
      <c r="W117" s="347"/>
      <c r="X117" s="347"/>
      <c r="Y117" s="347"/>
      <c r="Z117" s="347"/>
      <c r="AA117" s="349"/>
      <c r="AB117" s="347">
        <v>242</v>
      </c>
      <c r="AC117" s="347"/>
      <c r="AD117" s="347"/>
      <c r="AE117" s="347"/>
      <c r="AF117" s="347"/>
      <c r="AG117" s="347"/>
      <c r="AH117" s="347"/>
      <c r="AI117" s="347"/>
      <c r="AJ117" s="347"/>
      <c r="AK117" s="347"/>
      <c r="AL117" s="347"/>
      <c r="AM117" s="347"/>
      <c r="AN117" s="347">
        <v>4.0999999999999996</v>
      </c>
      <c r="AO117" s="347"/>
      <c r="AP117" s="347"/>
    </row>
    <row r="118" spans="1:42" ht="14.45" customHeight="1">
      <c r="A118" s="437"/>
      <c r="B118" s="443"/>
      <c r="C118" s="39"/>
      <c r="D118" s="42" t="s">
        <v>216</v>
      </c>
      <c r="E118" s="347">
        <v>25</v>
      </c>
      <c r="F118" s="347">
        <v>19</v>
      </c>
      <c r="G118" s="347">
        <v>359</v>
      </c>
      <c r="H118" s="347"/>
      <c r="I118" s="347"/>
      <c r="J118" s="347"/>
      <c r="K118" s="347"/>
      <c r="L118" s="347"/>
      <c r="M118" s="347">
        <v>61</v>
      </c>
      <c r="N118" s="347">
        <v>328</v>
      </c>
      <c r="O118" s="347"/>
      <c r="P118" s="347"/>
      <c r="Q118" s="347"/>
      <c r="R118" s="347"/>
      <c r="S118" s="347"/>
      <c r="T118" s="347"/>
      <c r="U118" s="348"/>
      <c r="V118" s="347"/>
      <c r="W118" s="347"/>
      <c r="X118" s="347"/>
      <c r="Y118" s="347"/>
      <c r="Z118" s="347"/>
      <c r="AA118" s="349"/>
      <c r="AB118" s="347">
        <v>98</v>
      </c>
      <c r="AC118" s="347"/>
      <c r="AD118" s="347"/>
      <c r="AE118" s="347"/>
      <c r="AF118" s="347"/>
      <c r="AG118" s="347"/>
      <c r="AH118" s="347"/>
      <c r="AI118" s="347"/>
      <c r="AJ118" s="347"/>
      <c r="AK118" s="347"/>
      <c r="AL118" s="347"/>
      <c r="AM118" s="347"/>
      <c r="AN118" s="347">
        <v>6.1</v>
      </c>
      <c r="AO118" s="347"/>
      <c r="AP118" s="347"/>
    </row>
    <row r="119" spans="1:42" ht="14.45" customHeight="1">
      <c r="A119" s="435" t="s">
        <v>302</v>
      </c>
      <c r="B119" s="440" t="s">
        <v>113</v>
      </c>
      <c r="C119" s="441"/>
      <c r="D119" s="439"/>
      <c r="E119" s="339">
        <v>680</v>
      </c>
      <c r="F119" s="340">
        <v>477</v>
      </c>
      <c r="G119" s="340">
        <v>272</v>
      </c>
      <c r="H119" s="340"/>
      <c r="I119" s="340"/>
      <c r="J119" s="340"/>
      <c r="K119" s="339"/>
      <c r="L119" s="340"/>
      <c r="M119" s="339">
        <v>349</v>
      </c>
      <c r="N119" s="340">
        <v>138</v>
      </c>
      <c r="O119" s="340"/>
      <c r="P119" s="340"/>
      <c r="Q119" s="340"/>
      <c r="R119" s="340"/>
      <c r="S119" s="340"/>
      <c r="T119" s="340"/>
      <c r="U119" s="341"/>
      <c r="V119" s="340"/>
      <c r="W119" s="340"/>
      <c r="X119" s="340"/>
      <c r="Y119" s="340"/>
      <c r="Z119" s="340"/>
      <c r="AA119" s="342"/>
      <c r="AB119" s="340">
        <v>435</v>
      </c>
      <c r="AC119" s="340"/>
      <c r="AD119" s="340"/>
      <c r="AE119" s="340"/>
      <c r="AF119" s="340"/>
      <c r="AG119" s="340"/>
      <c r="AH119" s="340"/>
      <c r="AI119" s="340"/>
      <c r="AJ119" s="340"/>
      <c r="AK119" s="340"/>
      <c r="AL119" s="340"/>
      <c r="AM119" s="340"/>
      <c r="AN119" s="339">
        <v>8</v>
      </c>
      <c r="AO119" s="339"/>
      <c r="AP119" s="339"/>
    </row>
    <row r="120" spans="1:42" ht="14.45" customHeight="1">
      <c r="A120" s="436"/>
      <c r="B120" s="438" t="s">
        <v>49</v>
      </c>
      <c r="C120" s="439"/>
      <c r="D120" s="169" t="s">
        <v>114</v>
      </c>
      <c r="E120" s="343">
        <v>270</v>
      </c>
      <c r="F120" s="344">
        <v>211</v>
      </c>
      <c r="G120" s="344"/>
      <c r="H120" s="344"/>
      <c r="I120" s="344"/>
      <c r="J120" s="344"/>
      <c r="K120" s="343"/>
      <c r="L120" s="344"/>
      <c r="M120" s="343"/>
      <c r="N120" s="344"/>
      <c r="O120" s="344"/>
      <c r="P120" s="344"/>
      <c r="Q120" s="344"/>
      <c r="R120" s="344"/>
      <c r="S120" s="344"/>
      <c r="T120" s="344"/>
      <c r="U120" s="345"/>
      <c r="V120" s="344"/>
      <c r="W120" s="344"/>
      <c r="X120" s="344"/>
      <c r="Y120" s="344"/>
      <c r="Z120" s="344"/>
      <c r="AA120" s="346"/>
      <c r="AB120" s="344"/>
      <c r="AC120" s="344"/>
      <c r="AD120" s="344"/>
      <c r="AE120" s="344"/>
      <c r="AF120" s="344"/>
      <c r="AG120" s="344"/>
      <c r="AH120" s="344"/>
      <c r="AI120" s="344"/>
      <c r="AJ120" s="344"/>
      <c r="AK120" s="344"/>
      <c r="AL120" s="344"/>
      <c r="AM120" s="344"/>
      <c r="AN120" s="343"/>
      <c r="AO120" s="343"/>
      <c r="AP120" s="343"/>
    </row>
    <row r="121" spans="1:42" ht="14.45" customHeight="1">
      <c r="A121" s="436"/>
      <c r="B121" s="444" t="s">
        <v>49</v>
      </c>
      <c r="C121" s="39"/>
      <c r="D121" s="42" t="s">
        <v>155</v>
      </c>
      <c r="E121" s="347">
        <v>60</v>
      </c>
      <c r="F121" s="347">
        <v>41</v>
      </c>
      <c r="G121" s="347">
        <v>54</v>
      </c>
      <c r="H121" s="347"/>
      <c r="I121" s="347"/>
      <c r="J121" s="347"/>
      <c r="K121" s="347"/>
      <c r="L121" s="347"/>
      <c r="M121" s="347">
        <v>406</v>
      </c>
      <c r="N121" s="347">
        <v>384</v>
      </c>
      <c r="O121" s="347"/>
      <c r="P121" s="347"/>
      <c r="Q121" s="347"/>
      <c r="R121" s="347"/>
      <c r="S121" s="347"/>
      <c r="T121" s="347"/>
      <c r="U121" s="348"/>
      <c r="V121" s="347"/>
      <c r="W121" s="347"/>
      <c r="X121" s="347"/>
      <c r="Y121" s="347"/>
      <c r="Z121" s="347"/>
      <c r="AA121" s="349"/>
      <c r="AB121" s="347">
        <v>361</v>
      </c>
      <c r="AC121" s="347"/>
      <c r="AD121" s="347"/>
      <c r="AE121" s="347"/>
      <c r="AF121" s="347"/>
      <c r="AG121" s="347"/>
      <c r="AH121" s="347"/>
      <c r="AI121" s="347"/>
      <c r="AJ121" s="347"/>
      <c r="AK121" s="347"/>
      <c r="AL121" s="347"/>
      <c r="AM121" s="347"/>
      <c r="AN121" s="347">
        <v>0.1</v>
      </c>
      <c r="AO121" s="347"/>
      <c r="AP121" s="347"/>
    </row>
    <row r="122" spans="1:42" ht="17.25" customHeight="1">
      <c r="A122" s="437"/>
      <c r="B122" s="445"/>
      <c r="C122" s="39"/>
      <c r="D122" s="42" t="s">
        <v>143</v>
      </c>
      <c r="E122" s="347">
        <v>60</v>
      </c>
      <c r="F122" s="347">
        <v>56</v>
      </c>
      <c r="G122" s="347">
        <v>296</v>
      </c>
      <c r="H122" s="347"/>
      <c r="I122" s="347"/>
      <c r="J122" s="347"/>
      <c r="K122" s="347"/>
      <c r="L122" s="347"/>
      <c r="M122" s="347">
        <v>200</v>
      </c>
      <c r="N122" s="347">
        <v>360</v>
      </c>
      <c r="O122" s="347"/>
      <c r="P122" s="347"/>
      <c r="Q122" s="347"/>
      <c r="R122" s="347"/>
      <c r="S122" s="347"/>
      <c r="T122" s="347"/>
      <c r="U122" s="348"/>
      <c r="V122" s="347"/>
      <c r="W122" s="347"/>
      <c r="X122" s="347"/>
      <c r="Y122" s="347"/>
      <c r="Z122" s="347"/>
      <c r="AA122" s="349"/>
      <c r="AB122" s="347">
        <v>364</v>
      </c>
      <c r="AC122" s="347"/>
      <c r="AD122" s="347"/>
      <c r="AE122" s="347"/>
      <c r="AF122" s="347"/>
      <c r="AG122" s="347"/>
      <c r="AH122" s="347"/>
      <c r="AI122" s="347"/>
      <c r="AJ122" s="347"/>
      <c r="AK122" s="347"/>
      <c r="AL122" s="347"/>
      <c r="AM122" s="347"/>
      <c r="AN122" s="347">
        <v>2.5</v>
      </c>
      <c r="AO122" s="347"/>
      <c r="AP122" s="347"/>
    </row>
    <row r="123" spans="1:42" ht="14.45" customHeight="1">
      <c r="A123" s="454" t="s">
        <v>302</v>
      </c>
      <c r="B123" s="445"/>
      <c r="C123" s="39"/>
      <c r="D123" s="42" t="s">
        <v>218</v>
      </c>
      <c r="E123" s="347">
        <v>30</v>
      </c>
      <c r="F123" s="347">
        <v>29</v>
      </c>
      <c r="G123" s="347">
        <v>136</v>
      </c>
      <c r="H123" s="347"/>
      <c r="I123" s="347"/>
      <c r="J123" s="347"/>
      <c r="K123" s="347"/>
      <c r="L123" s="347"/>
      <c r="M123" s="347">
        <v>341</v>
      </c>
      <c r="N123" s="347">
        <v>447</v>
      </c>
      <c r="O123" s="347"/>
      <c r="P123" s="347"/>
      <c r="Q123" s="347"/>
      <c r="R123" s="347"/>
      <c r="S123" s="347"/>
      <c r="T123" s="347"/>
      <c r="U123" s="348"/>
      <c r="V123" s="347"/>
      <c r="W123" s="347"/>
      <c r="X123" s="347"/>
      <c r="Y123" s="347"/>
      <c r="Z123" s="347"/>
      <c r="AA123" s="349"/>
      <c r="AB123" s="347">
        <v>214</v>
      </c>
      <c r="AC123" s="347"/>
      <c r="AD123" s="347"/>
      <c r="AE123" s="347"/>
      <c r="AF123" s="347"/>
      <c r="AG123" s="347"/>
      <c r="AH123" s="347"/>
      <c r="AI123" s="347"/>
      <c r="AJ123" s="347"/>
      <c r="AK123" s="347"/>
      <c r="AL123" s="347"/>
      <c r="AM123" s="347"/>
      <c r="AN123" s="347">
        <v>-3.7</v>
      </c>
      <c r="AO123" s="347"/>
      <c r="AP123" s="347"/>
    </row>
    <row r="124" spans="1:42" ht="14.45" customHeight="1">
      <c r="A124" s="436"/>
      <c r="B124" s="445"/>
      <c r="C124" s="39"/>
      <c r="D124" s="42" t="s">
        <v>156</v>
      </c>
      <c r="E124" s="347">
        <v>30</v>
      </c>
      <c r="F124" s="347">
        <v>29</v>
      </c>
      <c r="G124" s="347">
        <v>204</v>
      </c>
      <c r="H124" s="347"/>
      <c r="I124" s="347"/>
      <c r="J124" s="347"/>
      <c r="K124" s="347"/>
      <c r="L124" s="347"/>
      <c r="M124" s="347">
        <v>453</v>
      </c>
      <c r="N124" s="347">
        <v>279</v>
      </c>
      <c r="O124" s="347"/>
      <c r="P124" s="347"/>
      <c r="Q124" s="347"/>
      <c r="R124" s="347"/>
      <c r="S124" s="347"/>
      <c r="T124" s="347"/>
      <c r="U124" s="348"/>
      <c r="V124" s="347"/>
      <c r="W124" s="347"/>
      <c r="X124" s="347"/>
      <c r="Y124" s="347"/>
      <c r="Z124" s="347"/>
      <c r="AA124" s="349"/>
      <c r="AB124" s="347">
        <v>155</v>
      </c>
      <c r="AC124" s="347"/>
      <c r="AD124" s="347"/>
      <c r="AE124" s="347"/>
      <c r="AF124" s="347"/>
      <c r="AG124" s="347"/>
      <c r="AH124" s="347"/>
      <c r="AI124" s="347"/>
      <c r="AJ124" s="347"/>
      <c r="AK124" s="347"/>
      <c r="AL124" s="347"/>
      <c r="AM124" s="347"/>
      <c r="AN124" s="347">
        <v>7.4</v>
      </c>
      <c r="AO124" s="347"/>
      <c r="AP124" s="347"/>
    </row>
    <row r="125" spans="1:42" ht="14.45" customHeight="1">
      <c r="A125" s="436"/>
      <c r="B125" s="443"/>
      <c r="C125" s="39" t="s">
        <v>292</v>
      </c>
      <c r="D125" s="42" t="s">
        <v>219</v>
      </c>
      <c r="E125" s="347">
        <v>30</v>
      </c>
      <c r="F125" s="347">
        <v>17</v>
      </c>
      <c r="G125" s="347">
        <v>55</v>
      </c>
      <c r="H125" s="347"/>
      <c r="I125" s="347"/>
      <c r="J125" s="347"/>
      <c r="K125" s="347"/>
      <c r="L125" s="347"/>
      <c r="M125" s="347">
        <v>29</v>
      </c>
      <c r="N125" s="347">
        <v>427</v>
      </c>
      <c r="O125" s="347"/>
      <c r="P125" s="347"/>
      <c r="Q125" s="347"/>
      <c r="R125" s="347"/>
      <c r="S125" s="347"/>
      <c r="T125" s="347"/>
      <c r="U125" s="348"/>
      <c r="V125" s="347"/>
      <c r="W125" s="347"/>
      <c r="X125" s="347"/>
      <c r="Y125" s="347"/>
      <c r="Z125" s="347"/>
      <c r="AA125" s="349"/>
      <c r="AB125" s="347">
        <v>88</v>
      </c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>
        <v>-4.5999999999999996</v>
      </c>
      <c r="AO125" s="347"/>
      <c r="AP125" s="347"/>
    </row>
    <row r="126" spans="1:42" ht="14.45" customHeight="1">
      <c r="A126" s="436"/>
      <c r="B126" s="31" t="s">
        <v>49</v>
      </c>
      <c r="C126" s="39" t="s">
        <v>285</v>
      </c>
      <c r="D126" s="42" t="s">
        <v>147</v>
      </c>
      <c r="E126" s="347">
        <v>60</v>
      </c>
      <c r="F126" s="347">
        <v>39</v>
      </c>
      <c r="G126" s="347">
        <v>493</v>
      </c>
      <c r="H126" s="347"/>
      <c r="I126" s="347"/>
      <c r="J126" s="347"/>
      <c r="K126" s="347"/>
      <c r="L126" s="347"/>
      <c r="M126" s="347">
        <v>417</v>
      </c>
      <c r="N126" s="347">
        <v>424</v>
      </c>
      <c r="O126" s="347"/>
      <c r="P126" s="347"/>
      <c r="Q126" s="347"/>
      <c r="R126" s="347"/>
      <c r="S126" s="347"/>
      <c r="T126" s="347"/>
      <c r="U126" s="348"/>
      <c r="V126" s="347"/>
      <c r="W126" s="347"/>
      <c r="X126" s="347"/>
      <c r="Y126" s="347"/>
      <c r="Z126" s="347"/>
      <c r="AA126" s="349"/>
      <c r="AB126" s="347">
        <v>95</v>
      </c>
      <c r="AC126" s="347"/>
      <c r="AD126" s="347"/>
      <c r="AE126" s="347"/>
      <c r="AF126" s="347"/>
      <c r="AG126" s="347"/>
      <c r="AH126" s="347"/>
      <c r="AI126" s="347"/>
      <c r="AJ126" s="347"/>
      <c r="AK126" s="347"/>
      <c r="AL126" s="347"/>
      <c r="AM126" s="347"/>
      <c r="AN126" s="347">
        <v>6.7</v>
      </c>
      <c r="AO126" s="347"/>
      <c r="AP126" s="347"/>
    </row>
    <row r="127" spans="1:42" ht="17.25" customHeight="1">
      <c r="A127" s="436"/>
      <c r="B127" s="438" t="s">
        <v>50</v>
      </c>
      <c r="C127" s="439"/>
      <c r="D127" s="169" t="s">
        <v>114</v>
      </c>
      <c r="E127" s="343">
        <v>235</v>
      </c>
      <c r="F127" s="344">
        <v>189</v>
      </c>
      <c r="G127" s="344"/>
      <c r="H127" s="344"/>
      <c r="I127" s="344"/>
      <c r="J127" s="344"/>
      <c r="K127" s="343"/>
      <c r="L127" s="344"/>
      <c r="M127" s="343"/>
      <c r="N127" s="344"/>
      <c r="O127" s="344"/>
      <c r="P127" s="344"/>
      <c r="Q127" s="344"/>
      <c r="R127" s="344"/>
      <c r="S127" s="344"/>
      <c r="T127" s="344"/>
      <c r="U127" s="345"/>
      <c r="V127" s="344"/>
      <c r="W127" s="344"/>
      <c r="X127" s="344"/>
      <c r="Y127" s="344"/>
      <c r="Z127" s="344"/>
      <c r="AA127" s="346"/>
      <c r="AB127" s="344"/>
      <c r="AC127" s="344"/>
      <c r="AD127" s="344"/>
      <c r="AE127" s="344"/>
      <c r="AF127" s="344"/>
      <c r="AG127" s="344"/>
      <c r="AH127" s="344"/>
      <c r="AI127" s="344"/>
      <c r="AJ127" s="344"/>
      <c r="AK127" s="344"/>
      <c r="AL127" s="344"/>
      <c r="AM127" s="344"/>
      <c r="AN127" s="343"/>
      <c r="AO127" s="343"/>
      <c r="AP127" s="343"/>
    </row>
    <row r="128" spans="1:42" ht="14.45" customHeight="1">
      <c r="A128" s="436"/>
      <c r="B128" s="444" t="s">
        <v>50</v>
      </c>
      <c r="C128" s="39"/>
      <c r="D128" s="42" t="s">
        <v>223</v>
      </c>
      <c r="E128" s="347">
        <v>60</v>
      </c>
      <c r="F128" s="347">
        <v>44</v>
      </c>
      <c r="G128" s="347">
        <v>314</v>
      </c>
      <c r="H128" s="347"/>
      <c r="I128" s="347"/>
      <c r="J128" s="347"/>
      <c r="K128" s="347"/>
      <c r="L128" s="347"/>
      <c r="M128" s="347">
        <v>93</v>
      </c>
      <c r="N128" s="347">
        <v>445</v>
      </c>
      <c r="O128" s="347"/>
      <c r="P128" s="347"/>
      <c r="Q128" s="347"/>
      <c r="R128" s="347"/>
      <c r="S128" s="347"/>
      <c r="T128" s="347"/>
      <c r="U128" s="348"/>
      <c r="V128" s="347"/>
      <c r="W128" s="347"/>
      <c r="X128" s="347"/>
      <c r="Y128" s="347"/>
      <c r="Z128" s="347"/>
      <c r="AA128" s="349"/>
      <c r="AB128" s="347">
        <v>278</v>
      </c>
      <c r="AC128" s="347"/>
      <c r="AD128" s="347"/>
      <c r="AE128" s="347"/>
      <c r="AF128" s="347"/>
      <c r="AG128" s="347"/>
      <c r="AH128" s="347"/>
      <c r="AI128" s="347"/>
      <c r="AJ128" s="347"/>
      <c r="AK128" s="347"/>
      <c r="AL128" s="347"/>
      <c r="AM128" s="347"/>
      <c r="AN128" s="347">
        <v>1.7</v>
      </c>
      <c r="AO128" s="347"/>
      <c r="AP128" s="347"/>
    </row>
    <row r="129" spans="1:42" ht="14.45" customHeight="1">
      <c r="A129" s="436"/>
      <c r="B129" s="445"/>
      <c r="C129" s="39"/>
      <c r="D129" s="42" t="s">
        <v>122</v>
      </c>
      <c r="E129" s="347">
        <v>60</v>
      </c>
      <c r="F129" s="347">
        <v>60</v>
      </c>
      <c r="G129" s="347">
        <v>87</v>
      </c>
      <c r="H129" s="347"/>
      <c r="I129" s="347"/>
      <c r="J129" s="347"/>
      <c r="K129" s="347"/>
      <c r="L129" s="347"/>
      <c r="M129" s="347">
        <v>263</v>
      </c>
      <c r="N129" s="347">
        <v>470</v>
      </c>
      <c r="O129" s="347"/>
      <c r="P129" s="347"/>
      <c r="Q129" s="347"/>
      <c r="R129" s="347"/>
      <c r="S129" s="347"/>
      <c r="T129" s="347"/>
      <c r="U129" s="348"/>
      <c r="V129" s="347"/>
      <c r="W129" s="347"/>
      <c r="X129" s="347"/>
      <c r="Y129" s="347"/>
      <c r="Z129" s="347"/>
      <c r="AA129" s="349"/>
      <c r="AB129" s="347">
        <v>165</v>
      </c>
      <c r="AC129" s="347"/>
      <c r="AD129" s="347"/>
      <c r="AE129" s="347"/>
      <c r="AF129" s="347"/>
      <c r="AG129" s="347"/>
      <c r="AH129" s="347"/>
      <c r="AI129" s="347"/>
      <c r="AJ129" s="347"/>
      <c r="AK129" s="347"/>
      <c r="AL129" s="347"/>
      <c r="AM129" s="347"/>
      <c r="AN129" s="347">
        <v>3</v>
      </c>
      <c r="AO129" s="347"/>
      <c r="AP129" s="347"/>
    </row>
    <row r="130" spans="1:42" ht="14.45" customHeight="1">
      <c r="A130" s="436"/>
      <c r="B130" s="445"/>
      <c r="C130" s="39"/>
      <c r="D130" s="42" t="s">
        <v>153</v>
      </c>
      <c r="E130" s="347">
        <v>60</v>
      </c>
      <c r="F130" s="347">
        <v>42</v>
      </c>
      <c r="G130" s="347">
        <v>383</v>
      </c>
      <c r="H130" s="347"/>
      <c r="I130" s="347"/>
      <c r="J130" s="347"/>
      <c r="K130" s="347"/>
      <c r="L130" s="347"/>
      <c r="M130" s="347">
        <v>319</v>
      </c>
      <c r="N130" s="347">
        <v>83</v>
      </c>
      <c r="O130" s="347"/>
      <c r="P130" s="347"/>
      <c r="Q130" s="347"/>
      <c r="R130" s="347"/>
      <c r="S130" s="347"/>
      <c r="T130" s="347"/>
      <c r="U130" s="348"/>
      <c r="V130" s="347"/>
      <c r="W130" s="347"/>
      <c r="X130" s="347"/>
      <c r="Y130" s="347"/>
      <c r="Z130" s="347"/>
      <c r="AA130" s="349"/>
      <c r="AB130" s="347">
        <v>310</v>
      </c>
      <c r="AC130" s="347"/>
      <c r="AD130" s="347"/>
      <c r="AE130" s="347"/>
      <c r="AF130" s="347"/>
      <c r="AG130" s="347"/>
      <c r="AH130" s="347"/>
      <c r="AI130" s="347"/>
      <c r="AJ130" s="347"/>
      <c r="AK130" s="347"/>
      <c r="AL130" s="347"/>
      <c r="AM130" s="347"/>
      <c r="AN130" s="347">
        <v>6.7</v>
      </c>
      <c r="AO130" s="347"/>
      <c r="AP130" s="347"/>
    </row>
    <row r="131" spans="1:42" ht="14.45" customHeight="1">
      <c r="A131" s="436"/>
      <c r="B131" s="445"/>
      <c r="C131" s="39" t="s">
        <v>293</v>
      </c>
      <c r="D131" s="42" t="s">
        <v>224</v>
      </c>
      <c r="E131" s="347">
        <v>25</v>
      </c>
      <c r="F131" s="347">
        <v>25</v>
      </c>
      <c r="G131" s="347">
        <v>492</v>
      </c>
      <c r="H131" s="347"/>
      <c r="I131" s="347"/>
      <c r="J131" s="347"/>
      <c r="K131" s="347"/>
      <c r="L131" s="347"/>
      <c r="M131" s="347">
        <v>248</v>
      </c>
      <c r="N131" s="347">
        <v>42</v>
      </c>
      <c r="O131" s="347"/>
      <c r="P131" s="347"/>
      <c r="Q131" s="347"/>
      <c r="R131" s="347"/>
      <c r="S131" s="347"/>
      <c r="T131" s="347"/>
      <c r="U131" s="348"/>
      <c r="V131" s="347"/>
      <c r="W131" s="347"/>
      <c r="X131" s="347"/>
      <c r="Y131" s="347"/>
      <c r="Z131" s="347"/>
      <c r="AA131" s="349"/>
      <c r="AB131" s="347">
        <v>347</v>
      </c>
      <c r="AC131" s="347"/>
      <c r="AD131" s="347"/>
      <c r="AE131" s="347"/>
      <c r="AF131" s="347"/>
      <c r="AG131" s="347"/>
      <c r="AH131" s="347"/>
      <c r="AI131" s="347"/>
      <c r="AJ131" s="347"/>
      <c r="AK131" s="347"/>
      <c r="AL131" s="347"/>
      <c r="AM131" s="347"/>
      <c r="AN131" s="347">
        <v>-3.6</v>
      </c>
      <c r="AO131" s="347"/>
      <c r="AP131" s="347"/>
    </row>
    <row r="132" spans="1:42" ht="17.25" customHeight="1">
      <c r="A132" s="436"/>
      <c r="B132" s="443"/>
      <c r="C132" s="39" t="s">
        <v>287</v>
      </c>
      <c r="D132" s="42" t="s">
        <v>225</v>
      </c>
      <c r="E132" s="347">
        <v>30</v>
      </c>
      <c r="F132" s="347">
        <v>18</v>
      </c>
      <c r="G132" s="347">
        <v>429</v>
      </c>
      <c r="H132" s="347"/>
      <c r="I132" s="347"/>
      <c r="J132" s="347"/>
      <c r="K132" s="347"/>
      <c r="L132" s="347"/>
      <c r="M132" s="347">
        <v>340</v>
      </c>
      <c r="N132" s="347">
        <v>440</v>
      </c>
      <c r="O132" s="347"/>
      <c r="P132" s="347"/>
      <c r="Q132" s="347"/>
      <c r="R132" s="347"/>
      <c r="S132" s="347"/>
      <c r="T132" s="347"/>
      <c r="U132" s="348"/>
      <c r="V132" s="347"/>
      <c r="W132" s="347"/>
      <c r="X132" s="347"/>
      <c r="Y132" s="347"/>
      <c r="Z132" s="347"/>
      <c r="AA132" s="349"/>
      <c r="AB132" s="347">
        <v>398</v>
      </c>
      <c r="AC132" s="347"/>
      <c r="AD132" s="347"/>
      <c r="AE132" s="347"/>
      <c r="AF132" s="347"/>
      <c r="AG132" s="347"/>
      <c r="AH132" s="347"/>
      <c r="AI132" s="347"/>
      <c r="AJ132" s="347"/>
      <c r="AK132" s="347"/>
      <c r="AL132" s="347"/>
      <c r="AM132" s="347"/>
      <c r="AN132" s="347">
        <v>-0.6</v>
      </c>
      <c r="AO132" s="347"/>
      <c r="AP132" s="347"/>
    </row>
    <row r="133" spans="1:42" ht="14.45" customHeight="1">
      <c r="A133" s="436"/>
      <c r="B133" s="438" t="s">
        <v>51</v>
      </c>
      <c r="C133" s="439"/>
      <c r="D133" s="169" t="s">
        <v>114</v>
      </c>
      <c r="E133" s="343">
        <v>25</v>
      </c>
      <c r="F133" s="344">
        <v>12</v>
      </c>
      <c r="G133" s="344"/>
      <c r="H133" s="344"/>
      <c r="I133" s="344"/>
      <c r="J133" s="344"/>
      <c r="K133" s="343"/>
      <c r="L133" s="344"/>
      <c r="M133" s="343"/>
      <c r="N133" s="344"/>
      <c r="O133" s="344"/>
      <c r="P133" s="344"/>
      <c r="Q133" s="344"/>
      <c r="R133" s="344"/>
      <c r="S133" s="344"/>
      <c r="T133" s="344"/>
      <c r="U133" s="345"/>
      <c r="V133" s="344"/>
      <c r="W133" s="344"/>
      <c r="X133" s="344"/>
      <c r="Y133" s="344"/>
      <c r="Z133" s="344"/>
      <c r="AA133" s="346"/>
      <c r="AB133" s="344"/>
      <c r="AC133" s="344"/>
      <c r="AD133" s="344"/>
      <c r="AE133" s="344"/>
      <c r="AF133" s="344"/>
      <c r="AG133" s="344"/>
      <c r="AH133" s="344"/>
      <c r="AI133" s="344"/>
      <c r="AJ133" s="344"/>
      <c r="AK133" s="344"/>
      <c r="AL133" s="344"/>
      <c r="AM133" s="344"/>
      <c r="AN133" s="343"/>
      <c r="AO133" s="343"/>
      <c r="AP133" s="343"/>
    </row>
    <row r="134" spans="1:42" ht="14.45" customHeight="1">
      <c r="A134" s="436"/>
      <c r="B134" s="31" t="s">
        <v>51</v>
      </c>
      <c r="C134" s="39" t="s">
        <v>287</v>
      </c>
      <c r="D134" s="42" t="s">
        <v>227</v>
      </c>
      <c r="E134" s="347">
        <v>25</v>
      </c>
      <c r="F134" s="347">
        <v>12</v>
      </c>
      <c r="G134" s="347">
        <v>53</v>
      </c>
      <c r="H134" s="347"/>
      <c r="I134" s="347"/>
      <c r="J134" s="347"/>
      <c r="K134" s="347"/>
      <c r="L134" s="347"/>
      <c r="M134" s="347">
        <v>467</v>
      </c>
      <c r="N134" s="347">
        <v>233</v>
      </c>
      <c r="O134" s="347"/>
      <c r="P134" s="347"/>
      <c r="Q134" s="347"/>
      <c r="R134" s="347"/>
      <c r="S134" s="347"/>
      <c r="T134" s="347"/>
      <c r="U134" s="348"/>
      <c r="V134" s="347"/>
      <c r="W134" s="347"/>
      <c r="X134" s="347"/>
      <c r="Y134" s="347"/>
      <c r="Z134" s="347"/>
      <c r="AA134" s="349"/>
      <c r="AB134" s="347">
        <v>306</v>
      </c>
      <c r="AC134" s="347"/>
      <c r="AD134" s="347"/>
      <c r="AE134" s="347"/>
      <c r="AF134" s="347"/>
      <c r="AG134" s="347"/>
      <c r="AH134" s="347"/>
      <c r="AI134" s="347"/>
      <c r="AJ134" s="347"/>
      <c r="AK134" s="347"/>
      <c r="AL134" s="347"/>
      <c r="AM134" s="347"/>
      <c r="AN134" s="347">
        <v>7.8</v>
      </c>
      <c r="AO134" s="347"/>
      <c r="AP134" s="347"/>
    </row>
    <row r="135" spans="1:42" ht="14.45" customHeight="1">
      <c r="A135" s="436"/>
      <c r="B135" s="438" t="s">
        <v>303</v>
      </c>
      <c r="C135" s="439"/>
      <c r="D135" s="169" t="s">
        <v>114</v>
      </c>
      <c r="E135" s="343">
        <v>150</v>
      </c>
      <c r="F135" s="344">
        <v>65</v>
      </c>
      <c r="G135" s="344"/>
      <c r="H135" s="344"/>
      <c r="I135" s="344"/>
      <c r="J135" s="344"/>
      <c r="K135" s="343"/>
      <c r="L135" s="344"/>
      <c r="M135" s="343"/>
      <c r="N135" s="344"/>
      <c r="O135" s="344"/>
      <c r="P135" s="344"/>
      <c r="Q135" s="344"/>
      <c r="R135" s="344"/>
      <c r="S135" s="344"/>
      <c r="T135" s="344"/>
      <c r="U135" s="345"/>
      <c r="V135" s="344"/>
      <c r="W135" s="344"/>
      <c r="X135" s="344"/>
      <c r="Y135" s="344"/>
      <c r="Z135" s="344"/>
      <c r="AA135" s="346"/>
      <c r="AB135" s="344"/>
      <c r="AC135" s="344"/>
      <c r="AD135" s="344"/>
      <c r="AE135" s="344"/>
      <c r="AF135" s="344"/>
      <c r="AG135" s="344"/>
      <c r="AH135" s="344"/>
      <c r="AI135" s="344"/>
      <c r="AJ135" s="344"/>
      <c r="AK135" s="344"/>
      <c r="AL135" s="344"/>
      <c r="AM135" s="344"/>
      <c r="AN135" s="343"/>
      <c r="AO135" s="343"/>
      <c r="AP135" s="343"/>
    </row>
    <row r="136" spans="1:42" ht="14.45" customHeight="1">
      <c r="A136" s="436"/>
      <c r="B136" s="444" t="s">
        <v>303</v>
      </c>
      <c r="C136" s="39" t="s">
        <v>304</v>
      </c>
      <c r="D136" s="42" t="s">
        <v>228</v>
      </c>
      <c r="E136" s="347">
        <v>30</v>
      </c>
      <c r="F136" s="347">
        <v>16</v>
      </c>
      <c r="G136" s="347">
        <v>382</v>
      </c>
      <c r="H136" s="347"/>
      <c r="I136" s="347"/>
      <c r="J136" s="347"/>
      <c r="K136" s="347"/>
      <c r="L136" s="347"/>
      <c r="M136" s="347">
        <v>321</v>
      </c>
      <c r="N136" s="347">
        <v>63</v>
      </c>
      <c r="O136" s="347"/>
      <c r="P136" s="347"/>
      <c r="Q136" s="347"/>
      <c r="R136" s="347"/>
      <c r="S136" s="347"/>
      <c r="T136" s="347"/>
      <c r="U136" s="348"/>
      <c r="V136" s="347"/>
      <c r="W136" s="347"/>
      <c r="X136" s="347"/>
      <c r="Y136" s="347"/>
      <c r="Z136" s="347"/>
      <c r="AA136" s="349"/>
      <c r="AB136" s="347">
        <v>148</v>
      </c>
      <c r="AC136" s="347"/>
      <c r="AD136" s="347"/>
      <c r="AE136" s="347"/>
      <c r="AF136" s="347"/>
      <c r="AG136" s="347"/>
      <c r="AH136" s="347"/>
      <c r="AI136" s="347"/>
      <c r="AJ136" s="347"/>
      <c r="AK136" s="347"/>
      <c r="AL136" s="347"/>
      <c r="AM136" s="347"/>
      <c r="AN136" s="347">
        <v>-3.5</v>
      </c>
      <c r="AO136" s="347"/>
      <c r="AP136" s="347"/>
    </row>
    <row r="137" spans="1:42" ht="17.25" customHeight="1">
      <c r="A137" s="436"/>
      <c r="B137" s="445"/>
      <c r="C137" s="39"/>
      <c r="D137" s="42" t="s">
        <v>229</v>
      </c>
      <c r="E137" s="347">
        <v>30</v>
      </c>
      <c r="F137" s="347">
        <v>6</v>
      </c>
      <c r="G137" s="347">
        <v>375</v>
      </c>
      <c r="H137" s="347"/>
      <c r="I137" s="347"/>
      <c r="J137" s="347"/>
      <c r="K137" s="347"/>
      <c r="L137" s="347"/>
      <c r="M137" s="347">
        <v>385</v>
      </c>
      <c r="N137" s="347">
        <v>204</v>
      </c>
      <c r="O137" s="347"/>
      <c r="P137" s="347"/>
      <c r="Q137" s="347"/>
      <c r="R137" s="347"/>
      <c r="S137" s="347"/>
      <c r="T137" s="347"/>
      <c r="U137" s="348"/>
      <c r="V137" s="347"/>
      <c r="W137" s="347"/>
      <c r="X137" s="347"/>
      <c r="Y137" s="347"/>
      <c r="Z137" s="347"/>
      <c r="AA137" s="349"/>
      <c r="AB137" s="347">
        <v>65</v>
      </c>
      <c r="AC137" s="347"/>
      <c r="AD137" s="347"/>
      <c r="AE137" s="347"/>
      <c r="AF137" s="347"/>
      <c r="AG137" s="347"/>
      <c r="AH137" s="347"/>
      <c r="AI137" s="347"/>
      <c r="AJ137" s="347"/>
      <c r="AK137" s="347"/>
      <c r="AL137" s="347"/>
      <c r="AM137" s="347"/>
      <c r="AN137" s="347">
        <v>-3.5</v>
      </c>
      <c r="AO137" s="347"/>
      <c r="AP137" s="347"/>
    </row>
    <row r="138" spans="1:42" ht="14.45" customHeight="1">
      <c r="A138" s="436"/>
      <c r="B138" s="445"/>
      <c r="C138" s="39" t="s">
        <v>282</v>
      </c>
      <c r="D138" s="42" t="s">
        <v>117</v>
      </c>
      <c r="E138" s="347">
        <v>30</v>
      </c>
      <c r="F138" s="347">
        <v>19</v>
      </c>
      <c r="G138" s="347">
        <v>304</v>
      </c>
      <c r="H138" s="347"/>
      <c r="I138" s="347"/>
      <c r="J138" s="347"/>
      <c r="K138" s="347"/>
      <c r="L138" s="347"/>
      <c r="M138" s="347">
        <v>194</v>
      </c>
      <c r="N138" s="347">
        <v>273</v>
      </c>
      <c r="O138" s="347"/>
      <c r="P138" s="347"/>
      <c r="Q138" s="347"/>
      <c r="R138" s="347"/>
      <c r="S138" s="347"/>
      <c r="T138" s="347"/>
      <c r="U138" s="348"/>
      <c r="V138" s="347"/>
      <c r="W138" s="347"/>
      <c r="X138" s="347"/>
      <c r="Y138" s="347"/>
      <c r="Z138" s="347"/>
      <c r="AA138" s="349"/>
      <c r="AB138" s="347">
        <v>93</v>
      </c>
      <c r="AC138" s="347"/>
      <c r="AD138" s="347"/>
      <c r="AE138" s="347"/>
      <c r="AF138" s="347"/>
      <c r="AG138" s="347"/>
      <c r="AH138" s="347"/>
      <c r="AI138" s="347"/>
      <c r="AJ138" s="347"/>
      <c r="AK138" s="347"/>
      <c r="AL138" s="347"/>
      <c r="AM138" s="347"/>
      <c r="AN138" s="347">
        <v>6.5</v>
      </c>
      <c r="AO138" s="347"/>
      <c r="AP138" s="347"/>
    </row>
    <row r="139" spans="1:42" ht="14.45" customHeight="1">
      <c r="A139" s="436"/>
      <c r="B139" s="443"/>
      <c r="C139" s="39"/>
      <c r="D139" s="42" t="s">
        <v>230</v>
      </c>
      <c r="E139" s="347">
        <v>60</v>
      </c>
      <c r="F139" s="347">
        <v>24</v>
      </c>
      <c r="G139" s="347">
        <v>459</v>
      </c>
      <c r="H139" s="347"/>
      <c r="I139" s="347"/>
      <c r="J139" s="347"/>
      <c r="K139" s="347"/>
      <c r="L139" s="347"/>
      <c r="M139" s="347">
        <v>209</v>
      </c>
      <c r="N139" s="347">
        <v>469</v>
      </c>
      <c r="O139" s="347"/>
      <c r="P139" s="347"/>
      <c r="Q139" s="347"/>
      <c r="R139" s="347"/>
      <c r="S139" s="347"/>
      <c r="T139" s="347"/>
      <c r="U139" s="348"/>
      <c r="V139" s="347"/>
      <c r="W139" s="347"/>
      <c r="X139" s="347"/>
      <c r="Y139" s="347"/>
      <c r="Z139" s="347"/>
      <c r="AA139" s="349"/>
      <c r="AB139" s="347">
        <v>218</v>
      </c>
      <c r="AC139" s="347"/>
      <c r="AD139" s="347"/>
      <c r="AE139" s="347"/>
      <c r="AF139" s="347"/>
      <c r="AG139" s="347"/>
      <c r="AH139" s="347"/>
      <c r="AI139" s="347"/>
      <c r="AJ139" s="347"/>
      <c r="AK139" s="347"/>
      <c r="AL139" s="347"/>
      <c r="AM139" s="347"/>
      <c r="AN139" s="347">
        <v>-3.9</v>
      </c>
      <c r="AO139" s="347"/>
      <c r="AP139" s="347"/>
    </row>
    <row r="140" spans="1:42" ht="17.25" customHeight="1">
      <c r="A140" s="435" t="s">
        <v>305</v>
      </c>
      <c r="B140" s="440" t="s">
        <v>113</v>
      </c>
      <c r="C140" s="441"/>
      <c r="D140" s="439"/>
      <c r="E140" s="339">
        <v>1305</v>
      </c>
      <c r="F140" s="340">
        <v>1216</v>
      </c>
      <c r="G140" s="340">
        <v>37</v>
      </c>
      <c r="H140" s="340"/>
      <c r="I140" s="340"/>
      <c r="J140" s="340"/>
      <c r="K140" s="339"/>
      <c r="L140" s="340"/>
      <c r="M140" s="339">
        <v>28</v>
      </c>
      <c r="N140" s="340">
        <v>132</v>
      </c>
      <c r="O140" s="340"/>
      <c r="P140" s="340"/>
      <c r="Q140" s="340"/>
      <c r="R140" s="340"/>
      <c r="S140" s="340"/>
      <c r="T140" s="340"/>
      <c r="U140" s="341"/>
      <c r="V140" s="340"/>
      <c r="W140" s="340"/>
      <c r="X140" s="340"/>
      <c r="Y140" s="340"/>
      <c r="Z140" s="340"/>
      <c r="AA140" s="342"/>
      <c r="AB140" s="340">
        <v>330</v>
      </c>
      <c r="AC140" s="340"/>
      <c r="AD140" s="340"/>
      <c r="AE140" s="340"/>
      <c r="AF140" s="340"/>
      <c r="AG140" s="340"/>
      <c r="AH140" s="340"/>
      <c r="AI140" s="340"/>
      <c r="AJ140" s="340"/>
      <c r="AK140" s="340"/>
      <c r="AL140" s="340"/>
      <c r="AM140" s="340"/>
      <c r="AN140" s="339">
        <v>-3.9</v>
      </c>
      <c r="AO140" s="339"/>
      <c r="AP140" s="339"/>
    </row>
    <row r="141" spans="1:42" ht="14.45" customHeight="1">
      <c r="A141" s="436"/>
      <c r="B141" s="438" t="s">
        <v>54</v>
      </c>
      <c r="C141" s="439"/>
      <c r="D141" s="169" t="s">
        <v>114</v>
      </c>
      <c r="E141" s="343">
        <v>595</v>
      </c>
      <c r="F141" s="344">
        <v>626</v>
      </c>
      <c r="G141" s="344"/>
      <c r="H141" s="344"/>
      <c r="I141" s="344"/>
      <c r="J141" s="344"/>
      <c r="K141" s="343"/>
      <c r="L141" s="344"/>
      <c r="M141" s="343"/>
      <c r="N141" s="344"/>
      <c r="O141" s="344"/>
      <c r="P141" s="344"/>
      <c r="Q141" s="344"/>
      <c r="R141" s="344"/>
      <c r="S141" s="344"/>
      <c r="T141" s="344"/>
      <c r="U141" s="345"/>
      <c r="V141" s="344"/>
      <c r="W141" s="344"/>
      <c r="X141" s="344"/>
      <c r="Y141" s="344"/>
      <c r="Z141" s="344"/>
      <c r="AA141" s="346"/>
      <c r="AB141" s="344"/>
      <c r="AC141" s="344"/>
      <c r="AD141" s="344"/>
      <c r="AE141" s="344"/>
      <c r="AF141" s="344"/>
      <c r="AG141" s="344"/>
      <c r="AH141" s="344"/>
      <c r="AI141" s="344"/>
      <c r="AJ141" s="344"/>
      <c r="AK141" s="344"/>
      <c r="AL141" s="344"/>
      <c r="AM141" s="344"/>
      <c r="AN141" s="343"/>
      <c r="AO141" s="343"/>
      <c r="AP141" s="343"/>
    </row>
    <row r="142" spans="1:42" ht="14.45" customHeight="1">
      <c r="A142" s="436"/>
      <c r="B142" s="444" t="s">
        <v>54</v>
      </c>
      <c r="C142" s="39"/>
      <c r="D142" s="42" t="s">
        <v>153</v>
      </c>
      <c r="E142" s="347">
        <v>85</v>
      </c>
      <c r="F142" s="347">
        <v>90</v>
      </c>
      <c r="G142" s="347">
        <v>199</v>
      </c>
      <c r="H142" s="347"/>
      <c r="I142" s="347"/>
      <c r="J142" s="347"/>
      <c r="K142" s="347"/>
      <c r="L142" s="347"/>
      <c r="M142" s="347">
        <v>191</v>
      </c>
      <c r="N142" s="347">
        <v>104</v>
      </c>
      <c r="O142" s="347"/>
      <c r="P142" s="347"/>
      <c r="Q142" s="347"/>
      <c r="R142" s="347"/>
      <c r="S142" s="347"/>
      <c r="T142" s="347"/>
      <c r="U142" s="348"/>
      <c r="V142" s="347"/>
      <c r="W142" s="347"/>
      <c r="X142" s="347"/>
      <c r="Y142" s="347"/>
      <c r="Z142" s="347"/>
      <c r="AA142" s="349"/>
      <c r="AB142" s="347">
        <v>16</v>
      </c>
      <c r="AC142" s="347"/>
      <c r="AD142" s="347"/>
      <c r="AE142" s="347"/>
      <c r="AF142" s="347"/>
      <c r="AG142" s="347"/>
      <c r="AH142" s="347"/>
      <c r="AI142" s="347"/>
      <c r="AJ142" s="347"/>
      <c r="AK142" s="347"/>
      <c r="AL142" s="347"/>
      <c r="AM142" s="347"/>
      <c r="AN142" s="347">
        <v>7</v>
      </c>
      <c r="AO142" s="347"/>
      <c r="AP142" s="347"/>
    </row>
    <row r="143" spans="1:42" ht="14.45" customHeight="1">
      <c r="A143" s="436"/>
      <c r="B143" s="445"/>
      <c r="C143" s="39"/>
      <c r="D143" s="42" t="s">
        <v>143</v>
      </c>
      <c r="E143" s="347">
        <v>30</v>
      </c>
      <c r="F143" s="347">
        <v>32</v>
      </c>
      <c r="G143" s="347">
        <v>36</v>
      </c>
      <c r="H143" s="347"/>
      <c r="I143" s="347"/>
      <c r="J143" s="347"/>
      <c r="K143" s="347"/>
      <c r="L143" s="347"/>
      <c r="M143" s="347">
        <v>322</v>
      </c>
      <c r="N143" s="347">
        <v>70</v>
      </c>
      <c r="O143" s="347"/>
      <c r="P143" s="347"/>
      <c r="Q143" s="347"/>
      <c r="R143" s="347"/>
      <c r="S143" s="347"/>
      <c r="T143" s="347"/>
      <c r="U143" s="348"/>
      <c r="V143" s="347"/>
      <c r="W143" s="347"/>
      <c r="X143" s="347"/>
      <c r="Y143" s="347"/>
      <c r="Z143" s="347"/>
      <c r="AA143" s="349"/>
      <c r="AB143" s="347">
        <v>25</v>
      </c>
      <c r="AC143" s="347"/>
      <c r="AD143" s="347"/>
      <c r="AE143" s="347"/>
      <c r="AF143" s="347"/>
      <c r="AG143" s="347"/>
      <c r="AH143" s="347"/>
      <c r="AI143" s="347"/>
      <c r="AJ143" s="347"/>
      <c r="AK143" s="347"/>
      <c r="AL143" s="347"/>
      <c r="AM143" s="347"/>
      <c r="AN143" s="347">
        <v>1.9</v>
      </c>
      <c r="AO143" s="347"/>
      <c r="AP143" s="347"/>
    </row>
    <row r="144" spans="1:42" ht="14.45" customHeight="1">
      <c r="A144" s="436"/>
      <c r="B144" s="445"/>
      <c r="C144" s="39"/>
      <c r="D144" s="42" t="s">
        <v>218</v>
      </c>
      <c r="E144" s="347">
        <v>30</v>
      </c>
      <c r="F144" s="347">
        <v>29</v>
      </c>
      <c r="G144" s="347">
        <v>498</v>
      </c>
      <c r="H144" s="347"/>
      <c r="I144" s="347"/>
      <c r="J144" s="347"/>
      <c r="K144" s="347"/>
      <c r="L144" s="347"/>
      <c r="M144" s="347">
        <v>478</v>
      </c>
      <c r="N144" s="347">
        <v>430</v>
      </c>
      <c r="O144" s="347"/>
      <c r="P144" s="347"/>
      <c r="Q144" s="347"/>
      <c r="R144" s="347"/>
      <c r="S144" s="347"/>
      <c r="T144" s="347"/>
      <c r="U144" s="348"/>
      <c r="V144" s="347"/>
      <c r="W144" s="347"/>
      <c r="X144" s="347"/>
      <c r="Y144" s="347"/>
      <c r="Z144" s="347"/>
      <c r="AA144" s="349"/>
      <c r="AB144" s="347">
        <v>42</v>
      </c>
      <c r="AC144" s="347"/>
      <c r="AD144" s="347"/>
      <c r="AE144" s="347"/>
      <c r="AF144" s="347"/>
      <c r="AG144" s="347"/>
      <c r="AH144" s="347"/>
      <c r="AI144" s="347"/>
      <c r="AJ144" s="347"/>
      <c r="AK144" s="347"/>
      <c r="AL144" s="347"/>
      <c r="AM144" s="347"/>
      <c r="AN144" s="347">
        <v>5.2</v>
      </c>
      <c r="AO144" s="347"/>
      <c r="AP144" s="347"/>
    </row>
    <row r="145" spans="1:42" ht="17.25" customHeight="1">
      <c r="A145" s="436"/>
      <c r="B145" s="445"/>
      <c r="C145" s="39"/>
      <c r="D145" s="42" t="s">
        <v>208</v>
      </c>
      <c r="E145" s="347">
        <v>60</v>
      </c>
      <c r="F145" s="347">
        <v>75</v>
      </c>
      <c r="G145" s="347">
        <v>119</v>
      </c>
      <c r="H145" s="347"/>
      <c r="I145" s="347"/>
      <c r="J145" s="347"/>
      <c r="K145" s="347"/>
      <c r="L145" s="347"/>
      <c r="M145" s="347">
        <v>244</v>
      </c>
      <c r="N145" s="347">
        <v>444</v>
      </c>
      <c r="O145" s="347"/>
      <c r="P145" s="347"/>
      <c r="Q145" s="347"/>
      <c r="R145" s="347"/>
      <c r="S145" s="347"/>
      <c r="T145" s="347"/>
      <c r="U145" s="348"/>
      <c r="V145" s="347"/>
      <c r="W145" s="347"/>
      <c r="X145" s="347"/>
      <c r="Y145" s="347"/>
      <c r="Z145" s="347"/>
      <c r="AA145" s="349"/>
      <c r="AB145" s="347">
        <v>117</v>
      </c>
      <c r="AC145" s="347"/>
      <c r="AD145" s="347"/>
      <c r="AE145" s="347"/>
      <c r="AF145" s="347"/>
      <c r="AG145" s="347"/>
      <c r="AH145" s="347"/>
      <c r="AI145" s="347"/>
      <c r="AJ145" s="347"/>
      <c r="AK145" s="347"/>
      <c r="AL145" s="347"/>
      <c r="AM145" s="347"/>
      <c r="AN145" s="347">
        <v>-4.2</v>
      </c>
      <c r="AO145" s="347"/>
      <c r="AP145" s="347"/>
    </row>
    <row r="146" spans="1:42" ht="14.45" customHeight="1">
      <c r="A146" s="436"/>
      <c r="B146" s="445"/>
      <c r="C146" s="39"/>
      <c r="D146" s="42" t="s">
        <v>117</v>
      </c>
      <c r="E146" s="347">
        <v>85</v>
      </c>
      <c r="F146" s="347">
        <v>97</v>
      </c>
      <c r="G146" s="347">
        <v>153</v>
      </c>
      <c r="H146" s="347"/>
      <c r="I146" s="347"/>
      <c r="J146" s="347"/>
      <c r="K146" s="347"/>
      <c r="L146" s="347"/>
      <c r="M146" s="347">
        <v>48</v>
      </c>
      <c r="N146" s="347">
        <v>89</v>
      </c>
      <c r="O146" s="347"/>
      <c r="P146" s="347"/>
      <c r="Q146" s="347"/>
      <c r="R146" s="347"/>
      <c r="S146" s="347"/>
      <c r="T146" s="347"/>
      <c r="U146" s="348"/>
      <c r="V146" s="347"/>
      <c r="W146" s="347"/>
      <c r="X146" s="347"/>
      <c r="Y146" s="347"/>
      <c r="Z146" s="347"/>
      <c r="AA146" s="349"/>
      <c r="AB146" s="347">
        <v>311</v>
      </c>
      <c r="AC146" s="347"/>
      <c r="AD146" s="347"/>
      <c r="AE146" s="347"/>
      <c r="AF146" s="347"/>
      <c r="AG146" s="347"/>
      <c r="AH146" s="347"/>
      <c r="AI146" s="347"/>
      <c r="AJ146" s="347"/>
      <c r="AK146" s="347"/>
      <c r="AL146" s="347"/>
      <c r="AM146" s="347"/>
      <c r="AN146" s="347">
        <v>0.6</v>
      </c>
      <c r="AO146" s="347"/>
      <c r="AP146" s="347"/>
    </row>
    <row r="147" spans="1:42" ht="14.45" customHeight="1">
      <c r="A147" s="436"/>
      <c r="B147" s="445"/>
      <c r="C147" s="39"/>
      <c r="D147" s="42" t="s">
        <v>155</v>
      </c>
      <c r="E147" s="347">
        <v>60</v>
      </c>
      <c r="F147" s="347">
        <v>66</v>
      </c>
      <c r="G147" s="347">
        <v>420</v>
      </c>
      <c r="H147" s="347"/>
      <c r="I147" s="347"/>
      <c r="J147" s="347"/>
      <c r="K147" s="347"/>
      <c r="L147" s="347"/>
      <c r="M147" s="347">
        <v>343</v>
      </c>
      <c r="N147" s="347">
        <v>118</v>
      </c>
      <c r="O147" s="347"/>
      <c r="P147" s="347"/>
      <c r="Q147" s="347"/>
      <c r="R147" s="347"/>
      <c r="S147" s="347"/>
      <c r="T147" s="347"/>
      <c r="U147" s="348"/>
      <c r="V147" s="347"/>
      <c r="W147" s="347"/>
      <c r="X147" s="347"/>
      <c r="Y147" s="347"/>
      <c r="Z147" s="347"/>
      <c r="AA147" s="349"/>
      <c r="AB147" s="347">
        <v>357</v>
      </c>
      <c r="AC147" s="347"/>
      <c r="AD147" s="347"/>
      <c r="AE147" s="347"/>
      <c r="AF147" s="347"/>
      <c r="AG147" s="347"/>
      <c r="AH147" s="347"/>
      <c r="AI147" s="347"/>
      <c r="AJ147" s="347"/>
      <c r="AK147" s="347"/>
      <c r="AL147" s="347"/>
      <c r="AM147" s="347"/>
      <c r="AN147" s="347">
        <v>5.5</v>
      </c>
      <c r="AO147" s="347"/>
      <c r="AP147" s="347"/>
    </row>
    <row r="148" spans="1:42" ht="14.45" customHeight="1">
      <c r="A148" s="436"/>
      <c r="B148" s="445"/>
      <c r="C148" s="39"/>
      <c r="D148" s="42" t="s">
        <v>156</v>
      </c>
      <c r="E148" s="347">
        <v>30</v>
      </c>
      <c r="F148" s="347">
        <v>25</v>
      </c>
      <c r="G148" s="347">
        <v>254</v>
      </c>
      <c r="H148" s="347"/>
      <c r="I148" s="347"/>
      <c r="J148" s="347"/>
      <c r="K148" s="347"/>
      <c r="L148" s="347"/>
      <c r="M148" s="347">
        <v>9</v>
      </c>
      <c r="N148" s="347">
        <v>458</v>
      </c>
      <c r="O148" s="347"/>
      <c r="P148" s="347"/>
      <c r="Q148" s="347"/>
      <c r="R148" s="347"/>
      <c r="S148" s="347"/>
      <c r="T148" s="347"/>
      <c r="U148" s="348"/>
      <c r="V148" s="347"/>
      <c r="W148" s="347"/>
      <c r="X148" s="347"/>
      <c r="Y148" s="347"/>
      <c r="Z148" s="347"/>
      <c r="AA148" s="349"/>
      <c r="AB148" s="347">
        <v>210</v>
      </c>
      <c r="AC148" s="347"/>
      <c r="AD148" s="347"/>
      <c r="AE148" s="347"/>
      <c r="AF148" s="347"/>
      <c r="AG148" s="347"/>
      <c r="AH148" s="347"/>
      <c r="AI148" s="347"/>
      <c r="AJ148" s="347"/>
      <c r="AK148" s="347"/>
      <c r="AL148" s="347"/>
      <c r="AM148" s="347"/>
      <c r="AN148" s="347">
        <v>6.8</v>
      </c>
      <c r="AO148" s="347"/>
      <c r="AP148" s="347"/>
    </row>
    <row r="149" spans="1:42" ht="14.45" customHeight="1">
      <c r="A149" s="437"/>
      <c r="B149" s="445"/>
      <c r="C149" s="39"/>
      <c r="D149" s="42" t="s">
        <v>232</v>
      </c>
      <c r="E149" s="347">
        <v>30</v>
      </c>
      <c r="F149" s="347">
        <v>27</v>
      </c>
      <c r="G149" s="347">
        <v>158</v>
      </c>
      <c r="H149" s="347"/>
      <c r="I149" s="347"/>
      <c r="J149" s="347"/>
      <c r="K149" s="347"/>
      <c r="L149" s="347"/>
      <c r="M149" s="347">
        <v>207</v>
      </c>
      <c r="N149" s="347">
        <v>283</v>
      </c>
      <c r="O149" s="347"/>
      <c r="P149" s="347"/>
      <c r="Q149" s="347"/>
      <c r="R149" s="347"/>
      <c r="S149" s="347"/>
      <c r="T149" s="347"/>
      <c r="U149" s="348"/>
      <c r="V149" s="347"/>
      <c r="W149" s="347"/>
      <c r="X149" s="347"/>
      <c r="Y149" s="347"/>
      <c r="Z149" s="347"/>
      <c r="AA149" s="349"/>
      <c r="AB149" s="347">
        <v>425</v>
      </c>
      <c r="AC149" s="347"/>
      <c r="AD149" s="347"/>
      <c r="AE149" s="347"/>
      <c r="AF149" s="347"/>
      <c r="AG149" s="347"/>
      <c r="AH149" s="347"/>
      <c r="AI149" s="347"/>
      <c r="AJ149" s="347"/>
      <c r="AK149" s="347"/>
      <c r="AL149" s="347"/>
      <c r="AM149" s="347"/>
      <c r="AN149" s="347">
        <v>1.6</v>
      </c>
      <c r="AO149" s="347"/>
      <c r="AP149" s="347"/>
    </row>
    <row r="150" spans="1:42" ht="17.25" customHeight="1">
      <c r="A150" s="435" t="s">
        <v>305</v>
      </c>
      <c r="B150" s="445"/>
      <c r="C150" s="39"/>
      <c r="D150" s="42" t="s">
        <v>121</v>
      </c>
      <c r="E150" s="347">
        <v>60</v>
      </c>
      <c r="F150" s="347">
        <v>54</v>
      </c>
      <c r="G150" s="347">
        <v>96</v>
      </c>
      <c r="H150" s="347"/>
      <c r="I150" s="347"/>
      <c r="J150" s="347"/>
      <c r="K150" s="347"/>
      <c r="L150" s="347"/>
      <c r="M150" s="347">
        <v>18</v>
      </c>
      <c r="N150" s="347">
        <v>203</v>
      </c>
      <c r="O150" s="347"/>
      <c r="P150" s="347"/>
      <c r="Q150" s="347"/>
      <c r="R150" s="347"/>
      <c r="S150" s="347"/>
      <c r="T150" s="347"/>
      <c r="U150" s="348"/>
      <c r="V150" s="347"/>
      <c r="W150" s="347"/>
      <c r="X150" s="347"/>
      <c r="Y150" s="347"/>
      <c r="Z150" s="347"/>
      <c r="AA150" s="349"/>
      <c r="AB150" s="347">
        <v>196</v>
      </c>
      <c r="AC150" s="347"/>
      <c r="AD150" s="347"/>
      <c r="AE150" s="347"/>
      <c r="AF150" s="347"/>
      <c r="AG150" s="347"/>
      <c r="AH150" s="347"/>
      <c r="AI150" s="347"/>
      <c r="AJ150" s="347"/>
      <c r="AK150" s="347"/>
      <c r="AL150" s="347"/>
      <c r="AM150" s="347"/>
      <c r="AN150" s="347">
        <v>7</v>
      </c>
      <c r="AO150" s="347"/>
      <c r="AP150" s="347"/>
    </row>
    <row r="151" spans="1:42" ht="14.45" customHeight="1">
      <c r="A151" s="436"/>
      <c r="B151" s="445"/>
      <c r="C151" s="39"/>
      <c r="D151" s="42" t="s">
        <v>124</v>
      </c>
      <c r="E151" s="347">
        <v>75</v>
      </c>
      <c r="F151" s="347">
        <v>69</v>
      </c>
      <c r="G151" s="347">
        <v>438</v>
      </c>
      <c r="H151" s="347"/>
      <c r="I151" s="347"/>
      <c r="J151" s="347"/>
      <c r="K151" s="347"/>
      <c r="L151" s="347"/>
      <c r="M151" s="347">
        <v>446</v>
      </c>
      <c r="N151" s="347">
        <v>256</v>
      </c>
      <c r="O151" s="347"/>
      <c r="P151" s="347"/>
      <c r="Q151" s="347"/>
      <c r="R151" s="347"/>
      <c r="S151" s="347"/>
      <c r="T151" s="347"/>
      <c r="U151" s="348"/>
      <c r="V151" s="347"/>
      <c r="W151" s="347"/>
      <c r="X151" s="347"/>
      <c r="Y151" s="347"/>
      <c r="Z151" s="347"/>
      <c r="AA151" s="349"/>
      <c r="AB151" s="347">
        <v>221</v>
      </c>
      <c r="AC151" s="347"/>
      <c r="AD151" s="347"/>
      <c r="AE151" s="347"/>
      <c r="AF151" s="347"/>
      <c r="AG151" s="347"/>
      <c r="AH151" s="347"/>
      <c r="AI151" s="347"/>
      <c r="AJ151" s="347"/>
      <c r="AK151" s="347"/>
      <c r="AL151" s="347"/>
      <c r="AM151" s="347"/>
      <c r="AN151" s="347">
        <v>6.4</v>
      </c>
      <c r="AO151" s="347"/>
      <c r="AP151" s="347"/>
    </row>
    <row r="152" spans="1:42" ht="14.45" customHeight="1">
      <c r="A152" s="436"/>
      <c r="B152" s="443"/>
      <c r="C152" s="39" t="s">
        <v>292</v>
      </c>
      <c r="D152" s="42" t="s">
        <v>233</v>
      </c>
      <c r="E152" s="347">
        <v>50</v>
      </c>
      <c r="F152" s="347">
        <v>62</v>
      </c>
      <c r="G152" s="347">
        <v>19</v>
      </c>
      <c r="H152" s="347"/>
      <c r="I152" s="347"/>
      <c r="J152" s="347"/>
      <c r="K152" s="347"/>
      <c r="L152" s="347"/>
      <c r="M152" s="347">
        <v>6</v>
      </c>
      <c r="N152" s="347">
        <v>257</v>
      </c>
      <c r="O152" s="347"/>
      <c r="P152" s="347"/>
      <c r="Q152" s="347"/>
      <c r="R152" s="347"/>
      <c r="S152" s="347"/>
      <c r="T152" s="347"/>
      <c r="U152" s="348"/>
      <c r="V152" s="347"/>
      <c r="W152" s="347"/>
      <c r="X152" s="347"/>
      <c r="Y152" s="347"/>
      <c r="Z152" s="347"/>
      <c r="AA152" s="349"/>
      <c r="AB152" s="347">
        <v>257</v>
      </c>
      <c r="AC152" s="347"/>
      <c r="AD152" s="347"/>
      <c r="AE152" s="347"/>
      <c r="AF152" s="347"/>
      <c r="AG152" s="347"/>
      <c r="AH152" s="347"/>
      <c r="AI152" s="347"/>
      <c r="AJ152" s="347"/>
      <c r="AK152" s="347"/>
      <c r="AL152" s="347"/>
      <c r="AM152" s="347"/>
      <c r="AN152" s="347">
        <v>-0.4</v>
      </c>
      <c r="AO152" s="347"/>
      <c r="AP152" s="347"/>
    </row>
    <row r="153" spans="1:42" ht="14.45" customHeight="1">
      <c r="A153" s="436"/>
      <c r="B153" s="438" t="s">
        <v>55</v>
      </c>
      <c r="C153" s="439"/>
      <c r="D153" s="169" t="s">
        <v>114</v>
      </c>
      <c r="E153" s="343">
        <v>385</v>
      </c>
      <c r="F153" s="344">
        <v>300</v>
      </c>
      <c r="G153" s="344"/>
      <c r="H153" s="344"/>
      <c r="I153" s="344"/>
      <c r="J153" s="344"/>
      <c r="K153" s="343"/>
      <c r="L153" s="344"/>
      <c r="M153" s="343"/>
      <c r="N153" s="344"/>
      <c r="O153" s="344"/>
      <c r="P153" s="344"/>
      <c r="Q153" s="344"/>
      <c r="R153" s="344"/>
      <c r="S153" s="344"/>
      <c r="T153" s="344"/>
      <c r="U153" s="345"/>
      <c r="V153" s="344"/>
      <c r="W153" s="344"/>
      <c r="X153" s="344"/>
      <c r="Y153" s="344"/>
      <c r="Z153" s="344"/>
      <c r="AA153" s="346"/>
      <c r="AB153" s="344"/>
      <c r="AC153" s="344"/>
      <c r="AD153" s="344"/>
      <c r="AE153" s="344"/>
      <c r="AF153" s="344"/>
      <c r="AG153" s="344"/>
      <c r="AH153" s="344"/>
      <c r="AI153" s="344"/>
      <c r="AJ153" s="344"/>
      <c r="AK153" s="344"/>
      <c r="AL153" s="344"/>
      <c r="AM153" s="344"/>
      <c r="AN153" s="343"/>
      <c r="AO153" s="343"/>
      <c r="AP153" s="343"/>
    </row>
    <row r="154" spans="1:42" ht="14.45" customHeight="1">
      <c r="A154" s="436"/>
      <c r="B154" s="444" t="s">
        <v>55</v>
      </c>
      <c r="C154" s="39"/>
      <c r="D154" s="42" t="s">
        <v>235</v>
      </c>
      <c r="E154" s="347">
        <v>30</v>
      </c>
      <c r="F154" s="347">
        <v>26</v>
      </c>
      <c r="G154" s="347">
        <v>62</v>
      </c>
      <c r="H154" s="347"/>
      <c r="I154" s="347"/>
      <c r="J154" s="347"/>
      <c r="K154" s="347"/>
      <c r="L154" s="347"/>
      <c r="M154" s="347">
        <v>367</v>
      </c>
      <c r="N154" s="347">
        <v>30</v>
      </c>
      <c r="O154" s="347"/>
      <c r="P154" s="347"/>
      <c r="Q154" s="347"/>
      <c r="R154" s="347"/>
      <c r="S154" s="347"/>
      <c r="T154" s="347"/>
      <c r="U154" s="348"/>
      <c r="V154" s="347"/>
      <c r="W154" s="347"/>
      <c r="X154" s="347"/>
      <c r="Y154" s="347"/>
      <c r="Z154" s="347"/>
      <c r="AA154" s="349"/>
      <c r="AB154" s="347">
        <v>398</v>
      </c>
      <c r="AC154" s="347"/>
      <c r="AD154" s="347"/>
      <c r="AE154" s="347"/>
      <c r="AF154" s="347"/>
      <c r="AG154" s="347"/>
      <c r="AH154" s="347"/>
      <c r="AI154" s="347"/>
      <c r="AJ154" s="347"/>
      <c r="AK154" s="347"/>
      <c r="AL154" s="347"/>
      <c r="AM154" s="347"/>
      <c r="AN154" s="347">
        <v>4.9000000000000004</v>
      </c>
      <c r="AO154" s="347"/>
      <c r="AP154" s="347"/>
    </row>
    <row r="155" spans="1:42" ht="17.25" customHeight="1">
      <c r="A155" s="436"/>
      <c r="B155" s="443"/>
      <c r="C155" s="39"/>
      <c r="D155" s="42" t="s">
        <v>218</v>
      </c>
      <c r="E155" s="347">
        <v>60</v>
      </c>
      <c r="F155" s="347">
        <v>26</v>
      </c>
      <c r="G155" s="347">
        <v>111</v>
      </c>
      <c r="H155" s="347"/>
      <c r="I155" s="347"/>
      <c r="J155" s="347"/>
      <c r="K155" s="347"/>
      <c r="L155" s="347"/>
      <c r="M155" s="347">
        <v>90</v>
      </c>
      <c r="N155" s="347">
        <v>24</v>
      </c>
      <c r="O155" s="347"/>
      <c r="P155" s="347"/>
      <c r="Q155" s="347"/>
      <c r="R155" s="347"/>
      <c r="S155" s="347"/>
      <c r="T155" s="347"/>
      <c r="U155" s="348"/>
      <c r="V155" s="347"/>
      <c r="W155" s="347"/>
      <c r="X155" s="347"/>
      <c r="Y155" s="347"/>
      <c r="Z155" s="347"/>
      <c r="AA155" s="349"/>
      <c r="AB155" s="347">
        <v>254</v>
      </c>
      <c r="AC155" s="347"/>
      <c r="AD155" s="347"/>
      <c r="AE155" s="347"/>
      <c r="AF155" s="347"/>
      <c r="AG155" s="347"/>
      <c r="AH155" s="347"/>
      <c r="AI155" s="347"/>
      <c r="AJ155" s="347"/>
      <c r="AK155" s="347"/>
      <c r="AL155" s="347"/>
      <c r="AM155" s="347"/>
      <c r="AN155" s="347">
        <v>-1.6</v>
      </c>
      <c r="AO155" s="347"/>
      <c r="AP155" s="347"/>
    </row>
    <row r="156" spans="1:42" ht="14.45" customHeight="1">
      <c r="A156" s="436"/>
      <c r="B156" s="444" t="s">
        <v>55</v>
      </c>
      <c r="C156" s="39"/>
      <c r="D156" s="42" t="s">
        <v>236</v>
      </c>
      <c r="E156" s="347">
        <v>30</v>
      </c>
      <c r="F156" s="347">
        <v>26</v>
      </c>
      <c r="G156" s="347">
        <v>8</v>
      </c>
      <c r="H156" s="347"/>
      <c r="I156" s="347"/>
      <c r="J156" s="347"/>
      <c r="K156" s="347"/>
      <c r="L156" s="347"/>
      <c r="M156" s="347">
        <v>243</v>
      </c>
      <c r="N156" s="347">
        <v>31</v>
      </c>
      <c r="O156" s="347"/>
      <c r="P156" s="347"/>
      <c r="Q156" s="347"/>
      <c r="R156" s="347"/>
      <c r="S156" s="347"/>
      <c r="T156" s="347"/>
      <c r="U156" s="348"/>
      <c r="V156" s="347"/>
      <c r="W156" s="347"/>
      <c r="X156" s="347"/>
      <c r="Y156" s="347"/>
      <c r="Z156" s="347"/>
      <c r="AA156" s="349"/>
      <c r="AB156" s="347">
        <v>361</v>
      </c>
      <c r="AC156" s="347"/>
      <c r="AD156" s="347"/>
      <c r="AE156" s="347"/>
      <c r="AF156" s="347"/>
      <c r="AG156" s="347"/>
      <c r="AH156" s="347"/>
      <c r="AI156" s="347"/>
      <c r="AJ156" s="347"/>
      <c r="AK156" s="347"/>
      <c r="AL156" s="347"/>
      <c r="AM156" s="347"/>
      <c r="AN156" s="347">
        <v>-4.9000000000000004</v>
      </c>
      <c r="AO156" s="347"/>
      <c r="AP156" s="347"/>
    </row>
    <row r="157" spans="1:42" ht="14.45" customHeight="1">
      <c r="A157" s="436"/>
      <c r="B157" s="445"/>
      <c r="C157" s="39"/>
      <c r="D157" s="42" t="s">
        <v>121</v>
      </c>
      <c r="E157" s="347">
        <v>60</v>
      </c>
      <c r="F157" s="347">
        <v>35</v>
      </c>
      <c r="G157" s="347">
        <v>12</v>
      </c>
      <c r="H157" s="347"/>
      <c r="I157" s="347"/>
      <c r="J157" s="347"/>
      <c r="K157" s="347"/>
      <c r="L157" s="347"/>
      <c r="M157" s="347">
        <v>76</v>
      </c>
      <c r="N157" s="347">
        <v>150</v>
      </c>
      <c r="O157" s="347"/>
      <c r="P157" s="347"/>
      <c r="Q157" s="347"/>
      <c r="R157" s="347"/>
      <c r="S157" s="347"/>
      <c r="T157" s="347"/>
      <c r="U157" s="348"/>
      <c r="V157" s="347"/>
      <c r="W157" s="347"/>
      <c r="X157" s="347"/>
      <c r="Y157" s="347"/>
      <c r="Z157" s="347"/>
      <c r="AA157" s="349"/>
      <c r="AB157" s="347">
        <v>178</v>
      </c>
      <c r="AC157" s="347"/>
      <c r="AD157" s="347"/>
      <c r="AE157" s="347"/>
      <c r="AF157" s="347"/>
      <c r="AG157" s="347"/>
      <c r="AH157" s="347"/>
      <c r="AI157" s="347"/>
      <c r="AJ157" s="347"/>
      <c r="AK157" s="347"/>
      <c r="AL157" s="347"/>
      <c r="AM157" s="347"/>
      <c r="AN157" s="347">
        <v>-1.4</v>
      </c>
      <c r="AO157" s="347"/>
      <c r="AP157" s="347"/>
    </row>
    <row r="158" spans="1:42" ht="14.45" customHeight="1">
      <c r="A158" s="436"/>
      <c r="B158" s="445"/>
      <c r="C158" s="39"/>
      <c r="D158" s="42" t="s">
        <v>122</v>
      </c>
      <c r="E158" s="347">
        <v>85</v>
      </c>
      <c r="F158" s="347">
        <v>91</v>
      </c>
      <c r="G158" s="347">
        <v>437</v>
      </c>
      <c r="H158" s="347"/>
      <c r="I158" s="347"/>
      <c r="J158" s="347"/>
      <c r="K158" s="347"/>
      <c r="L158" s="347"/>
      <c r="M158" s="347">
        <v>86</v>
      </c>
      <c r="N158" s="347">
        <v>252</v>
      </c>
      <c r="O158" s="347"/>
      <c r="P158" s="347"/>
      <c r="Q158" s="347"/>
      <c r="R158" s="347"/>
      <c r="S158" s="347"/>
      <c r="T158" s="347"/>
      <c r="U158" s="348"/>
      <c r="V158" s="347"/>
      <c r="W158" s="347"/>
      <c r="X158" s="347"/>
      <c r="Y158" s="347"/>
      <c r="Z158" s="347"/>
      <c r="AA158" s="349"/>
      <c r="AB158" s="347">
        <v>48</v>
      </c>
      <c r="AC158" s="347"/>
      <c r="AD158" s="347"/>
      <c r="AE158" s="347"/>
      <c r="AF158" s="347"/>
      <c r="AG158" s="347"/>
      <c r="AH158" s="347"/>
      <c r="AI158" s="347"/>
      <c r="AJ158" s="347"/>
      <c r="AK158" s="347"/>
      <c r="AL158" s="347"/>
      <c r="AM158" s="347"/>
      <c r="AN158" s="347">
        <v>-0.4</v>
      </c>
      <c r="AO158" s="347"/>
      <c r="AP158" s="347"/>
    </row>
    <row r="159" spans="1:42" ht="17.25" customHeight="1">
      <c r="A159" s="436"/>
      <c r="B159" s="445"/>
      <c r="C159" s="39"/>
      <c r="D159" s="42" t="s">
        <v>153</v>
      </c>
      <c r="E159" s="347">
        <v>60</v>
      </c>
      <c r="F159" s="347">
        <v>50</v>
      </c>
      <c r="G159" s="347">
        <v>239</v>
      </c>
      <c r="H159" s="347"/>
      <c r="I159" s="347"/>
      <c r="J159" s="347"/>
      <c r="K159" s="347"/>
      <c r="L159" s="347"/>
      <c r="M159" s="347">
        <v>387</v>
      </c>
      <c r="N159" s="347">
        <v>453</v>
      </c>
      <c r="O159" s="347"/>
      <c r="P159" s="347"/>
      <c r="Q159" s="347"/>
      <c r="R159" s="347"/>
      <c r="S159" s="347"/>
      <c r="T159" s="347"/>
      <c r="U159" s="348"/>
      <c r="V159" s="347"/>
      <c r="W159" s="347"/>
      <c r="X159" s="347"/>
      <c r="Y159" s="347"/>
      <c r="Z159" s="347"/>
      <c r="AA159" s="349"/>
      <c r="AB159" s="347">
        <v>315</v>
      </c>
      <c r="AC159" s="347"/>
      <c r="AD159" s="347"/>
      <c r="AE159" s="347"/>
      <c r="AF159" s="347"/>
      <c r="AG159" s="347"/>
      <c r="AH159" s="347"/>
      <c r="AI159" s="347"/>
      <c r="AJ159" s="347"/>
      <c r="AK159" s="347"/>
      <c r="AL159" s="347"/>
      <c r="AM159" s="347"/>
      <c r="AN159" s="347">
        <v>5.2</v>
      </c>
      <c r="AO159" s="347"/>
      <c r="AP159" s="347"/>
    </row>
    <row r="160" spans="1:42" ht="14.45" customHeight="1">
      <c r="A160" s="436"/>
      <c r="B160" s="443"/>
      <c r="C160" s="39" t="s">
        <v>282</v>
      </c>
      <c r="D160" s="42" t="s">
        <v>237</v>
      </c>
      <c r="E160" s="347">
        <v>60</v>
      </c>
      <c r="F160" s="347">
        <v>46</v>
      </c>
      <c r="G160" s="347">
        <v>442</v>
      </c>
      <c r="H160" s="347"/>
      <c r="I160" s="347"/>
      <c r="J160" s="347"/>
      <c r="K160" s="347"/>
      <c r="L160" s="347"/>
      <c r="M160" s="347">
        <v>21</v>
      </c>
      <c r="N160" s="347">
        <v>118</v>
      </c>
      <c r="O160" s="347"/>
      <c r="P160" s="347"/>
      <c r="Q160" s="347"/>
      <c r="R160" s="347"/>
      <c r="S160" s="347"/>
      <c r="T160" s="347"/>
      <c r="U160" s="348"/>
      <c r="V160" s="347"/>
      <c r="W160" s="347"/>
      <c r="X160" s="347"/>
      <c r="Y160" s="347"/>
      <c r="Z160" s="347"/>
      <c r="AA160" s="349"/>
      <c r="AB160" s="347">
        <v>186</v>
      </c>
      <c r="AC160" s="347"/>
      <c r="AD160" s="347"/>
      <c r="AE160" s="347"/>
      <c r="AF160" s="347"/>
      <c r="AG160" s="347"/>
      <c r="AH160" s="347"/>
      <c r="AI160" s="347"/>
      <c r="AJ160" s="347"/>
      <c r="AK160" s="347"/>
      <c r="AL160" s="347"/>
      <c r="AM160" s="347"/>
      <c r="AN160" s="347">
        <v>1.2</v>
      </c>
      <c r="AO160" s="347"/>
      <c r="AP160" s="347"/>
    </row>
    <row r="161" spans="1:42" ht="14.45" customHeight="1">
      <c r="A161" s="436"/>
      <c r="B161" s="438" t="s">
        <v>56</v>
      </c>
      <c r="C161" s="439"/>
      <c r="D161" s="169" t="s">
        <v>114</v>
      </c>
      <c r="E161" s="343">
        <v>325</v>
      </c>
      <c r="F161" s="344">
        <v>290</v>
      </c>
      <c r="G161" s="344"/>
      <c r="H161" s="344"/>
      <c r="I161" s="344"/>
      <c r="J161" s="344"/>
      <c r="K161" s="343"/>
      <c r="L161" s="344"/>
      <c r="M161" s="343"/>
      <c r="N161" s="344"/>
      <c r="O161" s="344"/>
      <c r="P161" s="344"/>
      <c r="Q161" s="344"/>
      <c r="R161" s="344"/>
      <c r="S161" s="344"/>
      <c r="T161" s="344"/>
      <c r="U161" s="345"/>
      <c r="V161" s="344"/>
      <c r="W161" s="344"/>
      <c r="X161" s="344"/>
      <c r="Y161" s="344"/>
      <c r="Z161" s="344"/>
      <c r="AA161" s="346"/>
      <c r="AB161" s="344"/>
      <c r="AC161" s="344"/>
      <c r="AD161" s="344"/>
      <c r="AE161" s="344"/>
      <c r="AF161" s="344"/>
      <c r="AG161" s="344"/>
      <c r="AH161" s="344"/>
      <c r="AI161" s="344"/>
      <c r="AJ161" s="344"/>
      <c r="AK161" s="344"/>
      <c r="AL161" s="344"/>
      <c r="AM161" s="344"/>
      <c r="AN161" s="343"/>
      <c r="AO161" s="343"/>
      <c r="AP161" s="343"/>
    </row>
    <row r="162" spans="1:42" ht="14.45" customHeight="1">
      <c r="A162" s="436"/>
      <c r="B162" s="444" t="s">
        <v>56</v>
      </c>
      <c r="C162" s="39"/>
      <c r="D162" s="42" t="s">
        <v>156</v>
      </c>
      <c r="E162" s="347">
        <v>30</v>
      </c>
      <c r="F162" s="347">
        <v>26</v>
      </c>
      <c r="G162" s="347">
        <v>132</v>
      </c>
      <c r="H162" s="347"/>
      <c r="I162" s="347"/>
      <c r="J162" s="347"/>
      <c r="K162" s="347"/>
      <c r="L162" s="347"/>
      <c r="M162" s="347">
        <v>54</v>
      </c>
      <c r="N162" s="347">
        <v>483</v>
      </c>
      <c r="O162" s="347"/>
      <c r="P162" s="347"/>
      <c r="Q162" s="347"/>
      <c r="R162" s="347"/>
      <c r="S162" s="347"/>
      <c r="T162" s="347"/>
      <c r="U162" s="348"/>
      <c r="V162" s="347"/>
      <c r="W162" s="347"/>
      <c r="X162" s="347"/>
      <c r="Y162" s="347"/>
      <c r="Z162" s="347"/>
      <c r="AA162" s="349"/>
      <c r="AB162" s="347">
        <v>182</v>
      </c>
      <c r="AC162" s="347"/>
      <c r="AD162" s="347"/>
      <c r="AE162" s="347"/>
      <c r="AF162" s="347"/>
      <c r="AG162" s="347"/>
      <c r="AH162" s="347"/>
      <c r="AI162" s="347"/>
      <c r="AJ162" s="347"/>
      <c r="AK162" s="347"/>
      <c r="AL162" s="347"/>
      <c r="AM162" s="347"/>
      <c r="AN162" s="347">
        <v>-0.4</v>
      </c>
      <c r="AO162" s="347"/>
      <c r="AP162" s="347"/>
    </row>
    <row r="163" spans="1:42" ht="17.25" customHeight="1">
      <c r="A163" s="436"/>
      <c r="B163" s="445"/>
      <c r="C163" s="39"/>
      <c r="D163" s="42" t="s">
        <v>223</v>
      </c>
      <c r="E163" s="347">
        <v>60</v>
      </c>
      <c r="F163" s="347">
        <v>44</v>
      </c>
      <c r="G163" s="347">
        <v>239</v>
      </c>
      <c r="H163" s="347"/>
      <c r="I163" s="347"/>
      <c r="J163" s="347"/>
      <c r="K163" s="347"/>
      <c r="L163" s="347"/>
      <c r="M163" s="347">
        <v>134</v>
      </c>
      <c r="N163" s="347">
        <v>447</v>
      </c>
      <c r="O163" s="347"/>
      <c r="P163" s="347"/>
      <c r="Q163" s="347"/>
      <c r="R163" s="347"/>
      <c r="S163" s="347"/>
      <c r="T163" s="347"/>
      <c r="U163" s="348"/>
      <c r="V163" s="347"/>
      <c r="W163" s="347"/>
      <c r="X163" s="347"/>
      <c r="Y163" s="347"/>
      <c r="Z163" s="347"/>
      <c r="AA163" s="349"/>
      <c r="AB163" s="347">
        <v>312</v>
      </c>
      <c r="AC163" s="347"/>
      <c r="AD163" s="347"/>
      <c r="AE163" s="347"/>
      <c r="AF163" s="347"/>
      <c r="AG163" s="347"/>
      <c r="AH163" s="347"/>
      <c r="AI163" s="347"/>
      <c r="AJ163" s="347"/>
      <c r="AK163" s="347"/>
      <c r="AL163" s="347"/>
      <c r="AM163" s="347"/>
      <c r="AN163" s="347">
        <v>-3.2</v>
      </c>
      <c r="AO163" s="347"/>
      <c r="AP163" s="347"/>
    </row>
    <row r="164" spans="1:42" ht="14.45" customHeight="1">
      <c r="A164" s="436"/>
      <c r="B164" s="445"/>
      <c r="C164" s="39"/>
      <c r="D164" s="42" t="s">
        <v>122</v>
      </c>
      <c r="E164" s="347">
        <v>85</v>
      </c>
      <c r="F164" s="347">
        <v>71</v>
      </c>
      <c r="G164" s="347">
        <v>324</v>
      </c>
      <c r="H164" s="347"/>
      <c r="I164" s="347"/>
      <c r="J164" s="347"/>
      <c r="K164" s="347"/>
      <c r="L164" s="347"/>
      <c r="M164" s="347">
        <v>171</v>
      </c>
      <c r="N164" s="347">
        <v>344</v>
      </c>
      <c r="O164" s="347"/>
      <c r="P164" s="347"/>
      <c r="Q164" s="347"/>
      <c r="R164" s="347"/>
      <c r="S164" s="347"/>
      <c r="T164" s="347"/>
      <c r="U164" s="348"/>
      <c r="V164" s="347"/>
      <c r="W164" s="347"/>
      <c r="X164" s="347"/>
      <c r="Y164" s="347"/>
      <c r="Z164" s="347"/>
      <c r="AA164" s="349"/>
      <c r="AB164" s="347">
        <v>407</v>
      </c>
      <c r="AC164" s="347"/>
      <c r="AD164" s="347"/>
      <c r="AE164" s="347"/>
      <c r="AF164" s="347"/>
      <c r="AG164" s="347"/>
      <c r="AH164" s="347"/>
      <c r="AI164" s="347"/>
      <c r="AJ164" s="347"/>
      <c r="AK164" s="347"/>
      <c r="AL164" s="347"/>
      <c r="AM164" s="347"/>
      <c r="AN164" s="347">
        <v>-1.9</v>
      </c>
      <c r="AO164" s="347"/>
      <c r="AP164" s="347"/>
    </row>
    <row r="165" spans="1:42" ht="17.25" customHeight="1">
      <c r="A165" s="436"/>
      <c r="B165" s="445"/>
      <c r="C165" s="39"/>
      <c r="D165" s="42" t="s">
        <v>239</v>
      </c>
      <c r="E165" s="347">
        <v>60</v>
      </c>
      <c r="F165" s="347">
        <v>65</v>
      </c>
      <c r="G165" s="347">
        <v>472</v>
      </c>
      <c r="H165" s="347"/>
      <c r="I165" s="347"/>
      <c r="J165" s="347"/>
      <c r="K165" s="347"/>
      <c r="L165" s="347"/>
      <c r="M165" s="347">
        <v>181</v>
      </c>
      <c r="N165" s="347">
        <v>311</v>
      </c>
      <c r="O165" s="347"/>
      <c r="P165" s="347"/>
      <c r="Q165" s="347"/>
      <c r="R165" s="347"/>
      <c r="S165" s="347"/>
      <c r="T165" s="347"/>
      <c r="U165" s="348"/>
      <c r="V165" s="347"/>
      <c r="W165" s="347"/>
      <c r="X165" s="347"/>
      <c r="Y165" s="347"/>
      <c r="Z165" s="347"/>
      <c r="AA165" s="349"/>
      <c r="AB165" s="347">
        <v>327</v>
      </c>
      <c r="AC165" s="347"/>
      <c r="AD165" s="347"/>
      <c r="AE165" s="347"/>
      <c r="AF165" s="347"/>
      <c r="AG165" s="347"/>
      <c r="AH165" s="347"/>
      <c r="AI165" s="347"/>
      <c r="AJ165" s="347"/>
      <c r="AK165" s="347"/>
      <c r="AL165" s="347"/>
      <c r="AM165" s="347"/>
      <c r="AN165" s="347">
        <v>2.8</v>
      </c>
      <c r="AO165" s="347"/>
      <c r="AP165" s="347"/>
    </row>
    <row r="166" spans="1:42" ht="14.45" customHeight="1">
      <c r="A166" s="436"/>
      <c r="B166" s="445"/>
      <c r="C166" s="39" t="s">
        <v>300</v>
      </c>
      <c r="D166" s="42" t="s">
        <v>240</v>
      </c>
      <c r="E166" s="347">
        <v>60</v>
      </c>
      <c r="F166" s="347">
        <v>67</v>
      </c>
      <c r="G166" s="347">
        <v>344</v>
      </c>
      <c r="H166" s="347"/>
      <c r="I166" s="347"/>
      <c r="J166" s="347"/>
      <c r="K166" s="347"/>
      <c r="L166" s="347"/>
      <c r="M166" s="347">
        <v>288</v>
      </c>
      <c r="N166" s="347">
        <v>63</v>
      </c>
      <c r="O166" s="347"/>
      <c r="P166" s="347"/>
      <c r="Q166" s="347"/>
      <c r="R166" s="347"/>
      <c r="S166" s="347"/>
      <c r="T166" s="347"/>
      <c r="U166" s="348"/>
      <c r="V166" s="347"/>
      <c r="W166" s="347"/>
      <c r="X166" s="347"/>
      <c r="Y166" s="347"/>
      <c r="Z166" s="347"/>
      <c r="AA166" s="349"/>
      <c r="AB166" s="347">
        <v>407</v>
      </c>
      <c r="AC166" s="347"/>
      <c r="AD166" s="347"/>
      <c r="AE166" s="347"/>
      <c r="AF166" s="347"/>
      <c r="AG166" s="347"/>
      <c r="AH166" s="347"/>
      <c r="AI166" s="347"/>
      <c r="AJ166" s="347"/>
      <c r="AK166" s="347"/>
      <c r="AL166" s="347"/>
      <c r="AM166" s="347"/>
      <c r="AN166" s="347">
        <v>5.6</v>
      </c>
      <c r="AO166" s="347"/>
      <c r="AP166" s="347"/>
    </row>
    <row r="167" spans="1:42" ht="17.25" customHeight="1">
      <c r="A167" s="437"/>
      <c r="B167" s="443"/>
      <c r="C167" s="39" t="s">
        <v>282</v>
      </c>
      <c r="D167" s="42" t="s">
        <v>241</v>
      </c>
      <c r="E167" s="347">
        <v>30</v>
      </c>
      <c r="F167" s="347">
        <v>17</v>
      </c>
      <c r="G167" s="347">
        <v>316</v>
      </c>
      <c r="H167" s="347"/>
      <c r="I167" s="347"/>
      <c r="J167" s="347"/>
      <c r="K167" s="347"/>
      <c r="L167" s="347"/>
      <c r="M167" s="347">
        <v>435</v>
      </c>
      <c r="N167" s="347">
        <v>75</v>
      </c>
      <c r="O167" s="347"/>
      <c r="P167" s="347"/>
      <c r="Q167" s="347"/>
      <c r="R167" s="347"/>
      <c r="S167" s="347"/>
      <c r="T167" s="347"/>
      <c r="U167" s="348"/>
      <c r="V167" s="347"/>
      <c r="W167" s="347"/>
      <c r="X167" s="347"/>
      <c r="Y167" s="347"/>
      <c r="Z167" s="347"/>
      <c r="AA167" s="349"/>
      <c r="AB167" s="347">
        <v>287</v>
      </c>
      <c r="AC167" s="347"/>
      <c r="AD167" s="347"/>
      <c r="AE167" s="347"/>
      <c r="AF167" s="347"/>
      <c r="AG167" s="347"/>
      <c r="AH167" s="347"/>
      <c r="AI167" s="347"/>
      <c r="AJ167" s="347"/>
      <c r="AK167" s="347"/>
      <c r="AL167" s="347"/>
      <c r="AM167" s="347"/>
      <c r="AN167" s="347">
        <v>-1.5</v>
      </c>
      <c r="AO167" s="347"/>
      <c r="AP167" s="347"/>
    </row>
    <row r="168" spans="1:42" ht="14.45" customHeight="1">
      <c r="A168" s="435" t="s">
        <v>306</v>
      </c>
      <c r="B168" s="440" t="s">
        <v>113</v>
      </c>
      <c r="C168" s="441"/>
      <c r="D168" s="439"/>
      <c r="E168" s="339">
        <v>850</v>
      </c>
      <c r="F168" s="340">
        <v>596</v>
      </c>
      <c r="G168" s="340">
        <v>431</v>
      </c>
      <c r="H168" s="340"/>
      <c r="I168" s="340"/>
      <c r="J168" s="340"/>
      <c r="K168" s="339"/>
      <c r="L168" s="340"/>
      <c r="M168" s="339">
        <v>431</v>
      </c>
      <c r="N168" s="340">
        <v>280</v>
      </c>
      <c r="O168" s="340"/>
      <c r="P168" s="340"/>
      <c r="Q168" s="340"/>
      <c r="R168" s="340"/>
      <c r="S168" s="340"/>
      <c r="T168" s="340"/>
      <c r="U168" s="341"/>
      <c r="V168" s="340"/>
      <c r="W168" s="340"/>
      <c r="X168" s="340"/>
      <c r="Y168" s="340"/>
      <c r="Z168" s="340"/>
      <c r="AA168" s="342"/>
      <c r="AB168" s="340">
        <v>102</v>
      </c>
      <c r="AC168" s="340"/>
      <c r="AD168" s="340"/>
      <c r="AE168" s="340"/>
      <c r="AF168" s="340"/>
      <c r="AG168" s="340"/>
      <c r="AH168" s="340"/>
      <c r="AI168" s="340"/>
      <c r="AJ168" s="340"/>
      <c r="AK168" s="340"/>
      <c r="AL168" s="340"/>
      <c r="AM168" s="340"/>
      <c r="AN168" s="339">
        <v>5.0999999999999996</v>
      </c>
      <c r="AO168" s="339"/>
      <c r="AP168" s="339"/>
    </row>
    <row r="169" spans="1:42" ht="17.25" customHeight="1">
      <c r="A169" s="436"/>
      <c r="B169" s="438" t="s">
        <v>60</v>
      </c>
      <c r="C169" s="439"/>
      <c r="D169" s="169" t="s">
        <v>114</v>
      </c>
      <c r="E169" s="343">
        <v>180</v>
      </c>
      <c r="F169" s="344">
        <v>190</v>
      </c>
      <c r="G169" s="344"/>
      <c r="H169" s="344"/>
      <c r="I169" s="344"/>
      <c r="J169" s="344"/>
      <c r="K169" s="343"/>
      <c r="L169" s="344"/>
      <c r="M169" s="343"/>
      <c r="N169" s="344"/>
      <c r="O169" s="344"/>
      <c r="P169" s="344"/>
      <c r="Q169" s="344"/>
      <c r="R169" s="344"/>
      <c r="S169" s="344"/>
      <c r="T169" s="344"/>
      <c r="U169" s="345"/>
      <c r="V169" s="344"/>
      <c r="W169" s="344"/>
      <c r="X169" s="344"/>
      <c r="Y169" s="344"/>
      <c r="Z169" s="344"/>
      <c r="AA169" s="346"/>
      <c r="AB169" s="344"/>
      <c r="AC169" s="344"/>
      <c r="AD169" s="344"/>
      <c r="AE169" s="344"/>
      <c r="AF169" s="344"/>
      <c r="AG169" s="344"/>
      <c r="AH169" s="344"/>
      <c r="AI169" s="344"/>
      <c r="AJ169" s="344"/>
      <c r="AK169" s="344"/>
      <c r="AL169" s="344"/>
      <c r="AM169" s="344"/>
      <c r="AN169" s="343"/>
      <c r="AO169" s="343"/>
      <c r="AP169" s="343"/>
    </row>
    <row r="170" spans="1:42" ht="14.45" customHeight="1">
      <c r="A170" s="436"/>
      <c r="B170" s="444" t="s">
        <v>60</v>
      </c>
      <c r="C170" s="39"/>
      <c r="D170" s="42" t="s">
        <v>243</v>
      </c>
      <c r="E170" s="347">
        <v>30</v>
      </c>
      <c r="F170" s="347">
        <v>35</v>
      </c>
      <c r="G170" s="347">
        <v>323</v>
      </c>
      <c r="H170" s="347"/>
      <c r="I170" s="347"/>
      <c r="J170" s="347"/>
      <c r="K170" s="347"/>
      <c r="L170" s="347"/>
      <c r="M170" s="347">
        <v>117</v>
      </c>
      <c r="N170" s="347">
        <v>458</v>
      </c>
      <c r="O170" s="347"/>
      <c r="P170" s="347"/>
      <c r="Q170" s="347"/>
      <c r="R170" s="347"/>
      <c r="S170" s="347"/>
      <c r="T170" s="347"/>
      <c r="U170" s="348"/>
      <c r="V170" s="347"/>
      <c r="W170" s="347"/>
      <c r="X170" s="347"/>
      <c r="Y170" s="347"/>
      <c r="Z170" s="347"/>
      <c r="AA170" s="349"/>
      <c r="AB170" s="347">
        <v>124</v>
      </c>
      <c r="AC170" s="347"/>
      <c r="AD170" s="347"/>
      <c r="AE170" s="347"/>
      <c r="AF170" s="347"/>
      <c r="AG170" s="347"/>
      <c r="AH170" s="347"/>
      <c r="AI170" s="347"/>
      <c r="AJ170" s="347"/>
      <c r="AK170" s="347"/>
      <c r="AL170" s="347"/>
      <c r="AM170" s="347"/>
      <c r="AN170" s="347">
        <v>-4.2</v>
      </c>
      <c r="AO170" s="347"/>
      <c r="AP170" s="347"/>
    </row>
    <row r="171" spans="1:42" ht="17.25" customHeight="1">
      <c r="A171" s="436"/>
      <c r="B171" s="445"/>
      <c r="C171" s="39"/>
      <c r="D171" s="42" t="s">
        <v>244</v>
      </c>
      <c r="E171" s="347">
        <v>30</v>
      </c>
      <c r="F171" s="347">
        <v>34</v>
      </c>
      <c r="G171" s="347">
        <v>200</v>
      </c>
      <c r="H171" s="347"/>
      <c r="I171" s="347"/>
      <c r="J171" s="347"/>
      <c r="K171" s="347"/>
      <c r="L171" s="347"/>
      <c r="M171" s="347">
        <v>242</v>
      </c>
      <c r="N171" s="347">
        <v>421</v>
      </c>
      <c r="O171" s="347"/>
      <c r="P171" s="347"/>
      <c r="Q171" s="347"/>
      <c r="R171" s="347"/>
      <c r="S171" s="347"/>
      <c r="T171" s="347"/>
      <c r="U171" s="348"/>
      <c r="V171" s="347"/>
      <c r="W171" s="347"/>
      <c r="X171" s="347"/>
      <c r="Y171" s="347"/>
      <c r="Z171" s="347"/>
      <c r="AA171" s="349"/>
      <c r="AB171" s="347">
        <v>364</v>
      </c>
      <c r="AC171" s="347"/>
      <c r="AD171" s="347"/>
      <c r="AE171" s="347"/>
      <c r="AF171" s="347"/>
      <c r="AG171" s="347"/>
      <c r="AH171" s="347"/>
      <c r="AI171" s="347"/>
      <c r="AJ171" s="347"/>
      <c r="AK171" s="347"/>
      <c r="AL171" s="347"/>
      <c r="AM171" s="347"/>
      <c r="AN171" s="347">
        <v>4.9000000000000004</v>
      </c>
      <c r="AO171" s="347"/>
      <c r="AP171" s="347"/>
    </row>
    <row r="172" spans="1:42" ht="14.45" customHeight="1">
      <c r="A172" s="436"/>
      <c r="B172" s="445"/>
      <c r="C172" s="39"/>
      <c r="D172" s="42" t="s">
        <v>245</v>
      </c>
      <c r="E172" s="347">
        <v>30</v>
      </c>
      <c r="F172" s="347">
        <v>42</v>
      </c>
      <c r="G172" s="347">
        <v>341</v>
      </c>
      <c r="H172" s="347"/>
      <c r="I172" s="347"/>
      <c r="J172" s="347"/>
      <c r="K172" s="347"/>
      <c r="L172" s="347"/>
      <c r="M172" s="347">
        <v>334</v>
      </c>
      <c r="N172" s="347">
        <v>422</v>
      </c>
      <c r="O172" s="347"/>
      <c r="P172" s="347"/>
      <c r="Q172" s="347"/>
      <c r="R172" s="347"/>
      <c r="S172" s="347"/>
      <c r="T172" s="347"/>
      <c r="U172" s="348"/>
      <c r="V172" s="347"/>
      <c r="W172" s="347"/>
      <c r="X172" s="347"/>
      <c r="Y172" s="347"/>
      <c r="Z172" s="347"/>
      <c r="AA172" s="349"/>
      <c r="AB172" s="347">
        <v>353</v>
      </c>
      <c r="AC172" s="347"/>
      <c r="AD172" s="347"/>
      <c r="AE172" s="347"/>
      <c r="AF172" s="347"/>
      <c r="AG172" s="347"/>
      <c r="AH172" s="347"/>
      <c r="AI172" s="347"/>
      <c r="AJ172" s="347"/>
      <c r="AK172" s="347"/>
      <c r="AL172" s="347"/>
      <c r="AM172" s="347"/>
      <c r="AN172" s="347">
        <v>-1.2</v>
      </c>
      <c r="AO172" s="347"/>
      <c r="AP172" s="347"/>
    </row>
    <row r="173" spans="1:42" ht="17.25" customHeight="1">
      <c r="A173" s="436"/>
      <c r="B173" s="445"/>
      <c r="C173" s="39"/>
      <c r="D173" s="42" t="s">
        <v>246</v>
      </c>
      <c r="E173" s="347">
        <v>30</v>
      </c>
      <c r="F173" s="347">
        <v>19</v>
      </c>
      <c r="G173" s="347">
        <v>485</v>
      </c>
      <c r="H173" s="347"/>
      <c r="I173" s="347"/>
      <c r="J173" s="347"/>
      <c r="K173" s="347"/>
      <c r="L173" s="347"/>
      <c r="M173" s="347">
        <v>65</v>
      </c>
      <c r="N173" s="347">
        <v>476</v>
      </c>
      <c r="O173" s="347"/>
      <c r="P173" s="347"/>
      <c r="Q173" s="347"/>
      <c r="R173" s="347"/>
      <c r="S173" s="347"/>
      <c r="T173" s="347"/>
      <c r="U173" s="348"/>
      <c r="V173" s="347"/>
      <c r="W173" s="347"/>
      <c r="X173" s="347"/>
      <c r="Y173" s="347"/>
      <c r="Z173" s="347"/>
      <c r="AA173" s="349"/>
      <c r="AB173" s="347">
        <v>68</v>
      </c>
      <c r="AC173" s="347"/>
      <c r="AD173" s="347"/>
      <c r="AE173" s="347"/>
      <c r="AF173" s="347"/>
      <c r="AG173" s="347"/>
      <c r="AH173" s="347"/>
      <c r="AI173" s="347"/>
      <c r="AJ173" s="347"/>
      <c r="AK173" s="347"/>
      <c r="AL173" s="347"/>
      <c r="AM173" s="347"/>
      <c r="AN173" s="347">
        <v>6.2</v>
      </c>
      <c r="AO173" s="347"/>
      <c r="AP173" s="347"/>
    </row>
    <row r="174" spans="1:42" ht="14.45" customHeight="1">
      <c r="A174" s="436"/>
      <c r="B174" s="445"/>
      <c r="C174" s="39"/>
      <c r="D174" s="42" t="s">
        <v>247</v>
      </c>
      <c r="E174" s="347">
        <v>30</v>
      </c>
      <c r="F174" s="347">
        <v>36</v>
      </c>
      <c r="G174" s="347">
        <v>375</v>
      </c>
      <c r="H174" s="347"/>
      <c r="I174" s="347"/>
      <c r="J174" s="347"/>
      <c r="K174" s="347"/>
      <c r="L174" s="347"/>
      <c r="M174" s="347">
        <v>86</v>
      </c>
      <c r="N174" s="347">
        <v>39</v>
      </c>
      <c r="O174" s="347"/>
      <c r="P174" s="347"/>
      <c r="Q174" s="347"/>
      <c r="R174" s="347"/>
      <c r="S174" s="347"/>
      <c r="T174" s="347"/>
      <c r="U174" s="348"/>
      <c r="V174" s="347"/>
      <c r="W174" s="347"/>
      <c r="X174" s="347"/>
      <c r="Y174" s="347"/>
      <c r="Z174" s="347"/>
      <c r="AA174" s="349"/>
      <c r="AB174" s="347">
        <v>322</v>
      </c>
      <c r="AC174" s="347"/>
      <c r="AD174" s="347"/>
      <c r="AE174" s="347"/>
      <c r="AF174" s="347"/>
      <c r="AG174" s="347"/>
      <c r="AH174" s="347"/>
      <c r="AI174" s="347"/>
      <c r="AJ174" s="347"/>
      <c r="AK174" s="347"/>
      <c r="AL174" s="347"/>
      <c r="AM174" s="347"/>
      <c r="AN174" s="347">
        <v>1.1000000000000001</v>
      </c>
      <c r="AO174" s="347"/>
      <c r="AP174" s="347"/>
    </row>
    <row r="175" spans="1:42" ht="17.25" customHeight="1">
      <c r="A175" s="436"/>
      <c r="B175" s="443"/>
      <c r="C175" s="39"/>
      <c r="D175" s="42" t="s">
        <v>248</v>
      </c>
      <c r="E175" s="347">
        <v>30</v>
      </c>
      <c r="F175" s="347">
        <v>24</v>
      </c>
      <c r="G175" s="347">
        <v>191</v>
      </c>
      <c r="H175" s="347"/>
      <c r="I175" s="347"/>
      <c r="J175" s="347"/>
      <c r="K175" s="347"/>
      <c r="L175" s="347"/>
      <c r="M175" s="347">
        <v>48</v>
      </c>
      <c r="N175" s="347">
        <v>366</v>
      </c>
      <c r="O175" s="347"/>
      <c r="P175" s="347"/>
      <c r="Q175" s="347"/>
      <c r="R175" s="347"/>
      <c r="S175" s="347"/>
      <c r="T175" s="347"/>
      <c r="U175" s="348"/>
      <c r="V175" s="347"/>
      <c r="W175" s="347"/>
      <c r="X175" s="347"/>
      <c r="Y175" s="347"/>
      <c r="Z175" s="347"/>
      <c r="AA175" s="349"/>
      <c r="AB175" s="347">
        <v>196</v>
      </c>
      <c r="AC175" s="347"/>
      <c r="AD175" s="347"/>
      <c r="AE175" s="347"/>
      <c r="AF175" s="347"/>
      <c r="AG175" s="347"/>
      <c r="AH175" s="347"/>
      <c r="AI175" s="347"/>
      <c r="AJ175" s="347"/>
      <c r="AK175" s="347"/>
      <c r="AL175" s="347"/>
      <c r="AM175" s="347"/>
      <c r="AN175" s="347">
        <v>-1.6</v>
      </c>
      <c r="AO175" s="347"/>
      <c r="AP175" s="347"/>
    </row>
    <row r="176" spans="1:42" ht="14.45" customHeight="1">
      <c r="A176" s="436"/>
      <c r="B176" s="438" t="s">
        <v>61</v>
      </c>
      <c r="C176" s="439"/>
      <c r="D176" s="169" t="s">
        <v>114</v>
      </c>
      <c r="E176" s="343">
        <v>240</v>
      </c>
      <c r="F176" s="344">
        <v>155</v>
      </c>
      <c r="G176" s="344"/>
      <c r="H176" s="344"/>
      <c r="I176" s="344"/>
      <c r="J176" s="344"/>
      <c r="K176" s="343"/>
      <c r="L176" s="344"/>
      <c r="M176" s="343"/>
      <c r="N176" s="344"/>
      <c r="O176" s="344"/>
      <c r="P176" s="344"/>
      <c r="Q176" s="344"/>
      <c r="R176" s="344"/>
      <c r="S176" s="344"/>
      <c r="T176" s="344"/>
      <c r="U176" s="345"/>
      <c r="V176" s="344"/>
      <c r="W176" s="344"/>
      <c r="X176" s="344"/>
      <c r="Y176" s="344"/>
      <c r="Z176" s="344"/>
      <c r="AA176" s="346"/>
      <c r="AB176" s="344"/>
      <c r="AC176" s="344"/>
      <c r="AD176" s="344"/>
      <c r="AE176" s="344"/>
      <c r="AF176" s="344"/>
      <c r="AG176" s="344"/>
      <c r="AH176" s="344"/>
      <c r="AI176" s="344"/>
      <c r="AJ176" s="344"/>
      <c r="AK176" s="344"/>
      <c r="AL176" s="344"/>
      <c r="AM176" s="344"/>
      <c r="AN176" s="343"/>
      <c r="AO176" s="343"/>
      <c r="AP176" s="343"/>
    </row>
    <row r="177" spans="1:42" ht="17.25" customHeight="1">
      <c r="A177" s="436"/>
      <c r="B177" s="444" t="s">
        <v>61</v>
      </c>
      <c r="C177" s="39"/>
      <c r="D177" s="42" t="s">
        <v>249</v>
      </c>
      <c r="E177" s="347">
        <v>60</v>
      </c>
      <c r="F177" s="347">
        <v>38</v>
      </c>
      <c r="G177" s="347">
        <v>9</v>
      </c>
      <c r="H177" s="347"/>
      <c r="I177" s="347"/>
      <c r="J177" s="347"/>
      <c r="K177" s="347"/>
      <c r="L177" s="347"/>
      <c r="M177" s="347">
        <v>269</v>
      </c>
      <c r="N177" s="347">
        <v>388</v>
      </c>
      <c r="O177" s="347"/>
      <c r="P177" s="347"/>
      <c r="Q177" s="347"/>
      <c r="R177" s="347"/>
      <c r="S177" s="347"/>
      <c r="T177" s="347"/>
      <c r="U177" s="348"/>
      <c r="V177" s="347"/>
      <c r="W177" s="347"/>
      <c r="X177" s="347"/>
      <c r="Y177" s="347"/>
      <c r="Z177" s="347"/>
      <c r="AA177" s="349"/>
      <c r="AB177" s="347">
        <v>40</v>
      </c>
      <c r="AC177" s="347"/>
      <c r="AD177" s="347"/>
      <c r="AE177" s="347"/>
      <c r="AF177" s="347"/>
      <c r="AG177" s="347"/>
      <c r="AH177" s="347"/>
      <c r="AI177" s="347"/>
      <c r="AJ177" s="347"/>
      <c r="AK177" s="347"/>
      <c r="AL177" s="347"/>
      <c r="AM177" s="347"/>
      <c r="AN177" s="347">
        <v>7.6</v>
      </c>
      <c r="AO177" s="347"/>
      <c r="AP177" s="347"/>
    </row>
    <row r="178" spans="1:42" ht="14.45" customHeight="1">
      <c r="A178" s="437"/>
      <c r="B178" s="445"/>
      <c r="C178" s="39"/>
      <c r="D178" s="42" t="s">
        <v>250</v>
      </c>
      <c r="E178" s="347">
        <v>60</v>
      </c>
      <c r="F178" s="347">
        <v>26</v>
      </c>
      <c r="G178" s="347">
        <v>145</v>
      </c>
      <c r="H178" s="347"/>
      <c r="I178" s="347"/>
      <c r="J178" s="347"/>
      <c r="K178" s="347"/>
      <c r="L178" s="347"/>
      <c r="M178" s="347">
        <v>421</v>
      </c>
      <c r="N178" s="347">
        <v>78</v>
      </c>
      <c r="O178" s="347"/>
      <c r="P178" s="347"/>
      <c r="Q178" s="347"/>
      <c r="R178" s="347"/>
      <c r="S178" s="347"/>
      <c r="T178" s="347"/>
      <c r="U178" s="348"/>
      <c r="V178" s="347"/>
      <c r="W178" s="347"/>
      <c r="X178" s="347"/>
      <c r="Y178" s="347"/>
      <c r="Z178" s="347"/>
      <c r="AA178" s="349"/>
      <c r="AB178" s="347">
        <v>456</v>
      </c>
      <c r="AC178" s="347"/>
      <c r="AD178" s="347"/>
      <c r="AE178" s="347"/>
      <c r="AF178" s="347"/>
      <c r="AG178" s="347"/>
      <c r="AH178" s="347"/>
      <c r="AI178" s="347"/>
      <c r="AJ178" s="347"/>
      <c r="AK178" s="347"/>
      <c r="AL178" s="347"/>
      <c r="AM178" s="347"/>
      <c r="AN178" s="347">
        <v>0.6</v>
      </c>
      <c r="AO178" s="347"/>
      <c r="AP178" s="347"/>
    </row>
    <row r="179" spans="1:42" ht="17.25" customHeight="1">
      <c r="A179" s="454" t="s">
        <v>306</v>
      </c>
      <c r="B179" s="445"/>
      <c r="C179" s="39"/>
      <c r="D179" s="42" t="s">
        <v>251</v>
      </c>
      <c r="E179" s="347">
        <v>60</v>
      </c>
      <c r="F179" s="347">
        <v>44</v>
      </c>
      <c r="G179" s="347">
        <v>239</v>
      </c>
      <c r="H179" s="347"/>
      <c r="I179" s="347"/>
      <c r="J179" s="347"/>
      <c r="K179" s="347"/>
      <c r="L179" s="347"/>
      <c r="M179" s="347">
        <v>115</v>
      </c>
      <c r="N179" s="347">
        <v>321</v>
      </c>
      <c r="O179" s="347"/>
      <c r="P179" s="347"/>
      <c r="Q179" s="347"/>
      <c r="R179" s="347"/>
      <c r="S179" s="347"/>
      <c r="T179" s="347"/>
      <c r="U179" s="348"/>
      <c r="V179" s="347"/>
      <c r="W179" s="347"/>
      <c r="X179" s="347"/>
      <c r="Y179" s="347"/>
      <c r="Z179" s="347"/>
      <c r="AA179" s="349"/>
      <c r="AB179" s="347">
        <v>9</v>
      </c>
      <c r="AC179" s="347"/>
      <c r="AD179" s="347"/>
      <c r="AE179" s="347"/>
      <c r="AF179" s="347"/>
      <c r="AG179" s="347"/>
      <c r="AH179" s="347"/>
      <c r="AI179" s="347"/>
      <c r="AJ179" s="347"/>
      <c r="AK179" s="347"/>
      <c r="AL179" s="347"/>
      <c r="AM179" s="347"/>
      <c r="AN179" s="347">
        <v>7.3</v>
      </c>
      <c r="AO179" s="347"/>
      <c r="AP179" s="347"/>
    </row>
    <row r="180" spans="1:42" ht="17.25" customHeight="1">
      <c r="A180" s="436"/>
      <c r="B180" s="443"/>
      <c r="C180" s="39"/>
      <c r="D180" s="42" t="s">
        <v>252</v>
      </c>
      <c r="E180" s="347">
        <v>60</v>
      </c>
      <c r="F180" s="347">
        <v>47</v>
      </c>
      <c r="G180" s="347">
        <v>292</v>
      </c>
      <c r="H180" s="347"/>
      <c r="I180" s="347"/>
      <c r="J180" s="347"/>
      <c r="K180" s="347"/>
      <c r="L180" s="347"/>
      <c r="M180" s="347">
        <v>28</v>
      </c>
      <c r="N180" s="347">
        <v>74</v>
      </c>
      <c r="O180" s="347"/>
      <c r="P180" s="347"/>
      <c r="Q180" s="347"/>
      <c r="R180" s="347"/>
      <c r="S180" s="347"/>
      <c r="T180" s="347"/>
      <c r="U180" s="348"/>
      <c r="V180" s="347"/>
      <c r="W180" s="347"/>
      <c r="X180" s="347"/>
      <c r="Y180" s="347"/>
      <c r="Z180" s="347"/>
      <c r="AA180" s="349"/>
      <c r="AB180" s="347">
        <v>445</v>
      </c>
      <c r="AC180" s="347"/>
      <c r="AD180" s="347"/>
      <c r="AE180" s="347"/>
      <c r="AF180" s="347"/>
      <c r="AG180" s="347"/>
      <c r="AH180" s="347"/>
      <c r="AI180" s="347"/>
      <c r="AJ180" s="347"/>
      <c r="AK180" s="347"/>
      <c r="AL180" s="347"/>
      <c r="AM180" s="347"/>
      <c r="AN180" s="347">
        <v>-2.1</v>
      </c>
      <c r="AO180" s="347"/>
      <c r="AP180" s="347"/>
    </row>
    <row r="181" spans="1:42" ht="14.45" customHeight="1">
      <c r="A181" s="436"/>
      <c r="B181" s="438" t="s">
        <v>307</v>
      </c>
      <c r="C181" s="439"/>
      <c r="D181" s="169" t="s">
        <v>114</v>
      </c>
      <c r="E181" s="343">
        <v>330</v>
      </c>
      <c r="F181" s="344">
        <v>218</v>
      </c>
      <c r="G181" s="344"/>
      <c r="H181" s="344"/>
      <c r="I181" s="344"/>
      <c r="J181" s="344"/>
      <c r="K181" s="343"/>
      <c r="L181" s="344"/>
      <c r="M181" s="343"/>
      <c r="N181" s="344"/>
      <c r="O181" s="344"/>
      <c r="P181" s="344"/>
      <c r="Q181" s="344"/>
      <c r="R181" s="344"/>
      <c r="S181" s="344"/>
      <c r="T181" s="344"/>
      <c r="U181" s="345"/>
      <c r="V181" s="344"/>
      <c r="W181" s="344"/>
      <c r="X181" s="344"/>
      <c r="Y181" s="344"/>
      <c r="Z181" s="344"/>
      <c r="AA181" s="346"/>
      <c r="AB181" s="344"/>
      <c r="AC181" s="344"/>
      <c r="AD181" s="344"/>
      <c r="AE181" s="344"/>
      <c r="AF181" s="344"/>
      <c r="AG181" s="344"/>
      <c r="AH181" s="344"/>
      <c r="AI181" s="344"/>
      <c r="AJ181" s="344"/>
      <c r="AK181" s="344"/>
      <c r="AL181" s="344"/>
      <c r="AM181" s="344"/>
      <c r="AN181" s="343"/>
      <c r="AO181" s="343"/>
      <c r="AP181" s="343"/>
    </row>
    <row r="182" spans="1:42" ht="16.5" customHeight="1">
      <c r="A182" s="436"/>
      <c r="B182" s="444" t="s">
        <v>307</v>
      </c>
      <c r="C182" s="39" t="s">
        <v>287</v>
      </c>
      <c r="D182" s="42" t="s">
        <v>254</v>
      </c>
      <c r="E182" s="347">
        <v>50</v>
      </c>
      <c r="F182" s="347">
        <v>37</v>
      </c>
      <c r="G182" s="347">
        <v>316</v>
      </c>
      <c r="H182" s="347"/>
      <c r="I182" s="347"/>
      <c r="J182" s="347"/>
      <c r="K182" s="347"/>
      <c r="L182" s="347"/>
      <c r="M182" s="347">
        <v>6</v>
      </c>
      <c r="N182" s="347">
        <v>92</v>
      </c>
      <c r="O182" s="347"/>
      <c r="P182" s="347"/>
      <c r="Q182" s="347"/>
      <c r="R182" s="347"/>
      <c r="S182" s="347"/>
      <c r="T182" s="347"/>
      <c r="U182" s="348"/>
      <c r="V182" s="347"/>
      <c r="W182" s="347"/>
      <c r="X182" s="347"/>
      <c r="Y182" s="347"/>
      <c r="Z182" s="347"/>
      <c r="AA182" s="349"/>
      <c r="AB182" s="347">
        <v>253</v>
      </c>
      <c r="AC182" s="347"/>
      <c r="AD182" s="347"/>
      <c r="AE182" s="347"/>
      <c r="AF182" s="347"/>
      <c r="AG182" s="347"/>
      <c r="AH182" s="347"/>
      <c r="AI182" s="347"/>
      <c r="AJ182" s="347"/>
      <c r="AK182" s="347"/>
      <c r="AL182" s="347"/>
      <c r="AM182" s="347"/>
      <c r="AN182" s="347">
        <v>-2.6</v>
      </c>
      <c r="AO182" s="347"/>
      <c r="AP182" s="347"/>
    </row>
    <row r="183" spans="1:42">
      <c r="A183" s="436"/>
      <c r="B183" s="445"/>
      <c r="C183" s="39"/>
      <c r="D183" s="42" t="s">
        <v>255</v>
      </c>
      <c r="E183" s="347">
        <v>50</v>
      </c>
      <c r="F183" s="347">
        <v>23</v>
      </c>
      <c r="G183" s="347">
        <v>423</v>
      </c>
      <c r="H183" s="347"/>
      <c r="I183" s="347"/>
      <c r="J183" s="347"/>
      <c r="K183" s="347"/>
      <c r="L183" s="347"/>
      <c r="M183" s="347">
        <v>392</v>
      </c>
      <c r="N183" s="347">
        <v>394</v>
      </c>
      <c r="O183" s="347"/>
      <c r="P183" s="347"/>
      <c r="Q183" s="347"/>
      <c r="R183" s="347"/>
      <c r="S183" s="347"/>
      <c r="T183" s="347"/>
      <c r="U183" s="348"/>
      <c r="V183" s="347"/>
      <c r="W183" s="347"/>
      <c r="X183" s="347"/>
      <c r="Y183" s="347"/>
      <c r="Z183" s="347"/>
      <c r="AA183" s="349"/>
      <c r="AB183" s="347">
        <v>182</v>
      </c>
      <c r="AC183" s="347"/>
      <c r="AD183" s="347"/>
      <c r="AE183" s="347"/>
      <c r="AF183" s="347"/>
      <c r="AG183" s="347"/>
      <c r="AH183" s="347"/>
      <c r="AI183" s="347"/>
      <c r="AJ183" s="347"/>
      <c r="AK183" s="347"/>
      <c r="AL183" s="347"/>
      <c r="AM183" s="347"/>
      <c r="AN183" s="347">
        <v>5.4</v>
      </c>
      <c r="AO183" s="347"/>
      <c r="AP183" s="347"/>
    </row>
    <row r="184" spans="1:42">
      <c r="A184" s="436"/>
      <c r="B184" s="443"/>
      <c r="C184" s="39" t="s">
        <v>291</v>
      </c>
      <c r="D184" s="42" t="s">
        <v>256</v>
      </c>
      <c r="E184" s="347">
        <v>50</v>
      </c>
      <c r="F184" s="347">
        <v>21</v>
      </c>
      <c r="G184" s="347">
        <v>172</v>
      </c>
      <c r="H184" s="347"/>
      <c r="I184" s="347"/>
      <c r="J184" s="347"/>
      <c r="K184" s="347"/>
      <c r="L184" s="347"/>
      <c r="M184" s="347">
        <v>281</v>
      </c>
      <c r="N184" s="347">
        <v>243</v>
      </c>
      <c r="O184" s="347"/>
      <c r="P184" s="347"/>
      <c r="Q184" s="347"/>
      <c r="R184" s="347"/>
      <c r="S184" s="347"/>
      <c r="T184" s="347"/>
      <c r="U184" s="348"/>
      <c r="V184" s="347"/>
      <c r="W184" s="347"/>
      <c r="X184" s="347"/>
      <c r="Y184" s="347"/>
      <c r="Z184" s="347"/>
      <c r="AA184" s="349"/>
      <c r="AB184" s="347">
        <v>277</v>
      </c>
      <c r="AC184" s="347"/>
      <c r="AD184" s="347"/>
      <c r="AE184" s="347"/>
      <c r="AF184" s="347"/>
      <c r="AG184" s="347"/>
      <c r="AH184" s="347"/>
      <c r="AI184" s="347"/>
      <c r="AJ184" s="347"/>
      <c r="AK184" s="347"/>
      <c r="AL184" s="347"/>
      <c r="AM184" s="347"/>
      <c r="AN184" s="347">
        <v>6.4</v>
      </c>
      <c r="AO184" s="347"/>
      <c r="AP184" s="347"/>
    </row>
    <row r="185" spans="1:42" ht="16.5" customHeight="1">
      <c r="A185" s="436"/>
      <c r="B185" s="444" t="s">
        <v>307</v>
      </c>
      <c r="C185" s="39"/>
      <c r="D185" s="42" t="s">
        <v>257</v>
      </c>
      <c r="E185" s="347">
        <v>50</v>
      </c>
      <c r="F185" s="347">
        <v>46</v>
      </c>
      <c r="G185" s="347">
        <v>102</v>
      </c>
      <c r="H185" s="347"/>
      <c r="I185" s="347"/>
      <c r="J185" s="347"/>
      <c r="K185" s="347"/>
      <c r="L185" s="347"/>
      <c r="M185" s="347">
        <v>346</v>
      </c>
      <c r="N185" s="347">
        <v>232</v>
      </c>
      <c r="O185" s="347"/>
      <c r="P185" s="347"/>
      <c r="Q185" s="347"/>
      <c r="R185" s="347"/>
      <c r="S185" s="347"/>
      <c r="T185" s="347"/>
      <c r="U185" s="348"/>
      <c r="V185" s="347"/>
      <c r="W185" s="347"/>
      <c r="X185" s="347"/>
      <c r="Y185" s="347"/>
      <c r="Z185" s="347"/>
      <c r="AA185" s="349"/>
      <c r="AB185" s="347">
        <v>73</v>
      </c>
      <c r="AC185" s="347"/>
      <c r="AD185" s="347"/>
      <c r="AE185" s="347"/>
      <c r="AF185" s="347"/>
      <c r="AG185" s="347"/>
      <c r="AH185" s="347"/>
      <c r="AI185" s="347"/>
      <c r="AJ185" s="347"/>
      <c r="AK185" s="347"/>
      <c r="AL185" s="347"/>
      <c r="AM185" s="347"/>
      <c r="AN185" s="347">
        <v>8</v>
      </c>
      <c r="AO185" s="347"/>
      <c r="AP185" s="347"/>
    </row>
    <row r="186" spans="1:42" ht="16.5" customHeight="1">
      <c r="A186" s="436"/>
      <c r="B186" s="445"/>
      <c r="C186" s="39"/>
      <c r="D186" s="42" t="s">
        <v>258</v>
      </c>
      <c r="E186" s="347">
        <v>50</v>
      </c>
      <c r="F186" s="347">
        <v>39</v>
      </c>
      <c r="G186" s="347">
        <v>154</v>
      </c>
      <c r="H186" s="347"/>
      <c r="I186" s="347"/>
      <c r="J186" s="347"/>
      <c r="K186" s="347"/>
      <c r="L186" s="347"/>
      <c r="M186" s="347">
        <v>330</v>
      </c>
      <c r="N186" s="347">
        <v>313</v>
      </c>
      <c r="O186" s="347"/>
      <c r="P186" s="347"/>
      <c r="Q186" s="347"/>
      <c r="R186" s="347"/>
      <c r="S186" s="347"/>
      <c r="T186" s="347"/>
      <c r="U186" s="348"/>
      <c r="V186" s="347"/>
      <c r="W186" s="347"/>
      <c r="X186" s="347"/>
      <c r="Y186" s="347"/>
      <c r="Z186" s="347"/>
      <c r="AA186" s="349"/>
      <c r="AB186" s="347">
        <v>11</v>
      </c>
      <c r="AC186" s="347"/>
      <c r="AD186" s="347"/>
      <c r="AE186" s="347"/>
      <c r="AF186" s="347"/>
      <c r="AG186" s="347"/>
      <c r="AH186" s="347"/>
      <c r="AI186" s="347"/>
      <c r="AJ186" s="347"/>
      <c r="AK186" s="347"/>
      <c r="AL186" s="347"/>
      <c r="AM186" s="347"/>
      <c r="AN186" s="347">
        <v>4.5999999999999996</v>
      </c>
      <c r="AO186" s="347"/>
      <c r="AP186" s="347"/>
    </row>
    <row r="187" spans="1:42" ht="16.5" customHeight="1">
      <c r="A187" s="436"/>
      <c r="B187" s="445"/>
      <c r="C187" s="39"/>
      <c r="D187" s="42" t="s">
        <v>259</v>
      </c>
      <c r="E187" s="347">
        <v>50</v>
      </c>
      <c r="F187" s="347">
        <v>31</v>
      </c>
      <c r="G187" s="347">
        <v>103</v>
      </c>
      <c r="H187" s="347"/>
      <c r="I187" s="347"/>
      <c r="J187" s="347"/>
      <c r="K187" s="347"/>
      <c r="L187" s="347"/>
      <c r="M187" s="347">
        <v>401</v>
      </c>
      <c r="N187" s="347">
        <v>394</v>
      </c>
      <c r="O187" s="347"/>
      <c r="P187" s="347"/>
      <c r="Q187" s="347"/>
      <c r="R187" s="347"/>
      <c r="S187" s="347"/>
      <c r="T187" s="347"/>
      <c r="U187" s="348"/>
      <c r="V187" s="347"/>
      <c r="W187" s="347"/>
      <c r="X187" s="347"/>
      <c r="Y187" s="347"/>
      <c r="Z187" s="347"/>
      <c r="AA187" s="349"/>
      <c r="AB187" s="347">
        <v>328</v>
      </c>
      <c r="AC187" s="347"/>
      <c r="AD187" s="347"/>
      <c r="AE187" s="347"/>
      <c r="AF187" s="347"/>
      <c r="AG187" s="347"/>
      <c r="AH187" s="347"/>
      <c r="AI187" s="347"/>
      <c r="AJ187" s="347"/>
      <c r="AK187" s="347"/>
      <c r="AL187" s="347"/>
      <c r="AM187" s="347"/>
      <c r="AN187" s="347">
        <v>6.1</v>
      </c>
      <c r="AO187" s="347"/>
      <c r="AP187" s="347"/>
    </row>
    <row r="188" spans="1:42">
      <c r="A188" s="436"/>
      <c r="B188" s="443"/>
      <c r="C188" s="39" t="s">
        <v>283</v>
      </c>
      <c r="D188" s="42" t="s">
        <v>260</v>
      </c>
      <c r="E188" s="347">
        <v>30</v>
      </c>
      <c r="F188" s="347">
        <v>21</v>
      </c>
      <c r="G188" s="347">
        <v>413</v>
      </c>
      <c r="H188" s="347"/>
      <c r="I188" s="347"/>
      <c r="J188" s="347"/>
      <c r="K188" s="347"/>
      <c r="L188" s="347"/>
      <c r="M188" s="347">
        <v>158</v>
      </c>
      <c r="N188" s="347">
        <v>441</v>
      </c>
      <c r="O188" s="347"/>
      <c r="P188" s="347"/>
      <c r="Q188" s="347"/>
      <c r="R188" s="347"/>
      <c r="S188" s="347"/>
      <c r="T188" s="347"/>
      <c r="U188" s="348"/>
      <c r="V188" s="347"/>
      <c r="W188" s="347"/>
      <c r="X188" s="347"/>
      <c r="Y188" s="347"/>
      <c r="Z188" s="347"/>
      <c r="AA188" s="349"/>
      <c r="AB188" s="347">
        <v>173</v>
      </c>
      <c r="AC188" s="347"/>
      <c r="AD188" s="347"/>
      <c r="AE188" s="347"/>
      <c r="AF188" s="347"/>
      <c r="AG188" s="347"/>
      <c r="AH188" s="347"/>
      <c r="AI188" s="347"/>
      <c r="AJ188" s="347"/>
      <c r="AK188" s="347"/>
      <c r="AL188" s="347"/>
      <c r="AM188" s="347"/>
      <c r="AN188" s="347">
        <v>7.2</v>
      </c>
      <c r="AO188" s="347"/>
      <c r="AP188" s="347"/>
    </row>
    <row r="189" spans="1:42">
      <c r="A189" s="32"/>
      <c r="B189" s="456" t="s">
        <v>262</v>
      </c>
      <c r="C189" s="439"/>
      <c r="D189" s="169" t="s">
        <v>114</v>
      </c>
      <c r="E189" s="343">
        <v>100</v>
      </c>
      <c r="F189" s="344">
        <v>33</v>
      </c>
      <c r="G189" s="344"/>
      <c r="H189" s="344"/>
      <c r="I189" s="344"/>
      <c r="J189" s="344"/>
      <c r="K189" s="343"/>
      <c r="L189" s="344"/>
      <c r="M189" s="343"/>
      <c r="N189" s="344"/>
      <c r="O189" s="344"/>
      <c r="P189" s="344"/>
      <c r="Q189" s="344"/>
      <c r="R189" s="344"/>
      <c r="S189" s="344"/>
      <c r="T189" s="344"/>
      <c r="U189" s="345"/>
      <c r="V189" s="344"/>
      <c r="W189" s="344"/>
      <c r="X189" s="344"/>
      <c r="Y189" s="344"/>
      <c r="Z189" s="344"/>
      <c r="AA189" s="346"/>
      <c r="AB189" s="344"/>
      <c r="AC189" s="344"/>
      <c r="AD189" s="344"/>
      <c r="AE189" s="344"/>
      <c r="AF189" s="344"/>
      <c r="AG189" s="344"/>
      <c r="AH189" s="344"/>
      <c r="AI189" s="344"/>
      <c r="AJ189" s="344"/>
      <c r="AK189" s="344"/>
      <c r="AL189" s="344"/>
      <c r="AM189" s="344"/>
      <c r="AN189" s="343"/>
      <c r="AO189" s="343"/>
      <c r="AP189" s="343"/>
    </row>
    <row r="190" spans="1:42">
      <c r="A190" s="33"/>
      <c r="B190" s="452" t="s">
        <v>262</v>
      </c>
      <c r="C190" s="39" t="s">
        <v>285</v>
      </c>
      <c r="D190" s="42" t="s">
        <v>263</v>
      </c>
      <c r="E190" s="347">
        <v>25</v>
      </c>
      <c r="F190" s="347">
        <v>6</v>
      </c>
      <c r="G190" s="347">
        <v>129</v>
      </c>
      <c r="H190" s="347"/>
      <c r="I190" s="347"/>
      <c r="J190" s="347"/>
      <c r="K190" s="347"/>
      <c r="L190" s="347"/>
      <c r="M190" s="347">
        <v>102</v>
      </c>
      <c r="N190" s="347">
        <v>257</v>
      </c>
      <c r="O190" s="347"/>
      <c r="P190" s="347"/>
      <c r="Q190" s="347"/>
      <c r="R190" s="347"/>
      <c r="S190" s="347"/>
      <c r="T190" s="347"/>
      <c r="U190" s="348"/>
      <c r="V190" s="347"/>
      <c r="W190" s="347"/>
      <c r="X190" s="347"/>
      <c r="Y190" s="347"/>
      <c r="Z190" s="347"/>
      <c r="AA190" s="349"/>
      <c r="AB190" s="347">
        <v>332</v>
      </c>
      <c r="AC190" s="347"/>
      <c r="AD190" s="347"/>
      <c r="AE190" s="347"/>
      <c r="AF190" s="347"/>
      <c r="AG190" s="347"/>
      <c r="AH190" s="347"/>
      <c r="AI190" s="347"/>
      <c r="AJ190" s="347"/>
      <c r="AK190" s="347"/>
      <c r="AL190" s="347"/>
      <c r="AM190" s="347"/>
      <c r="AN190" s="347">
        <v>2.7</v>
      </c>
      <c r="AO190" s="347"/>
      <c r="AP190" s="347"/>
    </row>
    <row r="191" spans="1:42">
      <c r="A191" s="33"/>
      <c r="B191" s="453"/>
      <c r="C191" s="39" t="s">
        <v>282</v>
      </c>
      <c r="D191" s="42" t="s">
        <v>264</v>
      </c>
      <c r="E191" s="347">
        <v>25</v>
      </c>
      <c r="F191" s="347">
        <v>8</v>
      </c>
      <c r="G191" s="347">
        <v>76</v>
      </c>
      <c r="H191" s="347"/>
      <c r="I191" s="347"/>
      <c r="J191" s="347"/>
      <c r="K191" s="347"/>
      <c r="L191" s="347"/>
      <c r="M191" s="347">
        <v>50</v>
      </c>
      <c r="N191" s="347">
        <v>142</v>
      </c>
      <c r="O191" s="347"/>
      <c r="P191" s="347"/>
      <c r="Q191" s="347"/>
      <c r="R191" s="347"/>
      <c r="S191" s="347"/>
      <c r="T191" s="347"/>
      <c r="U191" s="348"/>
      <c r="V191" s="347"/>
      <c r="W191" s="347"/>
      <c r="X191" s="347"/>
      <c r="Y191" s="347"/>
      <c r="Z191" s="347"/>
      <c r="AA191" s="349"/>
      <c r="AB191" s="347">
        <v>448</v>
      </c>
      <c r="AC191" s="347"/>
      <c r="AD191" s="347"/>
      <c r="AE191" s="347"/>
      <c r="AF191" s="347"/>
      <c r="AG191" s="347"/>
      <c r="AH191" s="347"/>
      <c r="AI191" s="347"/>
      <c r="AJ191" s="347"/>
      <c r="AK191" s="347"/>
      <c r="AL191" s="347"/>
      <c r="AM191" s="347"/>
      <c r="AN191" s="347">
        <v>6.6</v>
      </c>
      <c r="AO191" s="347"/>
      <c r="AP191" s="347"/>
    </row>
    <row r="192" spans="1:42">
      <c r="A192" s="33"/>
      <c r="B192" s="453"/>
      <c r="C192" s="39" t="s">
        <v>287</v>
      </c>
      <c r="D192" s="42" t="s">
        <v>265</v>
      </c>
      <c r="E192" s="347">
        <v>25</v>
      </c>
      <c r="F192" s="347">
        <v>10</v>
      </c>
      <c r="G192" s="347">
        <v>162</v>
      </c>
      <c r="H192" s="347"/>
      <c r="I192" s="347"/>
      <c r="J192" s="347"/>
      <c r="K192" s="347"/>
      <c r="L192" s="347"/>
      <c r="M192" s="347">
        <v>65</v>
      </c>
      <c r="N192" s="347">
        <v>382</v>
      </c>
      <c r="O192" s="347"/>
      <c r="P192" s="347"/>
      <c r="Q192" s="347"/>
      <c r="R192" s="347"/>
      <c r="S192" s="347"/>
      <c r="T192" s="347"/>
      <c r="U192" s="348"/>
      <c r="V192" s="347"/>
      <c r="W192" s="347"/>
      <c r="X192" s="347"/>
      <c r="Y192" s="347"/>
      <c r="Z192" s="347"/>
      <c r="AA192" s="349"/>
      <c r="AB192" s="347">
        <v>88</v>
      </c>
      <c r="AC192" s="347"/>
      <c r="AD192" s="347"/>
      <c r="AE192" s="347"/>
      <c r="AF192" s="347"/>
      <c r="AG192" s="347"/>
      <c r="AH192" s="347"/>
      <c r="AI192" s="347"/>
      <c r="AJ192" s="347"/>
      <c r="AK192" s="347"/>
      <c r="AL192" s="347"/>
      <c r="AM192" s="347"/>
      <c r="AN192" s="347">
        <v>-1.1000000000000001</v>
      </c>
      <c r="AO192" s="347"/>
      <c r="AP192" s="347"/>
    </row>
    <row r="193" spans="1:42">
      <c r="A193" s="34"/>
      <c r="B193" s="451"/>
      <c r="C193" s="39" t="s">
        <v>287</v>
      </c>
      <c r="D193" s="42" t="s">
        <v>266</v>
      </c>
      <c r="E193" s="347">
        <v>25</v>
      </c>
      <c r="F193" s="347">
        <v>9</v>
      </c>
      <c r="G193" s="347">
        <v>220</v>
      </c>
      <c r="H193" s="347"/>
      <c r="I193" s="347"/>
      <c r="J193" s="347"/>
      <c r="K193" s="347"/>
      <c r="L193" s="347"/>
      <c r="M193" s="347">
        <v>412</v>
      </c>
      <c r="N193" s="347">
        <v>314</v>
      </c>
      <c r="O193" s="347"/>
      <c r="P193" s="347"/>
      <c r="Q193" s="347"/>
      <c r="R193" s="347"/>
      <c r="S193" s="347"/>
      <c r="T193" s="347"/>
      <c r="U193" s="348"/>
      <c r="V193" s="347"/>
      <c r="W193" s="347"/>
      <c r="X193" s="347"/>
      <c r="Y193" s="347"/>
      <c r="Z193" s="347"/>
      <c r="AA193" s="349"/>
      <c r="AB193" s="347">
        <v>406</v>
      </c>
      <c r="AC193" s="347"/>
      <c r="AD193" s="347"/>
      <c r="AE193" s="347"/>
      <c r="AF193" s="347"/>
      <c r="AG193" s="347"/>
      <c r="AH193" s="347"/>
      <c r="AI193" s="347"/>
      <c r="AJ193" s="347"/>
      <c r="AK193" s="347"/>
      <c r="AL193" s="347"/>
      <c r="AM193" s="347"/>
      <c r="AN193" s="347">
        <v>5.7</v>
      </c>
      <c r="AO193" s="347"/>
      <c r="AP193" s="347"/>
    </row>
  </sheetData>
  <mergeCells count="104">
    <mergeCell ref="AN1:AP2"/>
    <mergeCell ref="B112:B115"/>
    <mergeCell ref="B154:B155"/>
    <mergeCell ref="B177:B180"/>
    <mergeCell ref="M1:M3"/>
    <mergeCell ref="B74:C74"/>
    <mergeCell ref="B96:B104"/>
    <mergeCell ref="A53:A60"/>
    <mergeCell ref="AJ2:AJ3"/>
    <mergeCell ref="AL2:AL3"/>
    <mergeCell ref="B190:B193"/>
    <mergeCell ref="B119:D119"/>
    <mergeCell ref="AE2:AE3"/>
    <mergeCell ref="AG2:AG3"/>
    <mergeCell ref="B136:B139"/>
    <mergeCell ref="D1:D3"/>
    <mergeCell ref="B161:C161"/>
    <mergeCell ref="F1:F3"/>
    <mergeCell ref="B111:C111"/>
    <mergeCell ref="B181:C181"/>
    <mergeCell ref="A179:A188"/>
    <mergeCell ref="B19:B24"/>
    <mergeCell ref="E1:E3"/>
    <mergeCell ref="B36:B50"/>
    <mergeCell ref="B140:D140"/>
    <mergeCell ref="B7:B17"/>
    <mergeCell ref="B133:C133"/>
    <mergeCell ref="B189:C189"/>
    <mergeCell ref="B67:B73"/>
    <mergeCell ref="B135:C135"/>
    <mergeCell ref="B62:C62"/>
    <mergeCell ref="A123:A139"/>
    <mergeCell ref="A4:D4"/>
    <mergeCell ref="B59:C59"/>
    <mergeCell ref="A32:A33"/>
    <mergeCell ref="B176:C176"/>
    <mergeCell ref="B120:C120"/>
    <mergeCell ref="AB2:AB3"/>
    <mergeCell ref="B65:D65"/>
    <mergeCell ref="AD2:AD3"/>
    <mergeCell ref="A1:A3"/>
    <mergeCell ref="N1:AA1"/>
    <mergeCell ref="B106:B110"/>
    <mergeCell ref="B162:B167"/>
    <mergeCell ref="B121:B125"/>
    <mergeCell ref="V2:Z2"/>
    <mergeCell ref="B185:B188"/>
    <mergeCell ref="B35:C35"/>
    <mergeCell ref="B90:B93"/>
    <mergeCell ref="B26:B31"/>
    <mergeCell ref="AB1:AM1"/>
    <mergeCell ref="B25:C25"/>
    <mergeCell ref="B66:C66"/>
    <mergeCell ref="B18:C18"/>
    <mergeCell ref="A119:A122"/>
    <mergeCell ref="A150:A167"/>
    <mergeCell ref="B81:B88"/>
    <mergeCell ref="B60:B61"/>
    <mergeCell ref="AF2:AF3"/>
    <mergeCell ref="B142:B152"/>
    <mergeCell ref="AH2:AH3"/>
    <mergeCell ref="B5:D5"/>
    <mergeCell ref="B116:C116"/>
    <mergeCell ref="B156:B160"/>
    <mergeCell ref="AI2:AI3"/>
    <mergeCell ref="B75:B79"/>
    <mergeCell ref="AK2:AK3"/>
    <mergeCell ref="B182:B184"/>
    <mergeCell ref="B6:C6"/>
    <mergeCell ref="C1:C3"/>
    <mergeCell ref="B170:B175"/>
    <mergeCell ref="A94:A118"/>
    <mergeCell ref="B94:D94"/>
    <mergeCell ref="AA2:AA3"/>
    <mergeCell ref="B127:C127"/>
    <mergeCell ref="AC2:AC3"/>
    <mergeCell ref="N2:T2"/>
    <mergeCell ref="AM2:AM3"/>
    <mergeCell ref="B1:B3"/>
    <mergeCell ref="B51:C51"/>
    <mergeCell ref="A65:A91"/>
    <mergeCell ref="B32:C32"/>
    <mergeCell ref="B55:B58"/>
    <mergeCell ref="B80:C80"/>
    <mergeCell ref="A92:A93"/>
    <mergeCell ref="B95:C95"/>
    <mergeCell ref="B89:C89"/>
    <mergeCell ref="B169:C169"/>
    <mergeCell ref="B153:C153"/>
    <mergeCell ref="G1:L2"/>
    <mergeCell ref="B54:C54"/>
    <mergeCell ref="B128:B132"/>
    <mergeCell ref="A168:A178"/>
    <mergeCell ref="A5:A31"/>
    <mergeCell ref="A140:A149"/>
    <mergeCell ref="A34:A52"/>
    <mergeCell ref="A61:A64"/>
    <mergeCell ref="B141:C141"/>
    <mergeCell ref="B53:D53"/>
    <mergeCell ref="U2:U3"/>
    <mergeCell ref="B34:D34"/>
    <mergeCell ref="B117:B118"/>
    <mergeCell ref="B168:D168"/>
    <mergeCell ref="B105:C105"/>
  </mergeCells>
  <phoneticPr fontId="4" type="noConversion"/>
  <conditionalFormatting sqref="AQ4:CB193">
    <cfRule type="cellIs" dxfId="0" priority="1" operator="equal">
      <formula>FALSE</formula>
    </cfRule>
  </conditionalFormatting>
  <pageMargins left="0.19685039370078741" right="0.19685039370078741" top="0.59055118110236215" bottom="0.39370078740157483" header="0" footer="0"/>
  <pageSetup paperSize="12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74"/>
  <sheetViews>
    <sheetView topLeftCell="B34" zoomScale="115" zoomScaleNormal="115" workbookViewId="0">
      <selection activeCell="M78" sqref="M78"/>
    </sheetView>
  </sheetViews>
  <sheetFormatPr defaultRowHeight="16.5"/>
  <cols>
    <col min="1" max="1" width="8" style="35" customWidth="1"/>
    <col min="2" max="3" width="7" style="35" customWidth="1"/>
    <col min="4" max="4" width="24.125" style="35" bestFit="1" customWidth="1"/>
    <col min="5" max="6" width="4.75" style="160" customWidth="1"/>
    <col min="7" max="7" width="3.75" style="35" customWidth="1"/>
    <col min="8" max="12" width="3.25" style="35" customWidth="1"/>
    <col min="13" max="13" width="5.125" style="35" customWidth="1"/>
    <col min="14" max="14" width="3.75" style="35" customWidth="1"/>
    <col min="15" max="15" width="4" style="35" customWidth="1"/>
    <col min="16" max="20" width="3.25" style="35" customWidth="1"/>
    <col min="21" max="21" width="16.75" style="41" customWidth="1"/>
    <col min="22" max="22" width="3.75" style="35" customWidth="1"/>
    <col min="23" max="26" width="3.25" style="35" customWidth="1"/>
    <col min="27" max="27" width="6.25" style="35" customWidth="1"/>
    <col min="28" max="28" width="4.25" style="35" customWidth="1"/>
    <col min="29" max="29" width="3.75" style="35" customWidth="1"/>
    <col min="30" max="40" width="3.25" style="35" customWidth="1"/>
    <col min="41" max="41" width="2.875" style="35" customWidth="1"/>
    <col min="42" max="42" width="3.25" style="35" customWidth="1"/>
    <col min="43" max="256" width="9" style="35" customWidth="1"/>
    <col min="257" max="257" width="8" style="35" customWidth="1"/>
    <col min="258" max="259" width="7" style="35" customWidth="1"/>
    <col min="260" max="260" width="16.375" style="35" customWidth="1"/>
    <col min="261" max="262" width="4.75" style="35" customWidth="1"/>
    <col min="263" max="263" width="3.75" style="35" customWidth="1"/>
    <col min="264" max="268" width="3.25" style="35" customWidth="1"/>
    <col min="269" max="269" width="5.125" style="35" customWidth="1"/>
    <col min="270" max="270" width="3.75" style="35" customWidth="1"/>
    <col min="271" max="276" width="3.25" style="35" customWidth="1"/>
    <col min="277" max="277" width="4.75" style="35" customWidth="1"/>
    <col min="278" max="278" width="3.75" style="35" customWidth="1"/>
    <col min="279" max="282" width="3.25" style="35" customWidth="1"/>
    <col min="283" max="283" width="4.75" style="35" customWidth="1"/>
    <col min="284" max="284" width="4.25" style="35" customWidth="1"/>
    <col min="285" max="285" width="3.75" style="35" customWidth="1"/>
    <col min="286" max="296" width="3.25" style="35" customWidth="1"/>
    <col min="297" max="297" width="2.875" style="35" customWidth="1"/>
    <col min="298" max="298" width="3.25" style="35" customWidth="1"/>
    <col min="299" max="512" width="9" style="35" customWidth="1"/>
    <col min="513" max="513" width="8" style="35" customWidth="1"/>
    <col min="514" max="515" width="7" style="35" customWidth="1"/>
    <col min="516" max="516" width="16.375" style="35" customWidth="1"/>
    <col min="517" max="518" width="4.75" style="35" customWidth="1"/>
    <col min="519" max="519" width="3.75" style="35" customWidth="1"/>
    <col min="520" max="524" width="3.25" style="35" customWidth="1"/>
    <col min="525" max="525" width="5.125" style="35" customWidth="1"/>
    <col min="526" max="526" width="3.75" style="35" customWidth="1"/>
    <col min="527" max="532" width="3.25" style="35" customWidth="1"/>
    <col min="533" max="533" width="4.75" style="35" customWidth="1"/>
    <col min="534" max="534" width="3.75" style="35" customWidth="1"/>
    <col min="535" max="538" width="3.25" style="35" customWidth="1"/>
    <col min="539" max="539" width="4.75" style="35" customWidth="1"/>
    <col min="540" max="540" width="4.25" style="35" customWidth="1"/>
    <col min="541" max="541" width="3.75" style="35" customWidth="1"/>
    <col min="542" max="552" width="3.25" style="35" customWidth="1"/>
    <col min="553" max="553" width="2.875" style="35" customWidth="1"/>
    <col min="554" max="554" width="3.25" style="35" customWidth="1"/>
    <col min="555" max="768" width="9" style="35" customWidth="1"/>
    <col min="769" max="769" width="8" style="35" customWidth="1"/>
    <col min="770" max="771" width="7" style="35" customWidth="1"/>
    <col min="772" max="772" width="16.375" style="35" customWidth="1"/>
    <col min="773" max="774" width="4.75" style="35" customWidth="1"/>
    <col min="775" max="775" width="3.75" style="35" customWidth="1"/>
    <col min="776" max="780" width="3.25" style="35" customWidth="1"/>
    <col min="781" max="781" width="5.125" style="35" customWidth="1"/>
    <col min="782" max="782" width="3.75" style="35" customWidth="1"/>
    <col min="783" max="788" width="3.25" style="35" customWidth="1"/>
    <col min="789" max="789" width="4.75" style="35" customWidth="1"/>
    <col min="790" max="790" width="3.75" style="35" customWidth="1"/>
    <col min="791" max="794" width="3.25" style="35" customWidth="1"/>
    <col min="795" max="795" width="4.75" style="35" customWidth="1"/>
    <col min="796" max="796" width="4.25" style="35" customWidth="1"/>
    <col min="797" max="797" width="3.75" style="35" customWidth="1"/>
    <col min="798" max="808" width="3.25" style="35" customWidth="1"/>
    <col min="809" max="809" width="2.875" style="35" customWidth="1"/>
    <col min="810" max="810" width="3.25" style="35" customWidth="1"/>
    <col min="811" max="1024" width="9" style="35" customWidth="1"/>
    <col min="1025" max="1025" width="8" style="35" customWidth="1"/>
    <col min="1026" max="1027" width="7" style="35" customWidth="1"/>
    <col min="1028" max="1028" width="16.375" style="35" customWidth="1"/>
    <col min="1029" max="1030" width="4.75" style="35" customWidth="1"/>
    <col min="1031" max="1031" width="3.75" style="35" customWidth="1"/>
    <col min="1032" max="1036" width="3.25" style="35" customWidth="1"/>
    <col min="1037" max="1037" width="5.125" style="35" customWidth="1"/>
    <col min="1038" max="1038" width="3.75" style="35" customWidth="1"/>
    <col min="1039" max="1044" width="3.25" style="35" customWidth="1"/>
    <col min="1045" max="1045" width="4.75" style="35" customWidth="1"/>
    <col min="1046" max="1046" width="3.75" style="35" customWidth="1"/>
    <col min="1047" max="1050" width="3.25" style="35" customWidth="1"/>
    <col min="1051" max="1051" width="4.75" style="35" customWidth="1"/>
    <col min="1052" max="1052" width="4.25" style="35" customWidth="1"/>
    <col min="1053" max="1053" width="3.75" style="35" customWidth="1"/>
    <col min="1054" max="1064" width="3.25" style="35" customWidth="1"/>
    <col min="1065" max="1065" width="2.875" style="35" customWidth="1"/>
    <col min="1066" max="1066" width="3.25" style="35" customWidth="1"/>
    <col min="1067" max="1280" width="9" style="35" customWidth="1"/>
    <col min="1281" max="1281" width="8" style="35" customWidth="1"/>
    <col min="1282" max="1283" width="7" style="35" customWidth="1"/>
    <col min="1284" max="1284" width="16.375" style="35" customWidth="1"/>
    <col min="1285" max="1286" width="4.75" style="35" customWidth="1"/>
    <col min="1287" max="1287" width="3.75" style="35" customWidth="1"/>
    <col min="1288" max="1292" width="3.25" style="35" customWidth="1"/>
    <col min="1293" max="1293" width="5.125" style="35" customWidth="1"/>
    <col min="1294" max="1294" width="3.75" style="35" customWidth="1"/>
    <col min="1295" max="1300" width="3.25" style="35" customWidth="1"/>
    <col min="1301" max="1301" width="4.75" style="35" customWidth="1"/>
    <col min="1302" max="1302" width="3.75" style="35" customWidth="1"/>
    <col min="1303" max="1306" width="3.25" style="35" customWidth="1"/>
    <col min="1307" max="1307" width="4.75" style="35" customWidth="1"/>
    <col min="1308" max="1308" width="4.25" style="35" customWidth="1"/>
    <col min="1309" max="1309" width="3.75" style="35" customWidth="1"/>
    <col min="1310" max="1320" width="3.25" style="35" customWidth="1"/>
    <col min="1321" max="1321" width="2.875" style="35" customWidth="1"/>
    <col min="1322" max="1322" width="3.25" style="35" customWidth="1"/>
    <col min="1323" max="1536" width="9" style="35" customWidth="1"/>
    <col min="1537" max="1537" width="8" style="35" customWidth="1"/>
    <col min="1538" max="1539" width="7" style="35" customWidth="1"/>
    <col min="1540" max="1540" width="16.375" style="35" customWidth="1"/>
    <col min="1541" max="1542" width="4.75" style="35" customWidth="1"/>
    <col min="1543" max="1543" width="3.75" style="35" customWidth="1"/>
    <col min="1544" max="1548" width="3.25" style="35" customWidth="1"/>
    <col min="1549" max="1549" width="5.125" style="35" customWidth="1"/>
    <col min="1550" max="1550" width="3.75" style="35" customWidth="1"/>
    <col min="1551" max="1556" width="3.25" style="35" customWidth="1"/>
    <col min="1557" max="1557" width="4.75" style="35" customWidth="1"/>
    <col min="1558" max="1558" width="3.75" style="35" customWidth="1"/>
    <col min="1559" max="1562" width="3.25" style="35" customWidth="1"/>
    <col min="1563" max="1563" width="4.75" style="35" customWidth="1"/>
    <col min="1564" max="1564" width="4.25" style="35" customWidth="1"/>
    <col min="1565" max="1565" width="3.75" style="35" customWidth="1"/>
    <col min="1566" max="1576" width="3.25" style="35" customWidth="1"/>
    <col min="1577" max="1577" width="2.875" style="35" customWidth="1"/>
    <col min="1578" max="1578" width="3.25" style="35" customWidth="1"/>
    <col min="1579" max="1792" width="9" style="35" customWidth="1"/>
    <col min="1793" max="1793" width="8" style="35" customWidth="1"/>
    <col min="1794" max="1795" width="7" style="35" customWidth="1"/>
    <col min="1796" max="1796" width="16.375" style="35" customWidth="1"/>
    <col min="1797" max="1798" width="4.75" style="35" customWidth="1"/>
    <col min="1799" max="1799" width="3.75" style="35" customWidth="1"/>
    <col min="1800" max="1804" width="3.25" style="35" customWidth="1"/>
    <col min="1805" max="1805" width="5.125" style="35" customWidth="1"/>
    <col min="1806" max="1806" width="3.75" style="35" customWidth="1"/>
    <col min="1807" max="1812" width="3.25" style="35" customWidth="1"/>
    <col min="1813" max="1813" width="4.75" style="35" customWidth="1"/>
    <col min="1814" max="1814" width="3.75" style="35" customWidth="1"/>
    <col min="1815" max="1818" width="3.25" style="35" customWidth="1"/>
    <col min="1819" max="1819" width="4.75" style="35" customWidth="1"/>
    <col min="1820" max="1820" width="4.25" style="35" customWidth="1"/>
    <col min="1821" max="1821" width="3.75" style="35" customWidth="1"/>
    <col min="1822" max="1832" width="3.25" style="35" customWidth="1"/>
    <col min="1833" max="1833" width="2.875" style="35" customWidth="1"/>
    <col min="1834" max="1834" width="3.25" style="35" customWidth="1"/>
    <col min="1835" max="2048" width="9" style="35" customWidth="1"/>
    <col min="2049" max="2049" width="8" style="35" customWidth="1"/>
    <col min="2050" max="2051" width="7" style="35" customWidth="1"/>
    <col min="2052" max="2052" width="16.375" style="35" customWidth="1"/>
    <col min="2053" max="2054" width="4.75" style="35" customWidth="1"/>
    <col min="2055" max="2055" width="3.75" style="35" customWidth="1"/>
    <col min="2056" max="2060" width="3.25" style="35" customWidth="1"/>
    <col min="2061" max="2061" width="5.125" style="35" customWidth="1"/>
    <col min="2062" max="2062" width="3.75" style="35" customWidth="1"/>
    <col min="2063" max="2068" width="3.25" style="35" customWidth="1"/>
    <col min="2069" max="2069" width="4.75" style="35" customWidth="1"/>
    <col min="2070" max="2070" width="3.75" style="35" customWidth="1"/>
    <col min="2071" max="2074" width="3.25" style="35" customWidth="1"/>
    <col min="2075" max="2075" width="4.75" style="35" customWidth="1"/>
    <col min="2076" max="2076" width="4.25" style="35" customWidth="1"/>
    <col min="2077" max="2077" width="3.75" style="35" customWidth="1"/>
    <col min="2078" max="2088" width="3.25" style="35" customWidth="1"/>
    <col min="2089" max="2089" width="2.875" style="35" customWidth="1"/>
    <col min="2090" max="2090" width="3.25" style="35" customWidth="1"/>
    <col min="2091" max="2304" width="9" style="35" customWidth="1"/>
    <col min="2305" max="2305" width="8" style="35" customWidth="1"/>
    <col min="2306" max="2307" width="7" style="35" customWidth="1"/>
    <col min="2308" max="2308" width="16.375" style="35" customWidth="1"/>
    <col min="2309" max="2310" width="4.75" style="35" customWidth="1"/>
    <col min="2311" max="2311" width="3.75" style="35" customWidth="1"/>
    <col min="2312" max="2316" width="3.25" style="35" customWidth="1"/>
    <col min="2317" max="2317" width="5.125" style="35" customWidth="1"/>
    <col min="2318" max="2318" width="3.75" style="35" customWidth="1"/>
    <col min="2319" max="2324" width="3.25" style="35" customWidth="1"/>
    <col min="2325" max="2325" width="4.75" style="35" customWidth="1"/>
    <col min="2326" max="2326" width="3.75" style="35" customWidth="1"/>
    <col min="2327" max="2330" width="3.25" style="35" customWidth="1"/>
    <col min="2331" max="2331" width="4.75" style="35" customWidth="1"/>
    <col min="2332" max="2332" width="4.25" style="35" customWidth="1"/>
    <col min="2333" max="2333" width="3.75" style="35" customWidth="1"/>
    <col min="2334" max="2344" width="3.25" style="35" customWidth="1"/>
    <col min="2345" max="2345" width="2.875" style="35" customWidth="1"/>
    <col min="2346" max="2346" width="3.25" style="35" customWidth="1"/>
    <col min="2347" max="2560" width="9" style="35" customWidth="1"/>
    <col min="2561" max="2561" width="8" style="35" customWidth="1"/>
    <col min="2562" max="2563" width="7" style="35" customWidth="1"/>
    <col min="2564" max="2564" width="16.375" style="35" customWidth="1"/>
    <col min="2565" max="2566" width="4.75" style="35" customWidth="1"/>
    <col min="2567" max="2567" width="3.75" style="35" customWidth="1"/>
    <col min="2568" max="2572" width="3.25" style="35" customWidth="1"/>
    <col min="2573" max="2573" width="5.125" style="35" customWidth="1"/>
    <col min="2574" max="2574" width="3.75" style="35" customWidth="1"/>
    <col min="2575" max="2580" width="3.25" style="35" customWidth="1"/>
    <col min="2581" max="2581" width="4.75" style="35" customWidth="1"/>
    <col min="2582" max="2582" width="3.75" style="35" customWidth="1"/>
    <col min="2583" max="2586" width="3.25" style="35" customWidth="1"/>
    <col min="2587" max="2587" width="4.75" style="35" customWidth="1"/>
    <col min="2588" max="2588" width="4.25" style="35" customWidth="1"/>
    <col min="2589" max="2589" width="3.75" style="35" customWidth="1"/>
    <col min="2590" max="2600" width="3.25" style="35" customWidth="1"/>
    <col min="2601" max="2601" width="2.875" style="35" customWidth="1"/>
    <col min="2602" max="2602" width="3.25" style="35" customWidth="1"/>
    <col min="2603" max="2816" width="9" style="35" customWidth="1"/>
    <col min="2817" max="2817" width="8" style="35" customWidth="1"/>
    <col min="2818" max="2819" width="7" style="35" customWidth="1"/>
    <col min="2820" max="2820" width="16.375" style="35" customWidth="1"/>
    <col min="2821" max="2822" width="4.75" style="35" customWidth="1"/>
    <col min="2823" max="2823" width="3.75" style="35" customWidth="1"/>
    <col min="2824" max="2828" width="3.25" style="35" customWidth="1"/>
    <col min="2829" max="2829" width="5.125" style="35" customWidth="1"/>
    <col min="2830" max="2830" width="3.75" style="35" customWidth="1"/>
    <col min="2831" max="2836" width="3.25" style="35" customWidth="1"/>
    <col min="2837" max="2837" width="4.75" style="35" customWidth="1"/>
    <col min="2838" max="2838" width="3.75" style="35" customWidth="1"/>
    <col min="2839" max="2842" width="3.25" style="35" customWidth="1"/>
    <col min="2843" max="2843" width="4.75" style="35" customWidth="1"/>
    <col min="2844" max="2844" width="4.25" style="35" customWidth="1"/>
    <col min="2845" max="2845" width="3.75" style="35" customWidth="1"/>
    <col min="2846" max="2856" width="3.25" style="35" customWidth="1"/>
    <col min="2857" max="2857" width="2.875" style="35" customWidth="1"/>
    <col min="2858" max="2858" width="3.25" style="35" customWidth="1"/>
    <col min="2859" max="3072" width="9" style="35" customWidth="1"/>
    <col min="3073" max="3073" width="8" style="35" customWidth="1"/>
    <col min="3074" max="3075" width="7" style="35" customWidth="1"/>
    <col min="3076" max="3076" width="16.375" style="35" customWidth="1"/>
    <col min="3077" max="3078" width="4.75" style="35" customWidth="1"/>
    <col min="3079" max="3079" width="3.75" style="35" customWidth="1"/>
    <col min="3080" max="3084" width="3.25" style="35" customWidth="1"/>
    <col min="3085" max="3085" width="5.125" style="35" customWidth="1"/>
    <col min="3086" max="3086" width="3.75" style="35" customWidth="1"/>
    <col min="3087" max="3092" width="3.25" style="35" customWidth="1"/>
    <col min="3093" max="3093" width="4.75" style="35" customWidth="1"/>
    <col min="3094" max="3094" width="3.75" style="35" customWidth="1"/>
    <col min="3095" max="3098" width="3.25" style="35" customWidth="1"/>
    <col min="3099" max="3099" width="4.75" style="35" customWidth="1"/>
    <col min="3100" max="3100" width="4.25" style="35" customWidth="1"/>
    <col min="3101" max="3101" width="3.75" style="35" customWidth="1"/>
    <col min="3102" max="3112" width="3.25" style="35" customWidth="1"/>
    <col min="3113" max="3113" width="2.875" style="35" customWidth="1"/>
    <col min="3114" max="3114" width="3.25" style="35" customWidth="1"/>
    <col min="3115" max="3328" width="9" style="35" customWidth="1"/>
    <col min="3329" max="3329" width="8" style="35" customWidth="1"/>
    <col min="3330" max="3331" width="7" style="35" customWidth="1"/>
    <col min="3332" max="3332" width="16.375" style="35" customWidth="1"/>
    <col min="3333" max="3334" width="4.75" style="35" customWidth="1"/>
    <col min="3335" max="3335" width="3.75" style="35" customWidth="1"/>
    <col min="3336" max="3340" width="3.25" style="35" customWidth="1"/>
    <col min="3341" max="3341" width="5.125" style="35" customWidth="1"/>
    <col min="3342" max="3342" width="3.75" style="35" customWidth="1"/>
    <col min="3343" max="3348" width="3.25" style="35" customWidth="1"/>
    <col min="3349" max="3349" width="4.75" style="35" customWidth="1"/>
    <col min="3350" max="3350" width="3.75" style="35" customWidth="1"/>
    <col min="3351" max="3354" width="3.25" style="35" customWidth="1"/>
    <col min="3355" max="3355" width="4.75" style="35" customWidth="1"/>
    <col min="3356" max="3356" width="4.25" style="35" customWidth="1"/>
    <col min="3357" max="3357" width="3.75" style="35" customWidth="1"/>
    <col min="3358" max="3368" width="3.25" style="35" customWidth="1"/>
    <col min="3369" max="3369" width="2.875" style="35" customWidth="1"/>
    <col min="3370" max="3370" width="3.25" style="35" customWidth="1"/>
    <col min="3371" max="3584" width="9" style="35" customWidth="1"/>
    <col min="3585" max="3585" width="8" style="35" customWidth="1"/>
    <col min="3586" max="3587" width="7" style="35" customWidth="1"/>
    <col min="3588" max="3588" width="16.375" style="35" customWidth="1"/>
    <col min="3589" max="3590" width="4.75" style="35" customWidth="1"/>
    <col min="3591" max="3591" width="3.75" style="35" customWidth="1"/>
    <col min="3592" max="3596" width="3.25" style="35" customWidth="1"/>
    <col min="3597" max="3597" width="5.125" style="35" customWidth="1"/>
    <col min="3598" max="3598" width="3.75" style="35" customWidth="1"/>
    <col min="3599" max="3604" width="3.25" style="35" customWidth="1"/>
    <col min="3605" max="3605" width="4.75" style="35" customWidth="1"/>
    <col min="3606" max="3606" width="3.75" style="35" customWidth="1"/>
    <col min="3607" max="3610" width="3.25" style="35" customWidth="1"/>
    <col min="3611" max="3611" width="4.75" style="35" customWidth="1"/>
    <col min="3612" max="3612" width="4.25" style="35" customWidth="1"/>
    <col min="3613" max="3613" width="3.75" style="35" customWidth="1"/>
    <col min="3614" max="3624" width="3.25" style="35" customWidth="1"/>
    <col min="3625" max="3625" width="2.875" style="35" customWidth="1"/>
    <col min="3626" max="3626" width="3.25" style="35" customWidth="1"/>
    <col min="3627" max="3840" width="9" style="35" customWidth="1"/>
    <col min="3841" max="3841" width="8" style="35" customWidth="1"/>
    <col min="3842" max="3843" width="7" style="35" customWidth="1"/>
    <col min="3844" max="3844" width="16.375" style="35" customWidth="1"/>
    <col min="3845" max="3846" width="4.75" style="35" customWidth="1"/>
    <col min="3847" max="3847" width="3.75" style="35" customWidth="1"/>
    <col min="3848" max="3852" width="3.25" style="35" customWidth="1"/>
    <col min="3853" max="3853" width="5.125" style="35" customWidth="1"/>
    <col min="3854" max="3854" width="3.75" style="35" customWidth="1"/>
    <col min="3855" max="3860" width="3.25" style="35" customWidth="1"/>
    <col min="3861" max="3861" width="4.75" style="35" customWidth="1"/>
    <col min="3862" max="3862" width="3.75" style="35" customWidth="1"/>
    <col min="3863" max="3866" width="3.25" style="35" customWidth="1"/>
    <col min="3867" max="3867" width="4.75" style="35" customWidth="1"/>
    <col min="3868" max="3868" width="4.25" style="35" customWidth="1"/>
    <col min="3869" max="3869" width="3.75" style="35" customWidth="1"/>
    <col min="3870" max="3880" width="3.25" style="35" customWidth="1"/>
    <col min="3881" max="3881" width="2.875" style="35" customWidth="1"/>
    <col min="3882" max="3882" width="3.25" style="35" customWidth="1"/>
    <col min="3883" max="4096" width="9" style="35" customWidth="1"/>
    <col min="4097" max="4097" width="8" style="35" customWidth="1"/>
    <col min="4098" max="4099" width="7" style="35" customWidth="1"/>
    <col min="4100" max="4100" width="16.375" style="35" customWidth="1"/>
    <col min="4101" max="4102" width="4.75" style="35" customWidth="1"/>
    <col min="4103" max="4103" width="3.75" style="35" customWidth="1"/>
    <col min="4104" max="4108" width="3.25" style="35" customWidth="1"/>
    <col min="4109" max="4109" width="5.125" style="35" customWidth="1"/>
    <col min="4110" max="4110" width="3.75" style="35" customWidth="1"/>
    <col min="4111" max="4116" width="3.25" style="35" customWidth="1"/>
    <col min="4117" max="4117" width="4.75" style="35" customWidth="1"/>
    <col min="4118" max="4118" width="3.75" style="35" customWidth="1"/>
    <col min="4119" max="4122" width="3.25" style="35" customWidth="1"/>
    <col min="4123" max="4123" width="4.75" style="35" customWidth="1"/>
    <col min="4124" max="4124" width="4.25" style="35" customWidth="1"/>
    <col min="4125" max="4125" width="3.75" style="35" customWidth="1"/>
    <col min="4126" max="4136" width="3.25" style="35" customWidth="1"/>
    <col min="4137" max="4137" width="2.875" style="35" customWidth="1"/>
    <col min="4138" max="4138" width="3.25" style="35" customWidth="1"/>
    <col min="4139" max="4352" width="9" style="35" customWidth="1"/>
    <col min="4353" max="4353" width="8" style="35" customWidth="1"/>
    <col min="4354" max="4355" width="7" style="35" customWidth="1"/>
    <col min="4356" max="4356" width="16.375" style="35" customWidth="1"/>
    <col min="4357" max="4358" width="4.75" style="35" customWidth="1"/>
    <col min="4359" max="4359" width="3.75" style="35" customWidth="1"/>
    <col min="4360" max="4364" width="3.25" style="35" customWidth="1"/>
    <col min="4365" max="4365" width="5.125" style="35" customWidth="1"/>
    <col min="4366" max="4366" width="3.75" style="35" customWidth="1"/>
    <col min="4367" max="4372" width="3.25" style="35" customWidth="1"/>
    <col min="4373" max="4373" width="4.75" style="35" customWidth="1"/>
    <col min="4374" max="4374" width="3.75" style="35" customWidth="1"/>
    <col min="4375" max="4378" width="3.25" style="35" customWidth="1"/>
    <col min="4379" max="4379" width="4.75" style="35" customWidth="1"/>
    <col min="4380" max="4380" width="4.25" style="35" customWidth="1"/>
    <col min="4381" max="4381" width="3.75" style="35" customWidth="1"/>
    <col min="4382" max="4392" width="3.25" style="35" customWidth="1"/>
    <col min="4393" max="4393" width="2.875" style="35" customWidth="1"/>
    <col min="4394" max="4394" width="3.25" style="35" customWidth="1"/>
    <col min="4395" max="4608" width="9" style="35" customWidth="1"/>
    <col min="4609" max="4609" width="8" style="35" customWidth="1"/>
    <col min="4610" max="4611" width="7" style="35" customWidth="1"/>
    <col min="4612" max="4612" width="16.375" style="35" customWidth="1"/>
    <col min="4613" max="4614" width="4.75" style="35" customWidth="1"/>
    <col min="4615" max="4615" width="3.75" style="35" customWidth="1"/>
    <col min="4616" max="4620" width="3.25" style="35" customWidth="1"/>
    <col min="4621" max="4621" width="5.125" style="35" customWidth="1"/>
    <col min="4622" max="4622" width="3.75" style="35" customWidth="1"/>
    <col min="4623" max="4628" width="3.25" style="35" customWidth="1"/>
    <col min="4629" max="4629" width="4.75" style="35" customWidth="1"/>
    <col min="4630" max="4630" width="3.75" style="35" customWidth="1"/>
    <col min="4631" max="4634" width="3.25" style="35" customWidth="1"/>
    <col min="4635" max="4635" width="4.75" style="35" customWidth="1"/>
    <col min="4636" max="4636" width="4.25" style="35" customWidth="1"/>
    <col min="4637" max="4637" width="3.75" style="35" customWidth="1"/>
    <col min="4638" max="4648" width="3.25" style="35" customWidth="1"/>
    <col min="4649" max="4649" width="2.875" style="35" customWidth="1"/>
    <col min="4650" max="4650" width="3.25" style="35" customWidth="1"/>
    <col min="4651" max="4864" width="9" style="35" customWidth="1"/>
    <col min="4865" max="4865" width="8" style="35" customWidth="1"/>
    <col min="4866" max="4867" width="7" style="35" customWidth="1"/>
    <col min="4868" max="4868" width="16.375" style="35" customWidth="1"/>
    <col min="4869" max="4870" width="4.75" style="35" customWidth="1"/>
    <col min="4871" max="4871" width="3.75" style="35" customWidth="1"/>
    <col min="4872" max="4876" width="3.25" style="35" customWidth="1"/>
    <col min="4877" max="4877" width="5.125" style="35" customWidth="1"/>
    <col min="4878" max="4878" width="3.75" style="35" customWidth="1"/>
    <col min="4879" max="4884" width="3.25" style="35" customWidth="1"/>
    <col min="4885" max="4885" width="4.75" style="35" customWidth="1"/>
    <col min="4886" max="4886" width="3.75" style="35" customWidth="1"/>
    <col min="4887" max="4890" width="3.25" style="35" customWidth="1"/>
    <col min="4891" max="4891" width="4.75" style="35" customWidth="1"/>
    <col min="4892" max="4892" width="4.25" style="35" customWidth="1"/>
    <col min="4893" max="4893" width="3.75" style="35" customWidth="1"/>
    <col min="4894" max="4904" width="3.25" style="35" customWidth="1"/>
    <col min="4905" max="4905" width="2.875" style="35" customWidth="1"/>
    <col min="4906" max="4906" width="3.25" style="35" customWidth="1"/>
    <col min="4907" max="5120" width="9" style="35" customWidth="1"/>
    <col min="5121" max="5121" width="8" style="35" customWidth="1"/>
    <col min="5122" max="5123" width="7" style="35" customWidth="1"/>
    <col min="5124" max="5124" width="16.375" style="35" customWidth="1"/>
    <col min="5125" max="5126" width="4.75" style="35" customWidth="1"/>
    <col min="5127" max="5127" width="3.75" style="35" customWidth="1"/>
    <col min="5128" max="5132" width="3.25" style="35" customWidth="1"/>
    <col min="5133" max="5133" width="5.125" style="35" customWidth="1"/>
    <col min="5134" max="5134" width="3.75" style="35" customWidth="1"/>
    <col min="5135" max="5140" width="3.25" style="35" customWidth="1"/>
    <col min="5141" max="5141" width="4.75" style="35" customWidth="1"/>
    <col min="5142" max="5142" width="3.75" style="35" customWidth="1"/>
    <col min="5143" max="5146" width="3.25" style="35" customWidth="1"/>
    <col min="5147" max="5147" width="4.75" style="35" customWidth="1"/>
    <col min="5148" max="5148" width="4.25" style="35" customWidth="1"/>
    <col min="5149" max="5149" width="3.75" style="35" customWidth="1"/>
    <col min="5150" max="5160" width="3.25" style="35" customWidth="1"/>
    <col min="5161" max="5161" width="2.875" style="35" customWidth="1"/>
    <col min="5162" max="5162" width="3.25" style="35" customWidth="1"/>
    <col min="5163" max="5376" width="9" style="35" customWidth="1"/>
    <col min="5377" max="5377" width="8" style="35" customWidth="1"/>
    <col min="5378" max="5379" width="7" style="35" customWidth="1"/>
    <col min="5380" max="5380" width="16.375" style="35" customWidth="1"/>
    <col min="5381" max="5382" width="4.75" style="35" customWidth="1"/>
    <col min="5383" max="5383" width="3.75" style="35" customWidth="1"/>
    <col min="5384" max="5388" width="3.25" style="35" customWidth="1"/>
    <col min="5389" max="5389" width="5.125" style="35" customWidth="1"/>
    <col min="5390" max="5390" width="3.75" style="35" customWidth="1"/>
    <col min="5391" max="5396" width="3.25" style="35" customWidth="1"/>
    <col min="5397" max="5397" width="4.75" style="35" customWidth="1"/>
    <col min="5398" max="5398" width="3.75" style="35" customWidth="1"/>
    <col min="5399" max="5402" width="3.25" style="35" customWidth="1"/>
    <col min="5403" max="5403" width="4.75" style="35" customWidth="1"/>
    <col min="5404" max="5404" width="4.25" style="35" customWidth="1"/>
    <col min="5405" max="5405" width="3.75" style="35" customWidth="1"/>
    <col min="5406" max="5416" width="3.25" style="35" customWidth="1"/>
    <col min="5417" max="5417" width="2.875" style="35" customWidth="1"/>
    <col min="5418" max="5418" width="3.25" style="35" customWidth="1"/>
    <col min="5419" max="5632" width="9" style="35" customWidth="1"/>
    <col min="5633" max="5633" width="8" style="35" customWidth="1"/>
    <col min="5634" max="5635" width="7" style="35" customWidth="1"/>
    <col min="5636" max="5636" width="16.375" style="35" customWidth="1"/>
    <col min="5637" max="5638" width="4.75" style="35" customWidth="1"/>
    <col min="5639" max="5639" width="3.75" style="35" customWidth="1"/>
    <col min="5640" max="5644" width="3.25" style="35" customWidth="1"/>
    <col min="5645" max="5645" width="5.125" style="35" customWidth="1"/>
    <col min="5646" max="5646" width="3.75" style="35" customWidth="1"/>
    <col min="5647" max="5652" width="3.25" style="35" customWidth="1"/>
    <col min="5653" max="5653" width="4.75" style="35" customWidth="1"/>
    <col min="5654" max="5654" width="3.75" style="35" customWidth="1"/>
    <col min="5655" max="5658" width="3.25" style="35" customWidth="1"/>
    <col min="5659" max="5659" width="4.75" style="35" customWidth="1"/>
    <col min="5660" max="5660" width="4.25" style="35" customWidth="1"/>
    <col min="5661" max="5661" width="3.75" style="35" customWidth="1"/>
    <col min="5662" max="5672" width="3.25" style="35" customWidth="1"/>
    <col min="5673" max="5673" width="2.875" style="35" customWidth="1"/>
    <col min="5674" max="5674" width="3.25" style="35" customWidth="1"/>
    <col min="5675" max="5888" width="9" style="35" customWidth="1"/>
    <col min="5889" max="5889" width="8" style="35" customWidth="1"/>
    <col min="5890" max="5891" width="7" style="35" customWidth="1"/>
    <col min="5892" max="5892" width="16.375" style="35" customWidth="1"/>
    <col min="5893" max="5894" width="4.75" style="35" customWidth="1"/>
    <col min="5895" max="5895" width="3.75" style="35" customWidth="1"/>
    <col min="5896" max="5900" width="3.25" style="35" customWidth="1"/>
    <col min="5901" max="5901" width="5.125" style="35" customWidth="1"/>
    <col min="5902" max="5902" width="3.75" style="35" customWidth="1"/>
    <col min="5903" max="5908" width="3.25" style="35" customWidth="1"/>
    <col min="5909" max="5909" width="4.75" style="35" customWidth="1"/>
    <col min="5910" max="5910" width="3.75" style="35" customWidth="1"/>
    <col min="5911" max="5914" width="3.25" style="35" customWidth="1"/>
    <col min="5915" max="5915" width="4.75" style="35" customWidth="1"/>
    <col min="5916" max="5916" width="4.25" style="35" customWidth="1"/>
    <col min="5917" max="5917" width="3.75" style="35" customWidth="1"/>
    <col min="5918" max="5928" width="3.25" style="35" customWidth="1"/>
    <col min="5929" max="5929" width="2.875" style="35" customWidth="1"/>
    <col min="5930" max="5930" width="3.25" style="35" customWidth="1"/>
    <col min="5931" max="6144" width="9" style="35" customWidth="1"/>
    <col min="6145" max="6145" width="8" style="35" customWidth="1"/>
    <col min="6146" max="6147" width="7" style="35" customWidth="1"/>
    <col min="6148" max="6148" width="16.375" style="35" customWidth="1"/>
    <col min="6149" max="6150" width="4.75" style="35" customWidth="1"/>
    <col min="6151" max="6151" width="3.75" style="35" customWidth="1"/>
    <col min="6152" max="6156" width="3.25" style="35" customWidth="1"/>
    <col min="6157" max="6157" width="5.125" style="35" customWidth="1"/>
    <col min="6158" max="6158" width="3.75" style="35" customWidth="1"/>
    <col min="6159" max="6164" width="3.25" style="35" customWidth="1"/>
    <col min="6165" max="6165" width="4.75" style="35" customWidth="1"/>
    <col min="6166" max="6166" width="3.75" style="35" customWidth="1"/>
    <col min="6167" max="6170" width="3.25" style="35" customWidth="1"/>
    <col min="6171" max="6171" width="4.75" style="35" customWidth="1"/>
    <col min="6172" max="6172" width="4.25" style="35" customWidth="1"/>
    <col min="6173" max="6173" width="3.75" style="35" customWidth="1"/>
    <col min="6174" max="6184" width="3.25" style="35" customWidth="1"/>
    <col min="6185" max="6185" width="2.875" style="35" customWidth="1"/>
    <col min="6186" max="6186" width="3.25" style="35" customWidth="1"/>
    <col min="6187" max="6400" width="9" style="35" customWidth="1"/>
    <col min="6401" max="6401" width="8" style="35" customWidth="1"/>
    <col min="6402" max="6403" width="7" style="35" customWidth="1"/>
    <col min="6404" max="6404" width="16.375" style="35" customWidth="1"/>
    <col min="6405" max="6406" width="4.75" style="35" customWidth="1"/>
    <col min="6407" max="6407" width="3.75" style="35" customWidth="1"/>
    <col min="6408" max="6412" width="3.25" style="35" customWidth="1"/>
    <col min="6413" max="6413" width="5.125" style="35" customWidth="1"/>
    <col min="6414" max="6414" width="3.75" style="35" customWidth="1"/>
    <col min="6415" max="6420" width="3.25" style="35" customWidth="1"/>
    <col min="6421" max="6421" width="4.75" style="35" customWidth="1"/>
    <col min="6422" max="6422" width="3.75" style="35" customWidth="1"/>
    <col min="6423" max="6426" width="3.25" style="35" customWidth="1"/>
    <col min="6427" max="6427" width="4.75" style="35" customWidth="1"/>
    <col min="6428" max="6428" width="4.25" style="35" customWidth="1"/>
    <col min="6429" max="6429" width="3.75" style="35" customWidth="1"/>
    <col min="6430" max="6440" width="3.25" style="35" customWidth="1"/>
    <col min="6441" max="6441" width="2.875" style="35" customWidth="1"/>
    <col min="6442" max="6442" width="3.25" style="35" customWidth="1"/>
    <col min="6443" max="6656" width="9" style="35" customWidth="1"/>
    <col min="6657" max="6657" width="8" style="35" customWidth="1"/>
    <col min="6658" max="6659" width="7" style="35" customWidth="1"/>
    <col min="6660" max="6660" width="16.375" style="35" customWidth="1"/>
    <col min="6661" max="6662" width="4.75" style="35" customWidth="1"/>
    <col min="6663" max="6663" width="3.75" style="35" customWidth="1"/>
    <col min="6664" max="6668" width="3.25" style="35" customWidth="1"/>
    <col min="6669" max="6669" width="5.125" style="35" customWidth="1"/>
    <col min="6670" max="6670" width="3.75" style="35" customWidth="1"/>
    <col min="6671" max="6676" width="3.25" style="35" customWidth="1"/>
    <col min="6677" max="6677" width="4.75" style="35" customWidth="1"/>
    <col min="6678" max="6678" width="3.75" style="35" customWidth="1"/>
    <col min="6679" max="6682" width="3.25" style="35" customWidth="1"/>
    <col min="6683" max="6683" width="4.75" style="35" customWidth="1"/>
    <col min="6684" max="6684" width="4.25" style="35" customWidth="1"/>
    <col min="6685" max="6685" width="3.75" style="35" customWidth="1"/>
    <col min="6686" max="6696" width="3.25" style="35" customWidth="1"/>
    <col min="6697" max="6697" width="2.875" style="35" customWidth="1"/>
    <col min="6698" max="6698" width="3.25" style="35" customWidth="1"/>
    <col min="6699" max="6912" width="9" style="35" customWidth="1"/>
    <col min="6913" max="6913" width="8" style="35" customWidth="1"/>
    <col min="6914" max="6915" width="7" style="35" customWidth="1"/>
    <col min="6916" max="6916" width="16.375" style="35" customWidth="1"/>
    <col min="6917" max="6918" width="4.75" style="35" customWidth="1"/>
    <col min="6919" max="6919" width="3.75" style="35" customWidth="1"/>
    <col min="6920" max="6924" width="3.25" style="35" customWidth="1"/>
    <col min="6925" max="6925" width="5.125" style="35" customWidth="1"/>
    <col min="6926" max="6926" width="3.75" style="35" customWidth="1"/>
    <col min="6927" max="6932" width="3.25" style="35" customWidth="1"/>
    <col min="6933" max="6933" width="4.75" style="35" customWidth="1"/>
    <col min="6934" max="6934" width="3.75" style="35" customWidth="1"/>
    <col min="6935" max="6938" width="3.25" style="35" customWidth="1"/>
    <col min="6939" max="6939" width="4.75" style="35" customWidth="1"/>
    <col min="6940" max="6940" width="4.25" style="35" customWidth="1"/>
    <col min="6941" max="6941" width="3.75" style="35" customWidth="1"/>
    <col min="6942" max="6952" width="3.25" style="35" customWidth="1"/>
    <col min="6953" max="6953" width="2.875" style="35" customWidth="1"/>
    <col min="6954" max="6954" width="3.25" style="35" customWidth="1"/>
    <col min="6955" max="7168" width="9" style="35" customWidth="1"/>
    <col min="7169" max="7169" width="8" style="35" customWidth="1"/>
    <col min="7170" max="7171" width="7" style="35" customWidth="1"/>
    <col min="7172" max="7172" width="16.375" style="35" customWidth="1"/>
    <col min="7173" max="7174" width="4.75" style="35" customWidth="1"/>
    <col min="7175" max="7175" width="3.75" style="35" customWidth="1"/>
    <col min="7176" max="7180" width="3.25" style="35" customWidth="1"/>
    <col min="7181" max="7181" width="5.125" style="35" customWidth="1"/>
    <col min="7182" max="7182" width="3.75" style="35" customWidth="1"/>
    <col min="7183" max="7188" width="3.25" style="35" customWidth="1"/>
    <col min="7189" max="7189" width="4.75" style="35" customWidth="1"/>
    <col min="7190" max="7190" width="3.75" style="35" customWidth="1"/>
    <col min="7191" max="7194" width="3.25" style="35" customWidth="1"/>
    <col min="7195" max="7195" width="4.75" style="35" customWidth="1"/>
    <col min="7196" max="7196" width="4.25" style="35" customWidth="1"/>
    <col min="7197" max="7197" width="3.75" style="35" customWidth="1"/>
    <col min="7198" max="7208" width="3.25" style="35" customWidth="1"/>
    <col min="7209" max="7209" width="2.875" style="35" customWidth="1"/>
    <col min="7210" max="7210" width="3.25" style="35" customWidth="1"/>
    <col min="7211" max="7424" width="9" style="35" customWidth="1"/>
    <col min="7425" max="7425" width="8" style="35" customWidth="1"/>
    <col min="7426" max="7427" width="7" style="35" customWidth="1"/>
    <col min="7428" max="7428" width="16.375" style="35" customWidth="1"/>
    <col min="7429" max="7430" width="4.75" style="35" customWidth="1"/>
    <col min="7431" max="7431" width="3.75" style="35" customWidth="1"/>
    <col min="7432" max="7436" width="3.25" style="35" customWidth="1"/>
    <col min="7437" max="7437" width="5.125" style="35" customWidth="1"/>
    <col min="7438" max="7438" width="3.75" style="35" customWidth="1"/>
    <col min="7439" max="7444" width="3.25" style="35" customWidth="1"/>
    <col min="7445" max="7445" width="4.75" style="35" customWidth="1"/>
    <col min="7446" max="7446" width="3.75" style="35" customWidth="1"/>
    <col min="7447" max="7450" width="3.25" style="35" customWidth="1"/>
    <col min="7451" max="7451" width="4.75" style="35" customWidth="1"/>
    <col min="7452" max="7452" width="4.25" style="35" customWidth="1"/>
    <col min="7453" max="7453" width="3.75" style="35" customWidth="1"/>
    <col min="7454" max="7464" width="3.25" style="35" customWidth="1"/>
    <col min="7465" max="7465" width="2.875" style="35" customWidth="1"/>
    <col min="7466" max="7466" width="3.25" style="35" customWidth="1"/>
    <col min="7467" max="7680" width="9" style="35" customWidth="1"/>
    <col min="7681" max="7681" width="8" style="35" customWidth="1"/>
    <col min="7682" max="7683" width="7" style="35" customWidth="1"/>
    <col min="7684" max="7684" width="16.375" style="35" customWidth="1"/>
    <col min="7685" max="7686" width="4.75" style="35" customWidth="1"/>
    <col min="7687" max="7687" width="3.75" style="35" customWidth="1"/>
    <col min="7688" max="7692" width="3.25" style="35" customWidth="1"/>
    <col min="7693" max="7693" width="5.125" style="35" customWidth="1"/>
    <col min="7694" max="7694" width="3.75" style="35" customWidth="1"/>
    <col min="7695" max="7700" width="3.25" style="35" customWidth="1"/>
    <col min="7701" max="7701" width="4.75" style="35" customWidth="1"/>
    <col min="7702" max="7702" width="3.75" style="35" customWidth="1"/>
    <col min="7703" max="7706" width="3.25" style="35" customWidth="1"/>
    <col min="7707" max="7707" width="4.75" style="35" customWidth="1"/>
    <col min="7708" max="7708" width="4.25" style="35" customWidth="1"/>
    <col min="7709" max="7709" width="3.75" style="35" customWidth="1"/>
    <col min="7710" max="7720" width="3.25" style="35" customWidth="1"/>
    <col min="7721" max="7721" width="2.875" style="35" customWidth="1"/>
    <col min="7722" max="7722" width="3.25" style="35" customWidth="1"/>
    <col min="7723" max="7936" width="9" style="35" customWidth="1"/>
    <col min="7937" max="7937" width="8" style="35" customWidth="1"/>
    <col min="7938" max="7939" width="7" style="35" customWidth="1"/>
    <col min="7940" max="7940" width="16.375" style="35" customWidth="1"/>
    <col min="7941" max="7942" width="4.75" style="35" customWidth="1"/>
    <col min="7943" max="7943" width="3.75" style="35" customWidth="1"/>
    <col min="7944" max="7948" width="3.25" style="35" customWidth="1"/>
    <col min="7949" max="7949" width="5.125" style="35" customWidth="1"/>
    <col min="7950" max="7950" width="3.75" style="35" customWidth="1"/>
    <col min="7951" max="7956" width="3.25" style="35" customWidth="1"/>
    <col min="7957" max="7957" width="4.75" style="35" customWidth="1"/>
    <col min="7958" max="7958" width="3.75" style="35" customWidth="1"/>
    <col min="7959" max="7962" width="3.25" style="35" customWidth="1"/>
    <col min="7963" max="7963" width="4.75" style="35" customWidth="1"/>
    <col min="7964" max="7964" width="4.25" style="35" customWidth="1"/>
    <col min="7965" max="7965" width="3.75" style="35" customWidth="1"/>
    <col min="7966" max="7976" width="3.25" style="35" customWidth="1"/>
    <col min="7977" max="7977" width="2.875" style="35" customWidth="1"/>
    <col min="7978" max="7978" width="3.25" style="35" customWidth="1"/>
    <col min="7979" max="8192" width="9" style="35" customWidth="1"/>
    <col min="8193" max="8193" width="8" style="35" customWidth="1"/>
    <col min="8194" max="8195" width="7" style="35" customWidth="1"/>
    <col min="8196" max="8196" width="16.375" style="35" customWidth="1"/>
    <col min="8197" max="8198" width="4.75" style="35" customWidth="1"/>
    <col min="8199" max="8199" width="3.75" style="35" customWidth="1"/>
    <col min="8200" max="8204" width="3.25" style="35" customWidth="1"/>
    <col min="8205" max="8205" width="5.125" style="35" customWidth="1"/>
    <col min="8206" max="8206" width="3.75" style="35" customWidth="1"/>
    <col min="8207" max="8212" width="3.25" style="35" customWidth="1"/>
    <col min="8213" max="8213" width="4.75" style="35" customWidth="1"/>
    <col min="8214" max="8214" width="3.75" style="35" customWidth="1"/>
    <col min="8215" max="8218" width="3.25" style="35" customWidth="1"/>
    <col min="8219" max="8219" width="4.75" style="35" customWidth="1"/>
    <col min="8220" max="8220" width="4.25" style="35" customWidth="1"/>
    <col min="8221" max="8221" width="3.75" style="35" customWidth="1"/>
    <col min="8222" max="8232" width="3.25" style="35" customWidth="1"/>
    <col min="8233" max="8233" width="2.875" style="35" customWidth="1"/>
    <col min="8234" max="8234" width="3.25" style="35" customWidth="1"/>
    <col min="8235" max="8448" width="9" style="35" customWidth="1"/>
    <col min="8449" max="8449" width="8" style="35" customWidth="1"/>
    <col min="8450" max="8451" width="7" style="35" customWidth="1"/>
    <col min="8452" max="8452" width="16.375" style="35" customWidth="1"/>
    <col min="8453" max="8454" width="4.75" style="35" customWidth="1"/>
    <col min="8455" max="8455" width="3.75" style="35" customWidth="1"/>
    <col min="8456" max="8460" width="3.25" style="35" customWidth="1"/>
    <col min="8461" max="8461" width="5.125" style="35" customWidth="1"/>
    <col min="8462" max="8462" width="3.75" style="35" customWidth="1"/>
    <col min="8463" max="8468" width="3.25" style="35" customWidth="1"/>
    <col min="8469" max="8469" width="4.75" style="35" customWidth="1"/>
    <col min="8470" max="8470" width="3.75" style="35" customWidth="1"/>
    <col min="8471" max="8474" width="3.25" style="35" customWidth="1"/>
    <col min="8475" max="8475" width="4.75" style="35" customWidth="1"/>
    <col min="8476" max="8476" width="4.25" style="35" customWidth="1"/>
    <col min="8477" max="8477" width="3.75" style="35" customWidth="1"/>
    <col min="8478" max="8488" width="3.25" style="35" customWidth="1"/>
    <col min="8489" max="8489" width="2.875" style="35" customWidth="1"/>
    <col min="8490" max="8490" width="3.25" style="35" customWidth="1"/>
    <col min="8491" max="8704" width="9" style="35" customWidth="1"/>
    <col min="8705" max="8705" width="8" style="35" customWidth="1"/>
    <col min="8706" max="8707" width="7" style="35" customWidth="1"/>
    <col min="8708" max="8708" width="16.375" style="35" customWidth="1"/>
    <col min="8709" max="8710" width="4.75" style="35" customWidth="1"/>
    <col min="8711" max="8711" width="3.75" style="35" customWidth="1"/>
    <col min="8712" max="8716" width="3.25" style="35" customWidth="1"/>
    <col min="8717" max="8717" width="5.125" style="35" customWidth="1"/>
    <col min="8718" max="8718" width="3.75" style="35" customWidth="1"/>
    <col min="8719" max="8724" width="3.25" style="35" customWidth="1"/>
    <col min="8725" max="8725" width="4.75" style="35" customWidth="1"/>
    <col min="8726" max="8726" width="3.75" style="35" customWidth="1"/>
    <col min="8727" max="8730" width="3.25" style="35" customWidth="1"/>
    <col min="8731" max="8731" width="4.75" style="35" customWidth="1"/>
    <col min="8732" max="8732" width="4.25" style="35" customWidth="1"/>
    <col min="8733" max="8733" width="3.75" style="35" customWidth="1"/>
    <col min="8734" max="8744" width="3.25" style="35" customWidth="1"/>
    <col min="8745" max="8745" width="2.875" style="35" customWidth="1"/>
    <col min="8746" max="8746" width="3.25" style="35" customWidth="1"/>
    <col min="8747" max="8960" width="9" style="35" customWidth="1"/>
    <col min="8961" max="8961" width="8" style="35" customWidth="1"/>
    <col min="8962" max="8963" width="7" style="35" customWidth="1"/>
    <col min="8964" max="8964" width="16.375" style="35" customWidth="1"/>
    <col min="8965" max="8966" width="4.75" style="35" customWidth="1"/>
    <col min="8967" max="8967" width="3.75" style="35" customWidth="1"/>
    <col min="8968" max="8972" width="3.25" style="35" customWidth="1"/>
    <col min="8973" max="8973" width="5.125" style="35" customWidth="1"/>
    <col min="8974" max="8974" width="3.75" style="35" customWidth="1"/>
    <col min="8975" max="8980" width="3.25" style="35" customWidth="1"/>
    <col min="8981" max="8981" width="4.75" style="35" customWidth="1"/>
    <col min="8982" max="8982" width="3.75" style="35" customWidth="1"/>
    <col min="8983" max="8986" width="3.25" style="35" customWidth="1"/>
    <col min="8987" max="8987" width="4.75" style="35" customWidth="1"/>
    <col min="8988" max="8988" width="4.25" style="35" customWidth="1"/>
    <col min="8989" max="8989" width="3.75" style="35" customWidth="1"/>
    <col min="8990" max="9000" width="3.25" style="35" customWidth="1"/>
    <col min="9001" max="9001" width="2.875" style="35" customWidth="1"/>
    <col min="9002" max="9002" width="3.25" style="35" customWidth="1"/>
    <col min="9003" max="9216" width="9" style="35" customWidth="1"/>
    <col min="9217" max="9217" width="8" style="35" customWidth="1"/>
    <col min="9218" max="9219" width="7" style="35" customWidth="1"/>
    <col min="9220" max="9220" width="16.375" style="35" customWidth="1"/>
    <col min="9221" max="9222" width="4.75" style="35" customWidth="1"/>
    <col min="9223" max="9223" width="3.75" style="35" customWidth="1"/>
    <col min="9224" max="9228" width="3.25" style="35" customWidth="1"/>
    <col min="9229" max="9229" width="5.125" style="35" customWidth="1"/>
    <col min="9230" max="9230" width="3.75" style="35" customWidth="1"/>
    <col min="9231" max="9236" width="3.25" style="35" customWidth="1"/>
    <col min="9237" max="9237" width="4.75" style="35" customWidth="1"/>
    <col min="9238" max="9238" width="3.75" style="35" customWidth="1"/>
    <col min="9239" max="9242" width="3.25" style="35" customWidth="1"/>
    <col min="9243" max="9243" width="4.75" style="35" customWidth="1"/>
    <col min="9244" max="9244" width="4.25" style="35" customWidth="1"/>
    <col min="9245" max="9245" width="3.75" style="35" customWidth="1"/>
    <col min="9246" max="9256" width="3.25" style="35" customWidth="1"/>
    <col min="9257" max="9257" width="2.875" style="35" customWidth="1"/>
    <col min="9258" max="9258" width="3.25" style="35" customWidth="1"/>
    <col min="9259" max="9472" width="9" style="35" customWidth="1"/>
    <col min="9473" max="9473" width="8" style="35" customWidth="1"/>
    <col min="9474" max="9475" width="7" style="35" customWidth="1"/>
    <col min="9476" max="9476" width="16.375" style="35" customWidth="1"/>
    <col min="9477" max="9478" width="4.75" style="35" customWidth="1"/>
    <col min="9479" max="9479" width="3.75" style="35" customWidth="1"/>
    <col min="9480" max="9484" width="3.25" style="35" customWidth="1"/>
    <col min="9485" max="9485" width="5.125" style="35" customWidth="1"/>
    <col min="9486" max="9486" width="3.75" style="35" customWidth="1"/>
    <col min="9487" max="9492" width="3.25" style="35" customWidth="1"/>
    <col min="9493" max="9493" width="4.75" style="35" customWidth="1"/>
    <col min="9494" max="9494" width="3.75" style="35" customWidth="1"/>
    <col min="9495" max="9498" width="3.25" style="35" customWidth="1"/>
    <col min="9499" max="9499" width="4.75" style="35" customWidth="1"/>
    <col min="9500" max="9500" width="4.25" style="35" customWidth="1"/>
    <col min="9501" max="9501" width="3.75" style="35" customWidth="1"/>
    <col min="9502" max="9512" width="3.25" style="35" customWidth="1"/>
    <col min="9513" max="9513" width="2.875" style="35" customWidth="1"/>
    <col min="9514" max="9514" width="3.25" style="35" customWidth="1"/>
    <col min="9515" max="9728" width="9" style="35" customWidth="1"/>
    <col min="9729" max="9729" width="8" style="35" customWidth="1"/>
    <col min="9730" max="9731" width="7" style="35" customWidth="1"/>
    <col min="9732" max="9732" width="16.375" style="35" customWidth="1"/>
    <col min="9733" max="9734" width="4.75" style="35" customWidth="1"/>
    <col min="9735" max="9735" width="3.75" style="35" customWidth="1"/>
    <col min="9736" max="9740" width="3.25" style="35" customWidth="1"/>
    <col min="9741" max="9741" width="5.125" style="35" customWidth="1"/>
    <col min="9742" max="9742" width="3.75" style="35" customWidth="1"/>
    <col min="9743" max="9748" width="3.25" style="35" customWidth="1"/>
    <col min="9749" max="9749" width="4.75" style="35" customWidth="1"/>
    <col min="9750" max="9750" width="3.75" style="35" customWidth="1"/>
    <col min="9751" max="9754" width="3.25" style="35" customWidth="1"/>
    <col min="9755" max="9755" width="4.75" style="35" customWidth="1"/>
    <col min="9756" max="9756" width="4.25" style="35" customWidth="1"/>
    <col min="9757" max="9757" width="3.75" style="35" customWidth="1"/>
    <col min="9758" max="9768" width="3.25" style="35" customWidth="1"/>
    <col min="9769" max="9769" width="2.875" style="35" customWidth="1"/>
    <col min="9770" max="9770" width="3.25" style="35" customWidth="1"/>
    <col min="9771" max="9984" width="9" style="35" customWidth="1"/>
    <col min="9985" max="9985" width="8" style="35" customWidth="1"/>
    <col min="9986" max="9987" width="7" style="35" customWidth="1"/>
    <col min="9988" max="9988" width="16.375" style="35" customWidth="1"/>
    <col min="9989" max="9990" width="4.75" style="35" customWidth="1"/>
    <col min="9991" max="9991" width="3.75" style="35" customWidth="1"/>
    <col min="9992" max="9996" width="3.25" style="35" customWidth="1"/>
    <col min="9997" max="9997" width="5.125" style="35" customWidth="1"/>
    <col min="9998" max="9998" width="3.75" style="35" customWidth="1"/>
    <col min="9999" max="10004" width="3.25" style="35" customWidth="1"/>
    <col min="10005" max="10005" width="4.75" style="35" customWidth="1"/>
    <col min="10006" max="10006" width="3.75" style="35" customWidth="1"/>
    <col min="10007" max="10010" width="3.25" style="35" customWidth="1"/>
    <col min="10011" max="10011" width="4.75" style="35" customWidth="1"/>
    <col min="10012" max="10012" width="4.25" style="35" customWidth="1"/>
    <col min="10013" max="10013" width="3.75" style="35" customWidth="1"/>
    <col min="10014" max="10024" width="3.25" style="35" customWidth="1"/>
    <col min="10025" max="10025" width="2.875" style="35" customWidth="1"/>
    <col min="10026" max="10026" width="3.25" style="35" customWidth="1"/>
    <col min="10027" max="10240" width="9" style="35" customWidth="1"/>
    <col min="10241" max="10241" width="8" style="35" customWidth="1"/>
    <col min="10242" max="10243" width="7" style="35" customWidth="1"/>
    <col min="10244" max="10244" width="16.375" style="35" customWidth="1"/>
    <col min="10245" max="10246" width="4.75" style="35" customWidth="1"/>
    <col min="10247" max="10247" width="3.75" style="35" customWidth="1"/>
    <col min="10248" max="10252" width="3.25" style="35" customWidth="1"/>
    <col min="10253" max="10253" width="5.125" style="35" customWidth="1"/>
    <col min="10254" max="10254" width="3.75" style="35" customWidth="1"/>
    <col min="10255" max="10260" width="3.25" style="35" customWidth="1"/>
    <col min="10261" max="10261" width="4.75" style="35" customWidth="1"/>
    <col min="10262" max="10262" width="3.75" style="35" customWidth="1"/>
    <col min="10263" max="10266" width="3.25" style="35" customWidth="1"/>
    <col min="10267" max="10267" width="4.75" style="35" customWidth="1"/>
    <col min="10268" max="10268" width="4.25" style="35" customWidth="1"/>
    <col min="10269" max="10269" width="3.75" style="35" customWidth="1"/>
    <col min="10270" max="10280" width="3.25" style="35" customWidth="1"/>
    <col min="10281" max="10281" width="2.875" style="35" customWidth="1"/>
    <col min="10282" max="10282" width="3.25" style="35" customWidth="1"/>
    <col min="10283" max="10496" width="9" style="35" customWidth="1"/>
    <col min="10497" max="10497" width="8" style="35" customWidth="1"/>
    <col min="10498" max="10499" width="7" style="35" customWidth="1"/>
    <col min="10500" max="10500" width="16.375" style="35" customWidth="1"/>
    <col min="10501" max="10502" width="4.75" style="35" customWidth="1"/>
    <col min="10503" max="10503" width="3.75" style="35" customWidth="1"/>
    <col min="10504" max="10508" width="3.25" style="35" customWidth="1"/>
    <col min="10509" max="10509" width="5.125" style="35" customWidth="1"/>
    <col min="10510" max="10510" width="3.75" style="35" customWidth="1"/>
    <col min="10511" max="10516" width="3.25" style="35" customWidth="1"/>
    <col min="10517" max="10517" width="4.75" style="35" customWidth="1"/>
    <col min="10518" max="10518" width="3.75" style="35" customWidth="1"/>
    <col min="10519" max="10522" width="3.25" style="35" customWidth="1"/>
    <col min="10523" max="10523" width="4.75" style="35" customWidth="1"/>
    <col min="10524" max="10524" width="4.25" style="35" customWidth="1"/>
    <col min="10525" max="10525" width="3.75" style="35" customWidth="1"/>
    <col min="10526" max="10536" width="3.25" style="35" customWidth="1"/>
    <col min="10537" max="10537" width="2.875" style="35" customWidth="1"/>
    <col min="10538" max="10538" width="3.25" style="35" customWidth="1"/>
    <col min="10539" max="10752" width="9" style="35" customWidth="1"/>
    <col min="10753" max="10753" width="8" style="35" customWidth="1"/>
    <col min="10754" max="10755" width="7" style="35" customWidth="1"/>
    <col min="10756" max="10756" width="16.375" style="35" customWidth="1"/>
    <col min="10757" max="10758" width="4.75" style="35" customWidth="1"/>
    <col min="10759" max="10759" width="3.75" style="35" customWidth="1"/>
    <col min="10760" max="10764" width="3.25" style="35" customWidth="1"/>
    <col min="10765" max="10765" width="5.125" style="35" customWidth="1"/>
    <col min="10766" max="10766" width="3.75" style="35" customWidth="1"/>
    <col min="10767" max="10772" width="3.25" style="35" customWidth="1"/>
    <col min="10773" max="10773" width="4.75" style="35" customWidth="1"/>
    <col min="10774" max="10774" width="3.75" style="35" customWidth="1"/>
    <col min="10775" max="10778" width="3.25" style="35" customWidth="1"/>
    <col min="10779" max="10779" width="4.75" style="35" customWidth="1"/>
    <col min="10780" max="10780" width="4.25" style="35" customWidth="1"/>
    <col min="10781" max="10781" width="3.75" style="35" customWidth="1"/>
    <col min="10782" max="10792" width="3.25" style="35" customWidth="1"/>
    <col min="10793" max="10793" width="2.875" style="35" customWidth="1"/>
    <col min="10794" max="10794" width="3.25" style="35" customWidth="1"/>
    <col min="10795" max="11008" width="9" style="35" customWidth="1"/>
    <col min="11009" max="11009" width="8" style="35" customWidth="1"/>
    <col min="11010" max="11011" width="7" style="35" customWidth="1"/>
    <col min="11012" max="11012" width="16.375" style="35" customWidth="1"/>
    <col min="11013" max="11014" width="4.75" style="35" customWidth="1"/>
    <col min="11015" max="11015" width="3.75" style="35" customWidth="1"/>
    <col min="11016" max="11020" width="3.25" style="35" customWidth="1"/>
    <col min="11021" max="11021" width="5.125" style="35" customWidth="1"/>
    <col min="11022" max="11022" width="3.75" style="35" customWidth="1"/>
    <col min="11023" max="11028" width="3.25" style="35" customWidth="1"/>
    <col min="11029" max="11029" width="4.75" style="35" customWidth="1"/>
    <col min="11030" max="11030" width="3.75" style="35" customWidth="1"/>
    <col min="11031" max="11034" width="3.25" style="35" customWidth="1"/>
    <col min="11035" max="11035" width="4.75" style="35" customWidth="1"/>
    <col min="11036" max="11036" width="4.25" style="35" customWidth="1"/>
    <col min="11037" max="11037" width="3.75" style="35" customWidth="1"/>
    <col min="11038" max="11048" width="3.25" style="35" customWidth="1"/>
    <col min="11049" max="11049" width="2.875" style="35" customWidth="1"/>
    <col min="11050" max="11050" width="3.25" style="35" customWidth="1"/>
    <col min="11051" max="11264" width="9" style="35" customWidth="1"/>
    <col min="11265" max="11265" width="8" style="35" customWidth="1"/>
    <col min="11266" max="11267" width="7" style="35" customWidth="1"/>
    <col min="11268" max="11268" width="16.375" style="35" customWidth="1"/>
    <col min="11269" max="11270" width="4.75" style="35" customWidth="1"/>
    <col min="11271" max="11271" width="3.75" style="35" customWidth="1"/>
    <col min="11272" max="11276" width="3.25" style="35" customWidth="1"/>
    <col min="11277" max="11277" width="5.125" style="35" customWidth="1"/>
    <col min="11278" max="11278" width="3.75" style="35" customWidth="1"/>
    <col min="11279" max="11284" width="3.25" style="35" customWidth="1"/>
    <col min="11285" max="11285" width="4.75" style="35" customWidth="1"/>
    <col min="11286" max="11286" width="3.75" style="35" customWidth="1"/>
    <col min="11287" max="11290" width="3.25" style="35" customWidth="1"/>
    <col min="11291" max="11291" width="4.75" style="35" customWidth="1"/>
    <col min="11292" max="11292" width="4.25" style="35" customWidth="1"/>
    <col min="11293" max="11293" width="3.75" style="35" customWidth="1"/>
    <col min="11294" max="11304" width="3.25" style="35" customWidth="1"/>
    <col min="11305" max="11305" width="2.875" style="35" customWidth="1"/>
    <col min="11306" max="11306" width="3.25" style="35" customWidth="1"/>
    <col min="11307" max="11520" width="9" style="35" customWidth="1"/>
    <col min="11521" max="11521" width="8" style="35" customWidth="1"/>
    <col min="11522" max="11523" width="7" style="35" customWidth="1"/>
    <col min="11524" max="11524" width="16.375" style="35" customWidth="1"/>
    <col min="11525" max="11526" width="4.75" style="35" customWidth="1"/>
    <col min="11527" max="11527" width="3.75" style="35" customWidth="1"/>
    <col min="11528" max="11532" width="3.25" style="35" customWidth="1"/>
    <col min="11533" max="11533" width="5.125" style="35" customWidth="1"/>
    <col min="11534" max="11534" width="3.75" style="35" customWidth="1"/>
    <col min="11535" max="11540" width="3.25" style="35" customWidth="1"/>
    <col min="11541" max="11541" width="4.75" style="35" customWidth="1"/>
    <col min="11542" max="11542" width="3.75" style="35" customWidth="1"/>
    <col min="11543" max="11546" width="3.25" style="35" customWidth="1"/>
    <col min="11547" max="11547" width="4.75" style="35" customWidth="1"/>
    <col min="11548" max="11548" width="4.25" style="35" customWidth="1"/>
    <col min="11549" max="11549" width="3.75" style="35" customWidth="1"/>
    <col min="11550" max="11560" width="3.25" style="35" customWidth="1"/>
    <col min="11561" max="11561" width="2.875" style="35" customWidth="1"/>
    <col min="11562" max="11562" width="3.25" style="35" customWidth="1"/>
    <col min="11563" max="11776" width="9" style="35" customWidth="1"/>
    <col min="11777" max="11777" width="8" style="35" customWidth="1"/>
    <col min="11778" max="11779" width="7" style="35" customWidth="1"/>
    <col min="11780" max="11780" width="16.375" style="35" customWidth="1"/>
    <col min="11781" max="11782" width="4.75" style="35" customWidth="1"/>
    <col min="11783" max="11783" width="3.75" style="35" customWidth="1"/>
    <col min="11784" max="11788" width="3.25" style="35" customWidth="1"/>
    <col min="11789" max="11789" width="5.125" style="35" customWidth="1"/>
    <col min="11790" max="11790" width="3.75" style="35" customWidth="1"/>
    <col min="11791" max="11796" width="3.25" style="35" customWidth="1"/>
    <col min="11797" max="11797" width="4.75" style="35" customWidth="1"/>
    <col min="11798" max="11798" width="3.75" style="35" customWidth="1"/>
    <col min="11799" max="11802" width="3.25" style="35" customWidth="1"/>
    <col min="11803" max="11803" width="4.75" style="35" customWidth="1"/>
    <col min="11804" max="11804" width="4.25" style="35" customWidth="1"/>
    <col min="11805" max="11805" width="3.75" style="35" customWidth="1"/>
    <col min="11806" max="11816" width="3.25" style="35" customWidth="1"/>
    <col min="11817" max="11817" width="2.875" style="35" customWidth="1"/>
    <col min="11818" max="11818" width="3.25" style="35" customWidth="1"/>
    <col min="11819" max="12032" width="9" style="35" customWidth="1"/>
    <col min="12033" max="12033" width="8" style="35" customWidth="1"/>
    <col min="12034" max="12035" width="7" style="35" customWidth="1"/>
    <col min="12036" max="12036" width="16.375" style="35" customWidth="1"/>
    <col min="12037" max="12038" width="4.75" style="35" customWidth="1"/>
    <col min="12039" max="12039" width="3.75" style="35" customWidth="1"/>
    <col min="12040" max="12044" width="3.25" style="35" customWidth="1"/>
    <col min="12045" max="12045" width="5.125" style="35" customWidth="1"/>
    <col min="12046" max="12046" width="3.75" style="35" customWidth="1"/>
    <col min="12047" max="12052" width="3.25" style="35" customWidth="1"/>
    <col min="12053" max="12053" width="4.75" style="35" customWidth="1"/>
    <col min="12054" max="12054" width="3.75" style="35" customWidth="1"/>
    <col min="12055" max="12058" width="3.25" style="35" customWidth="1"/>
    <col min="12059" max="12059" width="4.75" style="35" customWidth="1"/>
    <col min="12060" max="12060" width="4.25" style="35" customWidth="1"/>
    <col min="12061" max="12061" width="3.75" style="35" customWidth="1"/>
    <col min="12062" max="12072" width="3.25" style="35" customWidth="1"/>
    <col min="12073" max="12073" width="2.875" style="35" customWidth="1"/>
    <col min="12074" max="12074" width="3.25" style="35" customWidth="1"/>
    <col min="12075" max="12288" width="9" style="35" customWidth="1"/>
    <col min="12289" max="12289" width="8" style="35" customWidth="1"/>
    <col min="12290" max="12291" width="7" style="35" customWidth="1"/>
    <col min="12292" max="12292" width="16.375" style="35" customWidth="1"/>
    <col min="12293" max="12294" width="4.75" style="35" customWidth="1"/>
    <col min="12295" max="12295" width="3.75" style="35" customWidth="1"/>
    <col min="12296" max="12300" width="3.25" style="35" customWidth="1"/>
    <col min="12301" max="12301" width="5.125" style="35" customWidth="1"/>
    <col min="12302" max="12302" width="3.75" style="35" customWidth="1"/>
    <col min="12303" max="12308" width="3.25" style="35" customWidth="1"/>
    <col min="12309" max="12309" width="4.75" style="35" customWidth="1"/>
    <col min="12310" max="12310" width="3.75" style="35" customWidth="1"/>
    <col min="12311" max="12314" width="3.25" style="35" customWidth="1"/>
    <col min="12315" max="12315" width="4.75" style="35" customWidth="1"/>
    <col min="12316" max="12316" width="4.25" style="35" customWidth="1"/>
    <col min="12317" max="12317" width="3.75" style="35" customWidth="1"/>
    <col min="12318" max="12328" width="3.25" style="35" customWidth="1"/>
    <col min="12329" max="12329" width="2.875" style="35" customWidth="1"/>
    <col min="12330" max="12330" width="3.25" style="35" customWidth="1"/>
    <col min="12331" max="12544" width="9" style="35" customWidth="1"/>
    <col min="12545" max="12545" width="8" style="35" customWidth="1"/>
    <col min="12546" max="12547" width="7" style="35" customWidth="1"/>
    <col min="12548" max="12548" width="16.375" style="35" customWidth="1"/>
    <col min="12549" max="12550" width="4.75" style="35" customWidth="1"/>
    <col min="12551" max="12551" width="3.75" style="35" customWidth="1"/>
    <col min="12552" max="12556" width="3.25" style="35" customWidth="1"/>
    <col min="12557" max="12557" width="5.125" style="35" customWidth="1"/>
    <col min="12558" max="12558" width="3.75" style="35" customWidth="1"/>
    <col min="12559" max="12564" width="3.25" style="35" customWidth="1"/>
    <col min="12565" max="12565" width="4.75" style="35" customWidth="1"/>
    <col min="12566" max="12566" width="3.75" style="35" customWidth="1"/>
    <col min="12567" max="12570" width="3.25" style="35" customWidth="1"/>
    <col min="12571" max="12571" width="4.75" style="35" customWidth="1"/>
    <col min="12572" max="12572" width="4.25" style="35" customWidth="1"/>
    <col min="12573" max="12573" width="3.75" style="35" customWidth="1"/>
    <col min="12574" max="12584" width="3.25" style="35" customWidth="1"/>
    <col min="12585" max="12585" width="2.875" style="35" customWidth="1"/>
    <col min="12586" max="12586" width="3.25" style="35" customWidth="1"/>
    <col min="12587" max="12800" width="9" style="35" customWidth="1"/>
    <col min="12801" max="12801" width="8" style="35" customWidth="1"/>
    <col min="12802" max="12803" width="7" style="35" customWidth="1"/>
    <col min="12804" max="12804" width="16.375" style="35" customWidth="1"/>
    <col min="12805" max="12806" width="4.75" style="35" customWidth="1"/>
    <col min="12807" max="12807" width="3.75" style="35" customWidth="1"/>
    <col min="12808" max="12812" width="3.25" style="35" customWidth="1"/>
    <col min="12813" max="12813" width="5.125" style="35" customWidth="1"/>
    <col min="12814" max="12814" width="3.75" style="35" customWidth="1"/>
    <col min="12815" max="12820" width="3.25" style="35" customWidth="1"/>
    <col min="12821" max="12821" width="4.75" style="35" customWidth="1"/>
    <col min="12822" max="12822" width="3.75" style="35" customWidth="1"/>
    <col min="12823" max="12826" width="3.25" style="35" customWidth="1"/>
    <col min="12827" max="12827" width="4.75" style="35" customWidth="1"/>
    <col min="12828" max="12828" width="4.25" style="35" customWidth="1"/>
    <col min="12829" max="12829" width="3.75" style="35" customWidth="1"/>
    <col min="12830" max="12840" width="3.25" style="35" customWidth="1"/>
    <col min="12841" max="12841" width="2.875" style="35" customWidth="1"/>
    <col min="12842" max="12842" width="3.25" style="35" customWidth="1"/>
    <col min="12843" max="13056" width="9" style="35" customWidth="1"/>
    <col min="13057" max="13057" width="8" style="35" customWidth="1"/>
    <col min="13058" max="13059" width="7" style="35" customWidth="1"/>
    <col min="13060" max="13060" width="16.375" style="35" customWidth="1"/>
    <col min="13061" max="13062" width="4.75" style="35" customWidth="1"/>
    <col min="13063" max="13063" width="3.75" style="35" customWidth="1"/>
    <col min="13064" max="13068" width="3.25" style="35" customWidth="1"/>
    <col min="13069" max="13069" width="5.125" style="35" customWidth="1"/>
    <col min="13070" max="13070" width="3.75" style="35" customWidth="1"/>
    <col min="13071" max="13076" width="3.25" style="35" customWidth="1"/>
    <col min="13077" max="13077" width="4.75" style="35" customWidth="1"/>
    <col min="13078" max="13078" width="3.75" style="35" customWidth="1"/>
    <col min="13079" max="13082" width="3.25" style="35" customWidth="1"/>
    <col min="13083" max="13083" width="4.75" style="35" customWidth="1"/>
    <col min="13084" max="13084" width="4.25" style="35" customWidth="1"/>
    <col min="13085" max="13085" width="3.75" style="35" customWidth="1"/>
    <col min="13086" max="13096" width="3.25" style="35" customWidth="1"/>
    <col min="13097" max="13097" width="2.875" style="35" customWidth="1"/>
    <col min="13098" max="13098" width="3.25" style="35" customWidth="1"/>
    <col min="13099" max="13312" width="9" style="35" customWidth="1"/>
    <col min="13313" max="13313" width="8" style="35" customWidth="1"/>
    <col min="13314" max="13315" width="7" style="35" customWidth="1"/>
    <col min="13316" max="13316" width="16.375" style="35" customWidth="1"/>
    <col min="13317" max="13318" width="4.75" style="35" customWidth="1"/>
    <col min="13319" max="13319" width="3.75" style="35" customWidth="1"/>
    <col min="13320" max="13324" width="3.25" style="35" customWidth="1"/>
    <col min="13325" max="13325" width="5.125" style="35" customWidth="1"/>
    <col min="13326" max="13326" width="3.75" style="35" customWidth="1"/>
    <col min="13327" max="13332" width="3.25" style="35" customWidth="1"/>
    <col min="13333" max="13333" width="4.75" style="35" customWidth="1"/>
    <col min="13334" max="13334" width="3.75" style="35" customWidth="1"/>
    <col min="13335" max="13338" width="3.25" style="35" customWidth="1"/>
    <col min="13339" max="13339" width="4.75" style="35" customWidth="1"/>
    <col min="13340" max="13340" width="4.25" style="35" customWidth="1"/>
    <col min="13341" max="13341" width="3.75" style="35" customWidth="1"/>
    <col min="13342" max="13352" width="3.25" style="35" customWidth="1"/>
    <col min="13353" max="13353" width="2.875" style="35" customWidth="1"/>
    <col min="13354" max="13354" width="3.25" style="35" customWidth="1"/>
    <col min="13355" max="13568" width="9" style="35" customWidth="1"/>
    <col min="13569" max="13569" width="8" style="35" customWidth="1"/>
    <col min="13570" max="13571" width="7" style="35" customWidth="1"/>
    <col min="13572" max="13572" width="16.375" style="35" customWidth="1"/>
    <col min="13573" max="13574" width="4.75" style="35" customWidth="1"/>
    <col min="13575" max="13575" width="3.75" style="35" customWidth="1"/>
    <col min="13576" max="13580" width="3.25" style="35" customWidth="1"/>
    <col min="13581" max="13581" width="5.125" style="35" customWidth="1"/>
    <col min="13582" max="13582" width="3.75" style="35" customWidth="1"/>
    <col min="13583" max="13588" width="3.25" style="35" customWidth="1"/>
    <col min="13589" max="13589" width="4.75" style="35" customWidth="1"/>
    <col min="13590" max="13590" width="3.75" style="35" customWidth="1"/>
    <col min="13591" max="13594" width="3.25" style="35" customWidth="1"/>
    <col min="13595" max="13595" width="4.75" style="35" customWidth="1"/>
    <col min="13596" max="13596" width="4.25" style="35" customWidth="1"/>
    <col min="13597" max="13597" width="3.75" style="35" customWidth="1"/>
    <col min="13598" max="13608" width="3.25" style="35" customWidth="1"/>
    <col min="13609" max="13609" width="2.875" style="35" customWidth="1"/>
    <col min="13610" max="13610" width="3.25" style="35" customWidth="1"/>
    <col min="13611" max="13824" width="9" style="35" customWidth="1"/>
    <col min="13825" max="13825" width="8" style="35" customWidth="1"/>
    <col min="13826" max="13827" width="7" style="35" customWidth="1"/>
    <col min="13828" max="13828" width="16.375" style="35" customWidth="1"/>
    <col min="13829" max="13830" width="4.75" style="35" customWidth="1"/>
    <col min="13831" max="13831" width="3.75" style="35" customWidth="1"/>
    <col min="13832" max="13836" width="3.25" style="35" customWidth="1"/>
    <col min="13837" max="13837" width="5.125" style="35" customWidth="1"/>
    <col min="13838" max="13838" width="3.75" style="35" customWidth="1"/>
    <col min="13839" max="13844" width="3.25" style="35" customWidth="1"/>
    <col min="13845" max="13845" width="4.75" style="35" customWidth="1"/>
    <col min="13846" max="13846" width="3.75" style="35" customWidth="1"/>
    <col min="13847" max="13850" width="3.25" style="35" customWidth="1"/>
    <col min="13851" max="13851" width="4.75" style="35" customWidth="1"/>
    <col min="13852" max="13852" width="4.25" style="35" customWidth="1"/>
    <col min="13853" max="13853" width="3.75" style="35" customWidth="1"/>
    <col min="13854" max="13864" width="3.25" style="35" customWidth="1"/>
    <col min="13865" max="13865" width="2.875" style="35" customWidth="1"/>
    <col min="13866" max="13866" width="3.25" style="35" customWidth="1"/>
    <col min="13867" max="14080" width="9" style="35" customWidth="1"/>
    <col min="14081" max="14081" width="8" style="35" customWidth="1"/>
    <col min="14082" max="14083" width="7" style="35" customWidth="1"/>
    <col min="14084" max="14084" width="16.375" style="35" customWidth="1"/>
    <col min="14085" max="14086" width="4.75" style="35" customWidth="1"/>
    <col min="14087" max="14087" width="3.75" style="35" customWidth="1"/>
    <col min="14088" max="14092" width="3.25" style="35" customWidth="1"/>
    <col min="14093" max="14093" width="5.125" style="35" customWidth="1"/>
    <col min="14094" max="14094" width="3.75" style="35" customWidth="1"/>
    <col min="14095" max="14100" width="3.25" style="35" customWidth="1"/>
    <col min="14101" max="14101" width="4.75" style="35" customWidth="1"/>
    <col min="14102" max="14102" width="3.75" style="35" customWidth="1"/>
    <col min="14103" max="14106" width="3.25" style="35" customWidth="1"/>
    <col min="14107" max="14107" width="4.75" style="35" customWidth="1"/>
    <col min="14108" max="14108" width="4.25" style="35" customWidth="1"/>
    <col min="14109" max="14109" width="3.75" style="35" customWidth="1"/>
    <col min="14110" max="14120" width="3.25" style="35" customWidth="1"/>
    <col min="14121" max="14121" width="2.875" style="35" customWidth="1"/>
    <col min="14122" max="14122" width="3.25" style="35" customWidth="1"/>
    <col min="14123" max="14336" width="9" style="35" customWidth="1"/>
    <col min="14337" max="14337" width="8" style="35" customWidth="1"/>
    <col min="14338" max="14339" width="7" style="35" customWidth="1"/>
    <col min="14340" max="14340" width="16.375" style="35" customWidth="1"/>
    <col min="14341" max="14342" width="4.75" style="35" customWidth="1"/>
    <col min="14343" max="14343" width="3.75" style="35" customWidth="1"/>
    <col min="14344" max="14348" width="3.25" style="35" customWidth="1"/>
    <col min="14349" max="14349" width="5.125" style="35" customWidth="1"/>
    <col min="14350" max="14350" width="3.75" style="35" customWidth="1"/>
    <col min="14351" max="14356" width="3.25" style="35" customWidth="1"/>
    <col min="14357" max="14357" width="4.75" style="35" customWidth="1"/>
    <col min="14358" max="14358" width="3.75" style="35" customWidth="1"/>
    <col min="14359" max="14362" width="3.25" style="35" customWidth="1"/>
    <col min="14363" max="14363" width="4.75" style="35" customWidth="1"/>
    <col min="14364" max="14364" width="4.25" style="35" customWidth="1"/>
    <col min="14365" max="14365" width="3.75" style="35" customWidth="1"/>
    <col min="14366" max="14376" width="3.25" style="35" customWidth="1"/>
    <col min="14377" max="14377" width="2.875" style="35" customWidth="1"/>
    <col min="14378" max="14378" width="3.25" style="35" customWidth="1"/>
    <col min="14379" max="14592" width="9" style="35" customWidth="1"/>
    <col min="14593" max="14593" width="8" style="35" customWidth="1"/>
    <col min="14594" max="14595" width="7" style="35" customWidth="1"/>
    <col min="14596" max="14596" width="16.375" style="35" customWidth="1"/>
    <col min="14597" max="14598" width="4.75" style="35" customWidth="1"/>
    <col min="14599" max="14599" width="3.75" style="35" customWidth="1"/>
    <col min="14600" max="14604" width="3.25" style="35" customWidth="1"/>
    <col min="14605" max="14605" width="5.125" style="35" customWidth="1"/>
    <col min="14606" max="14606" width="3.75" style="35" customWidth="1"/>
    <col min="14607" max="14612" width="3.25" style="35" customWidth="1"/>
    <col min="14613" max="14613" width="4.75" style="35" customWidth="1"/>
    <col min="14614" max="14614" width="3.75" style="35" customWidth="1"/>
    <col min="14615" max="14618" width="3.25" style="35" customWidth="1"/>
    <col min="14619" max="14619" width="4.75" style="35" customWidth="1"/>
    <col min="14620" max="14620" width="4.25" style="35" customWidth="1"/>
    <col min="14621" max="14621" width="3.75" style="35" customWidth="1"/>
    <col min="14622" max="14632" width="3.25" style="35" customWidth="1"/>
    <col min="14633" max="14633" width="2.875" style="35" customWidth="1"/>
    <col min="14634" max="14634" width="3.25" style="35" customWidth="1"/>
    <col min="14635" max="14848" width="9" style="35" customWidth="1"/>
    <col min="14849" max="14849" width="8" style="35" customWidth="1"/>
    <col min="14850" max="14851" width="7" style="35" customWidth="1"/>
    <col min="14852" max="14852" width="16.375" style="35" customWidth="1"/>
    <col min="14853" max="14854" width="4.75" style="35" customWidth="1"/>
    <col min="14855" max="14855" width="3.75" style="35" customWidth="1"/>
    <col min="14856" max="14860" width="3.25" style="35" customWidth="1"/>
    <col min="14861" max="14861" width="5.125" style="35" customWidth="1"/>
    <col min="14862" max="14862" width="3.75" style="35" customWidth="1"/>
    <col min="14863" max="14868" width="3.25" style="35" customWidth="1"/>
    <col min="14869" max="14869" width="4.75" style="35" customWidth="1"/>
    <col min="14870" max="14870" width="3.75" style="35" customWidth="1"/>
    <col min="14871" max="14874" width="3.25" style="35" customWidth="1"/>
    <col min="14875" max="14875" width="4.75" style="35" customWidth="1"/>
    <col min="14876" max="14876" width="4.25" style="35" customWidth="1"/>
    <col min="14877" max="14877" width="3.75" style="35" customWidth="1"/>
    <col min="14878" max="14888" width="3.25" style="35" customWidth="1"/>
    <col min="14889" max="14889" width="2.875" style="35" customWidth="1"/>
    <col min="14890" max="14890" width="3.25" style="35" customWidth="1"/>
    <col min="14891" max="15104" width="9" style="35" customWidth="1"/>
    <col min="15105" max="15105" width="8" style="35" customWidth="1"/>
    <col min="15106" max="15107" width="7" style="35" customWidth="1"/>
    <col min="15108" max="15108" width="16.375" style="35" customWidth="1"/>
    <col min="15109" max="15110" width="4.75" style="35" customWidth="1"/>
    <col min="15111" max="15111" width="3.75" style="35" customWidth="1"/>
    <col min="15112" max="15116" width="3.25" style="35" customWidth="1"/>
    <col min="15117" max="15117" width="5.125" style="35" customWidth="1"/>
    <col min="15118" max="15118" width="3.75" style="35" customWidth="1"/>
    <col min="15119" max="15124" width="3.25" style="35" customWidth="1"/>
    <col min="15125" max="15125" width="4.75" style="35" customWidth="1"/>
    <col min="15126" max="15126" width="3.75" style="35" customWidth="1"/>
    <col min="15127" max="15130" width="3.25" style="35" customWidth="1"/>
    <col min="15131" max="15131" width="4.75" style="35" customWidth="1"/>
    <col min="15132" max="15132" width="4.25" style="35" customWidth="1"/>
    <col min="15133" max="15133" width="3.75" style="35" customWidth="1"/>
    <col min="15134" max="15144" width="3.25" style="35" customWidth="1"/>
    <col min="15145" max="15145" width="2.875" style="35" customWidth="1"/>
    <col min="15146" max="15146" width="3.25" style="35" customWidth="1"/>
    <col min="15147" max="15360" width="9" style="35" customWidth="1"/>
    <col min="15361" max="15361" width="8" style="35" customWidth="1"/>
    <col min="15362" max="15363" width="7" style="35" customWidth="1"/>
    <col min="15364" max="15364" width="16.375" style="35" customWidth="1"/>
    <col min="15365" max="15366" width="4.75" style="35" customWidth="1"/>
    <col min="15367" max="15367" width="3.75" style="35" customWidth="1"/>
    <col min="15368" max="15372" width="3.25" style="35" customWidth="1"/>
    <col min="15373" max="15373" width="5.125" style="35" customWidth="1"/>
    <col min="15374" max="15374" width="3.75" style="35" customWidth="1"/>
    <col min="15375" max="15380" width="3.25" style="35" customWidth="1"/>
    <col min="15381" max="15381" width="4.75" style="35" customWidth="1"/>
    <col min="15382" max="15382" width="3.75" style="35" customWidth="1"/>
    <col min="15383" max="15386" width="3.25" style="35" customWidth="1"/>
    <col min="15387" max="15387" width="4.75" style="35" customWidth="1"/>
    <col min="15388" max="15388" width="4.25" style="35" customWidth="1"/>
    <col min="15389" max="15389" width="3.75" style="35" customWidth="1"/>
    <col min="15390" max="15400" width="3.25" style="35" customWidth="1"/>
    <col min="15401" max="15401" width="2.875" style="35" customWidth="1"/>
    <col min="15402" max="15402" width="3.25" style="35" customWidth="1"/>
    <col min="15403" max="15616" width="9" style="35" customWidth="1"/>
    <col min="15617" max="15617" width="8" style="35" customWidth="1"/>
    <col min="15618" max="15619" width="7" style="35" customWidth="1"/>
    <col min="15620" max="15620" width="16.375" style="35" customWidth="1"/>
    <col min="15621" max="15622" width="4.75" style="35" customWidth="1"/>
    <col min="15623" max="15623" width="3.75" style="35" customWidth="1"/>
    <col min="15624" max="15628" width="3.25" style="35" customWidth="1"/>
    <col min="15629" max="15629" width="5.125" style="35" customWidth="1"/>
    <col min="15630" max="15630" width="3.75" style="35" customWidth="1"/>
    <col min="15631" max="15636" width="3.25" style="35" customWidth="1"/>
    <col min="15637" max="15637" width="4.75" style="35" customWidth="1"/>
    <col min="15638" max="15638" width="3.75" style="35" customWidth="1"/>
    <col min="15639" max="15642" width="3.25" style="35" customWidth="1"/>
    <col min="15643" max="15643" width="4.75" style="35" customWidth="1"/>
    <col min="15644" max="15644" width="4.25" style="35" customWidth="1"/>
    <col min="15645" max="15645" width="3.75" style="35" customWidth="1"/>
    <col min="15646" max="15656" width="3.25" style="35" customWidth="1"/>
    <col min="15657" max="15657" width="2.875" style="35" customWidth="1"/>
    <col min="15658" max="15658" width="3.25" style="35" customWidth="1"/>
    <col min="15659" max="15872" width="9" style="35" customWidth="1"/>
    <col min="15873" max="15873" width="8" style="35" customWidth="1"/>
    <col min="15874" max="15875" width="7" style="35" customWidth="1"/>
    <col min="15876" max="15876" width="16.375" style="35" customWidth="1"/>
    <col min="15877" max="15878" width="4.75" style="35" customWidth="1"/>
    <col min="15879" max="15879" width="3.75" style="35" customWidth="1"/>
    <col min="15880" max="15884" width="3.25" style="35" customWidth="1"/>
    <col min="15885" max="15885" width="5.125" style="35" customWidth="1"/>
    <col min="15886" max="15886" width="3.75" style="35" customWidth="1"/>
    <col min="15887" max="15892" width="3.25" style="35" customWidth="1"/>
    <col min="15893" max="15893" width="4.75" style="35" customWidth="1"/>
    <col min="15894" max="15894" width="3.75" style="35" customWidth="1"/>
    <col min="15895" max="15898" width="3.25" style="35" customWidth="1"/>
    <col min="15899" max="15899" width="4.75" style="35" customWidth="1"/>
    <col min="15900" max="15900" width="4.25" style="35" customWidth="1"/>
    <col min="15901" max="15901" width="3.75" style="35" customWidth="1"/>
    <col min="15902" max="15912" width="3.25" style="35" customWidth="1"/>
    <col min="15913" max="15913" width="2.875" style="35" customWidth="1"/>
    <col min="15914" max="15914" width="3.25" style="35" customWidth="1"/>
    <col min="15915" max="16128" width="9" style="35" customWidth="1"/>
    <col min="16129" max="16129" width="8" style="35" customWidth="1"/>
    <col min="16130" max="16131" width="7" style="35" customWidth="1"/>
    <col min="16132" max="16132" width="16.375" style="35" customWidth="1"/>
    <col min="16133" max="16134" width="4.75" style="35" customWidth="1"/>
    <col min="16135" max="16135" width="3.75" style="35" customWidth="1"/>
    <col min="16136" max="16140" width="3.25" style="35" customWidth="1"/>
    <col min="16141" max="16141" width="5.125" style="35" customWidth="1"/>
    <col min="16142" max="16142" width="3.75" style="35" customWidth="1"/>
    <col min="16143" max="16148" width="3.25" style="35" customWidth="1"/>
    <col min="16149" max="16149" width="4.75" style="35" customWidth="1"/>
    <col min="16150" max="16150" width="3.75" style="35" customWidth="1"/>
    <col min="16151" max="16154" width="3.25" style="35" customWidth="1"/>
    <col min="16155" max="16155" width="4.75" style="35" customWidth="1"/>
    <col min="16156" max="16156" width="4.25" style="35" customWidth="1"/>
    <col min="16157" max="16157" width="3.75" style="35" customWidth="1"/>
    <col min="16158" max="16168" width="3.25" style="35" customWidth="1"/>
    <col min="16169" max="16169" width="2.875" style="35" customWidth="1"/>
    <col min="16170" max="16170" width="3.25" style="35" customWidth="1"/>
    <col min="16171" max="16384" width="9" style="35" customWidth="1"/>
  </cols>
  <sheetData>
    <row r="1" spans="1:42" ht="17.25" customHeight="1">
      <c r="A1" s="446" t="s">
        <v>3</v>
      </c>
      <c r="B1" s="446" t="s">
        <v>4</v>
      </c>
      <c r="C1" s="446" t="s">
        <v>267</v>
      </c>
      <c r="D1" s="446" t="s">
        <v>69</v>
      </c>
      <c r="E1" s="446" t="s">
        <v>5</v>
      </c>
      <c r="F1" s="446" t="s">
        <v>70</v>
      </c>
      <c r="G1" s="442" t="s">
        <v>71</v>
      </c>
      <c r="H1" s="448"/>
      <c r="I1" s="448"/>
      <c r="J1" s="448"/>
      <c r="K1" s="448"/>
      <c r="L1" s="449"/>
      <c r="M1" s="457" t="s">
        <v>72</v>
      </c>
      <c r="N1" s="447" t="s">
        <v>268</v>
      </c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7" t="s">
        <v>74</v>
      </c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2" t="s">
        <v>269</v>
      </c>
      <c r="AO1" s="448"/>
      <c r="AP1" s="449"/>
    </row>
    <row r="2" spans="1:42" ht="17.25" customHeight="1">
      <c r="A2" s="436"/>
      <c r="B2" s="436"/>
      <c r="C2" s="436"/>
      <c r="D2" s="436"/>
      <c r="E2" s="436"/>
      <c r="F2" s="436"/>
      <c r="G2" s="437"/>
      <c r="H2" s="450"/>
      <c r="I2" s="450"/>
      <c r="J2" s="450"/>
      <c r="K2" s="450"/>
      <c r="L2" s="451"/>
      <c r="M2" s="461"/>
      <c r="N2" s="446" t="s">
        <v>270</v>
      </c>
      <c r="O2" s="441"/>
      <c r="P2" s="441"/>
      <c r="Q2" s="441"/>
      <c r="R2" s="441"/>
      <c r="S2" s="441"/>
      <c r="T2" s="441"/>
      <c r="U2" s="442" t="s">
        <v>77</v>
      </c>
      <c r="V2" s="457" t="s">
        <v>78</v>
      </c>
      <c r="W2" s="441"/>
      <c r="X2" s="441"/>
      <c r="Y2" s="441"/>
      <c r="Z2" s="441"/>
      <c r="AA2" s="446" t="s">
        <v>271</v>
      </c>
      <c r="AB2" s="446" t="s">
        <v>272</v>
      </c>
      <c r="AC2" s="446" t="s">
        <v>81</v>
      </c>
      <c r="AD2" s="446" t="s">
        <v>82</v>
      </c>
      <c r="AE2" s="446" t="s">
        <v>273</v>
      </c>
      <c r="AF2" s="446" t="s">
        <v>274</v>
      </c>
      <c r="AG2" s="446" t="s">
        <v>275</v>
      </c>
      <c r="AH2" s="446" t="s">
        <v>276</v>
      </c>
      <c r="AI2" s="446" t="s">
        <v>87</v>
      </c>
      <c r="AJ2" s="446" t="s">
        <v>88</v>
      </c>
      <c r="AK2" s="446" t="s">
        <v>89</v>
      </c>
      <c r="AL2" s="446" t="s">
        <v>90</v>
      </c>
      <c r="AM2" s="446" t="s">
        <v>91</v>
      </c>
      <c r="AN2" s="437"/>
      <c r="AO2" s="450"/>
      <c r="AP2" s="451"/>
    </row>
    <row r="3" spans="1:42" ht="99.4" customHeight="1">
      <c r="A3" s="437"/>
      <c r="B3" s="437"/>
      <c r="C3" s="437"/>
      <c r="D3" s="437"/>
      <c r="E3" s="437"/>
      <c r="F3" s="437"/>
      <c r="G3" s="172" t="s">
        <v>92</v>
      </c>
      <c r="H3" s="171" t="s">
        <v>93</v>
      </c>
      <c r="I3" s="171" t="s">
        <v>94</v>
      </c>
      <c r="J3" s="171" t="s">
        <v>95</v>
      </c>
      <c r="K3" s="171" t="s">
        <v>96</v>
      </c>
      <c r="L3" s="171" t="s">
        <v>97</v>
      </c>
      <c r="M3" s="450"/>
      <c r="N3" s="172" t="s">
        <v>277</v>
      </c>
      <c r="O3" s="171" t="s">
        <v>99</v>
      </c>
      <c r="P3" s="171" t="s">
        <v>100</v>
      </c>
      <c r="Q3" s="171" t="s">
        <v>101</v>
      </c>
      <c r="R3" s="171" t="s">
        <v>102</v>
      </c>
      <c r="S3" s="171" t="s">
        <v>103</v>
      </c>
      <c r="T3" s="170" t="s">
        <v>278</v>
      </c>
      <c r="U3" s="443"/>
      <c r="V3" s="171" t="s">
        <v>105</v>
      </c>
      <c r="W3" s="171" t="s">
        <v>279</v>
      </c>
      <c r="X3" s="171" t="s">
        <v>107</v>
      </c>
      <c r="Y3" s="171" t="s">
        <v>280</v>
      </c>
      <c r="Z3" s="170" t="s">
        <v>109</v>
      </c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172" t="s">
        <v>19</v>
      </c>
      <c r="AO3" s="171" t="s">
        <v>20</v>
      </c>
      <c r="AP3" s="171" t="s">
        <v>21</v>
      </c>
    </row>
    <row r="4" spans="1:42" ht="14.45" customHeight="1">
      <c r="A4" s="458" t="s">
        <v>112</v>
      </c>
      <c r="B4" s="441"/>
      <c r="C4" s="441"/>
      <c r="D4" s="439"/>
      <c r="E4" s="350">
        <v>578</v>
      </c>
      <c r="F4" s="351">
        <v>407</v>
      </c>
      <c r="G4" s="335"/>
      <c r="H4" s="335"/>
      <c r="I4" s="335"/>
      <c r="J4" s="335"/>
      <c r="K4" s="334"/>
      <c r="L4" s="335"/>
      <c r="M4" s="334"/>
      <c r="N4" s="335"/>
      <c r="O4" s="335"/>
      <c r="P4" s="335"/>
      <c r="Q4" s="335"/>
      <c r="R4" s="335"/>
      <c r="S4" s="335"/>
      <c r="T4" s="335"/>
      <c r="U4" s="352"/>
      <c r="V4" s="335"/>
      <c r="W4" s="335"/>
      <c r="X4" s="335"/>
      <c r="Y4" s="335"/>
      <c r="Z4" s="335"/>
      <c r="AA4" s="338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34"/>
      <c r="AO4" s="334"/>
      <c r="AP4" s="334"/>
    </row>
    <row r="5" spans="1:42" ht="14.45" customHeight="1">
      <c r="A5" s="435" t="s">
        <v>281</v>
      </c>
      <c r="B5" s="440" t="s">
        <v>113</v>
      </c>
      <c r="C5" s="441"/>
      <c r="D5" s="439"/>
      <c r="E5" s="350">
        <v>88</v>
      </c>
      <c r="F5" s="351">
        <v>57</v>
      </c>
      <c r="G5" s="340">
        <v>167</v>
      </c>
      <c r="H5" s="340"/>
      <c r="I5" s="340"/>
      <c r="J5" s="340"/>
      <c r="K5" s="339"/>
      <c r="L5" s="340"/>
      <c r="M5" s="339">
        <v>234</v>
      </c>
      <c r="N5" s="340">
        <v>117</v>
      </c>
      <c r="O5" s="340"/>
      <c r="P5" s="340"/>
      <c r="Q5" s="340"/>
      <c r="R5" s="340"/>
      <c r="S5" s="340"/>
      <c r="T5" s="340"/>
      <c r="U5" s="353"/>
      <c r="V5" s="340"/>
      <c r="W5" s="340"/>
      <c r="X5" s="340"/>
      <c r="Y5" s="340"/>
      <c r="Z5" s="340"/>
      <c r="AA5" s="342"/>
      <c r="AB5" s="340">
        <v>172</v>
      </c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39">
        <v>1.8</v>
      </c>
      <c r="AO5" s="339"/>
      <c r="AP5" s="339"/>
    </row>
    <row r="6" spans="1:42" ht="14.45" customHeight="1">
      <c r="A6" s="436"/>
      <c r="B6" s="438" t="s">
        <v>25</v>
      </c>
      <c r="C6" s="439"/>
      <c r="D6" s="169" t="s">
        <v>114</v>
      </c>
      <c r="E6" s="350">
        <v>51</v>
      </c>
      <c r="F6" s="351">
        <v>29</v>
      </c>
      <c r="G6" s="344"/>
      <c r="H6" s="344"/>
      <c r="I6" s="344"/>
      <c r="J6" s="344"/>
      <c r="K6" s="343"/>
      <c r="L6" s="344"/>
      <c r="M6" s="343"/>
      <c r="N6" s="344"/>
      <c r="O6" s="344"/>
      <c r="P6" s="344"/>
      <c r="Q6" s="344"/>
      <c r="R6" s="344"/>
      <c r="S6" s="344"/>
      <c r="T6" s="344"/>
      <c r="U6" s="354"/>
      <c r="V6" s="344"/>
      <c r="W6" s="344"/>
      <c r="X6" s="344"/>
      <c r="Y6" s="344"/>
      <c r="Z6" s="344"/>
      <c r="AA6" s="346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3"/>
      <c r="AO6" s="343"/>
      <c r="AP6" s="343"/>
    </row>
    <row r="7" spans="1:42" ht="14.45" customHeight="1">
      <c r="A7" s="436"/>
      <c r="B7" s="444" t="s">
        <v>25</v>
      </c>
      <c r="C7" s="39"/>
      <c r="D7" s="39" t="s">
        <v>131</v>
      </c>
      <c r="E7" s="355">
        <v>20</v>
      </c>
      <c r="F7" s="355">
        <v>11</v>
      </c>
      <c r="G7" s="347">
        <v>240</v>
      </c>
      <c r="H7" s="347"/>
      <c r="I7" s="347"/>
      <c r="J7" s="347"/>
      <c r="K7" s="347"/>
      <c r="L7" s="347"/>
      <c r="M7" s="347">
        <v>16</v>
      </c>
      <c r="N7" s="347">
        <v>199</v>
      </c>
      <c r="O7" s="347"/>
      <c r="P7" s="347"/>
      <c r="Q7" s="347"/>
      <c r="R7" s="347"/>
      <c r="S7" s="347"/>
      <c r="T7" s="347"/>
      <c r="U7" s="356"/>
      <c r="V7" s="347"/>
      <c r="W7" s="347"/>
      <c r="X7" s="347"/>
      <c r="Y7" s="347"/>
      <c r="Z7" s="347"/>
      <c r="AA7" s="349"/>
      <c r="AB7" s="347">
        <v>387</v>
      </c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>
        <v>5.8</v>
      </c>
      <c r="AO7" s="347"/>
      <c r="AP7" s="347"/>
    </row>
    <row r="8" spans="1:42" ht="14.45" customHeight="1">
      <c r="A8" s="436"/>
      <c r="B8" s="445"/>
      <c r="C8" s="39"/>
      <c r="D8" s="39" t="s">
        <v>132</v>
      </c>
      <c r="E8" s="355">
        <v>10</v>
      </c>
      <c r="F8" s="355">
        <v>8</v>
      </c>
      <c r="G8" s="347">
        <v>82</v>
      </c>
      <c r="H8" s="347"/>
      <c r="I8" s="347"/>
      <c r="J8" s="347"/>
      <c r="K8" s="347"/>
      <c r="L8" s="347"/>
      <c r="M8" s="347">
        <v>187</v>
      </c>
      <c r="N8" s="347">
        <v>273</v>
      </c>
      <c r="O8" s="347"/>
      <c r="P8" s="347"/>
      <c r="Q8" s="347"/>
      <c r="R8" s="347"/>
      <c r="S8" s="347"/>
      <c r="T8" s="347"/>
      <c r="U8" s="356"/>
      <c r="V8" s="347"/>
      <c r="W8" s="347"/>
      <c r="X8" s="347"/>
      <c r="Y8" s="347"/>
      <c r="Z8" s="347"/>
      <c r="AA8" s="349"/>
      <c r="AB8" s="347">
        <v>270</v>
      </c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>
        <v>-2.2000000000000002</v>
      </c>
      <c r="AO8" s="347"/>
      <c r="AP8" s="347"/>
    </row>
    <row r="9" spans="1:42" ht="14.45" customHeight="1">
      <c r="A9" s="436"/>
      <c r="B9" s="445"/>
      <c r="C9" s="39"/>
      <c r="D9" s="39" t="s">
        <v>133</v>
      </c>
      <c r="E9" s="355">
        <v>121</v>
      </c>
      <c r="F9" s="355">
        <v>5</v>
      </c>
      <c r="G9" s="347">
        <v>255</v>
      </c>
      <c r="H9" s="347"/>
      <c r="I9" s="347"/>
      <c r="J9" s="347"/>
      <c r="K9" s="347"/>
      <c r="L9" s="347"/>
      <c r="M9" s="347">
        <v>437</v>
      </c>
      <c r="N9" s="347">
        <v>62</v>
      </c>
      <c r="O9" s="347"/>
      <c r="P9" s="347"/>
      <c r="Q9" s="347"/>
      <c r="R9" s="347"/>
      <c r="S9" s="347"/>
      <c r="T9" s="347"/>
      <c r="U9" s="356"/>
      <c r="V9" s="347"/>
      <c r="W9" s="347"/>
      <c r="X9" s="347"/>
      <c r="Y9" s="347"/>
      <c r="Z9" s="347"/>
      <c r="AA9" s="349"/>
      <c r="AB9" s="347">
        <v>39</v>
      </c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347">
        <v>5.9</v>
      </c>
      <c r="AO9" s="347"/>
      <c r="AP9" s="347"/>
    </row>
    <row r="10" spans="1:42" ht="14.45" customHeight="1">
      <c r="A10" s="436"/>
      <c r="B10" s="443"/>
      <c r="C10" s="39"/>
      <c r="D10" s="39" t="s">
        <v>134</v>
      </c>
      <c r="E10" s="355">
        <v>21</v>
      </c>
      <c r="F10" s="355">
        <v>5</v>
      </c>
      <c r="G10" s="347">
        <v>245</v>
      </c>
      <c r="H10" s="347"/>
      <c r="I10" s="347"/>
      <c r="J10" s="347"/>
      <c r="K10" s="347"/>
      <c r="L10" s="347"/>
      <c r="M10" s="347">
        <v>113</v>
      </c>
      <c r="N10" s="347">
        <v>96</v>
      </c>
      <c r="O10" s="347"/>
      <c r="P10" s="347"/>
      <c r="Q10" s="347"/>
      <c r="R10" s="347"/>
      <c r="S10" s="347"/>
      <c r="T10" s="347"/>
      <c r="U10" s="356"/>
      <c r="V10" s="347"/>
      <c r="W10" s="347"/>
      <c r="X10" s="347"/>
      <c r="Y10" s="347"/>
      <c r="Z10" s="347"/>
      <c r="AA10" s="349"/>
      <c r="AB10" s="347">
        <v>275</v>
      </c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>
        <v>2.9</v>
      </c>
      <c r="AO10" s="347"/>
      <c r="AP10" s="347"/>
    </row>
    <row r="11" spans="1:42" ht="14.45" customHeight="1">
      <c r="A11" s="436"/>
      <c r="B11" s="438" t="s">
        <v>26</v>
      </c>
      <c r="C11" s="439"/>
      <c r="D11" s="169" t="s">
        <v>114</v>
      </c>
      <c r="E11" s="350">
        <v>21</v>
      </c>
      <c r="F11" s="351">
        <v>15</v>
      </c>
      <c r="G11" s="344"/>
      <c r="H11" s="344"/>
      <c r="I11" s="344"/>
      <c r="J11" s="344"/>
      <c r="K11" s="343"/>
      <c r="L11" s="344"/>
      <c r="M11" s="343"/>
      <c r="N11" s="344"/>
      <c r="O11" s="344"/>
      <c r="P11" s="344"/>
      <c r="Q11" s="344"/>
      <c r="R11" s="344"/>
      <c r="S11" s="344"/>
      <c r="T11" s="344"/>
      <c r="U11" s="354"/>
      <c r="V11" s="344"/>
      <c r="W11" s="344"/>
      <c r="X11" s="344"/>
      <c r="Y11" s="344"/>
      <c r="Z11" s="344"/>
      <c r="AA11" s="346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344"/>
      <c r="AN11" s="343"/>
      <c r="AO11" s="343"/>
      <c r="AP11" s="343"/>
    </row>
    <row r="12" spans="1:42" ht="14.45" customHeight="1">
      <c r="A12" s="436"/>
      <c r="B12" s="31" t="s">
        <v>26</v>
      </c>
      <c r="C12" s="39"/>
      <c r="D12" s="39" t="s">
        <v>141</v>
      </c>
      <c r="E12" s="355">
        <v>21</v>
      </c>
      <c r="F12" s="355">
        <v>15</v>
      </c>
      <c r="G12" s="347">
        <v>356</v>
      </c>
      <c r="H12" s="347"/>
      <c r="I12" s="347"/>
      <c r="J12" s="347"/>
      <c r="K12" s="347"/>
      <c r="L12" s="347"/>
      <c r="M12" s="347">
        <v>52</v>
      </c>
      <c r="N12" s="347">
        <v>487</v>
      </c>
      <c r="O12" s="347"/>
      <c r="P12" s="347"/>
      <c r="Q12" s="347"/>
      <c r="R12" s="347"/>
      <c r="S12" s="347"/>
      <c r="T12" s="347"/>
      <c r="U12" s="356"/>
      <c r="V12" s="347"/>
      <c r="W12" s="347"/>
      <c r="X12" s="347"/>
      <c r="Y12" s="347"/>
      <c r="Z12" s="347"/>
      <c r="AA12" s="349"/>
      <c r="AB12" s="347">
        <v>257</v>
      </c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>
        <v>3.3</v>
      </c>
      <c r="AO12" s="347"/>
      <c r="AP12" s="347"/>
    </row>
    <row r="13" spans="1:42" ht="14.45" customHeight="1">
      <c r="A13" s="436"/>
      <c r="B13" s="438" t="s">
        <v>27</v>
      </c>
      <c r="C13" s="439"/>
      <c r="D13" s="169" t="s">
        <v>114</v>
      </c>
      <c r="E13" s="350">
        <v>16</v>
      </c>
      <c r="F13" s="351">
        <v>13</v>
      </c>
      <c r="G13" s="344"/>
      <c r="H13" s="344"/>
      <c r="I13" s="344"/>
      <c r="J13" s="344"/>
      <c r="K13" s="343"/>
      <c r="L13" s="344"/>
      <c r="M13" s="343"/>
      <c r="N13" s="344"/>
      <c r="O13" s="344"/>
      <c r="P13" s="344"/>
      <c r="Q13" s="344"/>
      <c r="R13" s="344"/>
      <c r="S13" s="344"/>
      <c r="T13" s="344"/>
      <c r="U13" s="354"/>
      <c r="V13" s="344"/>
      <c r="W13" s="344"/>
      <c r="X13" s="344"/>
      <c r="Y13" s="344"/>
      <c r="Z13" s="344"/>
      <c r="AA13" s="346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344"/>
      <c r="AN13" s="343"/>
      <c r="AO13" s="343"/>
      <c r="AP13" s="343"/>
    </row>
    <row r="14" spans="1:42" ht="14.45" customHeight="1">
      <c r="A14" s="436"/>
      <c r="B14" s="444" t="s">
        <v>27</v>
      </c>
      <c r="C14" s="39"/>
      <c r="D14" s="39" t="s">
        <v>148</v>
      </c>
      <c r="E14" s="355">
        <v>195</v>
      </c>
      <c r="F14" s="355">
        <v>1</v>
      </c>
      <c r="G14" s="347">
        <v>67</v>
      </c>
      <c r="H14" s="347"/>
      <c r="I14" s="347"/>
      <c r="J14" s="347"/>
      <c r="K14" s="347"/>
      <c r="L14" s="347"/>
      <c r="M14" s="347">
        <v>277</v>
      </c>
      <c r="N14" s="347">
        <v>131</v>
      </c>
      <c r="O14" s="347"/>
      <c r="P14" s="347"/>
      <c r="Q14" s="347"/>
      <c r="R14" s="347"/>
      <c r="S14" s="347"/>
      <c r="T14" s="347"/>
      <c r="U14" s="356"/>
      <c r="V14" s="347"/>
      <c r="W14" s="347"/>
      <c r="X14" s="347"/>
      <c r="Y14" s="347"/>
      <c r="Z14" s="347"/>
      <c r="AA14" s="349"/>
      <c r="AB14" s="347">
        <v>43</v>
      </c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>
        <v>3.5</v>
      </c>
      <c r="AO14" s="347"/>
      <c r="AP14" s="347"/>
    </row>
    <row r="15" spans="1:42" ht="14.45" customHeight="1">
      <c r="A15" s="437"/>
      <c r="B15" s="443"/>
      <c r="C15" s="39"/>
      <c r="D15" s="39" t="s">
        <v>149</v>
      </c>
      <c r="E15" s="355">
        <v>16</v>
      </c>
      <c r="F15" s="355">
        <v>12</v>
      </c>
      <c r="G15" s="347">
        <v>229</v>
      </c>
      <c r="H15" s="347"/>
      <c r="I15" s="347"/>
      <c r="J15" s="347"/>
      <c r="K15" s="347"/>
      <c r="L15" s="347"/>
      <c r="M15" s="347">
        <v>91</v>
      </c>
      <c r="N15" s="347">
        <v>264</v>
      </c>
      <c r="O15" s="347"/>
      <c r="P15" s="347"/>
      <c r="Q15" s="347"/>
      <c r="R15" s="347"/>
      <c r="S15" s="347"/>
      <c r="T15" s="347"/>
      <c r="U15" s="356"/>
      <c r="V15" s="347"/>
      <c r="W15" s="347"/>
      <c r="X15" s="347"/>
      <c r="Y15" s="347"/>
      <c r="Z15" s="347"/>
      <c r="AA15" s="349"/>
      <c r="AB15" s="347">
        <v>263</v>
      </c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7">
        <v>5.0999999999999996</v>
      </c>
      <c r="AO15" s="347"/>
      <c r="AP15" s="347"/>
    </row>
    <row r="16" spans="1:42" ht="14.45" customHeight="1">
      <c r="A16" s="435" t="s">
        <v>288</v>
      </c>
      <c r="B16" s="440" t="s">
        <v>113</v>
      </c>
      <c r="C16" s="441"/>
      <c r="D16" s="439"/>
      <c r="E16" s="350">
        <v>117</v>
      </c>
      <c r="F16" s="351">
        <v>85</v>
      </c>
      <c r="G16" s="340">
        <v>141</v>
      </c>
      <c r="H16" s="340"/>
      <c r="I16" s="340"/>
      <c r="J16" s="340"/>
      <c r="K16" s="339"/>
      <c r="L16" s="340"/>
      <c r="M16" s="339">
        <v>460</v>
      </c>
      <c r="N16" s="340">
        <v>376</v>
      </c>
      <c r="O16" s="340"/>
      <c r="P16" s="340"/>
      <c r="Q16" s="340"/>
      <c r="R16" s="340"/>
      <c r="S16" s="340"/>
      <c r="T16" s="340"/>
      <c r="U16" s="353"/>
      <c r="V16" s="340"/>
      <c r="W16" s="340"/>
      <c r="X16" s="340"/>
      <c r="Y16" s="340"/>
      <c r="Z16" s="340"/>
      <c r="AA16" s="342"/>
      <c r="AB16" s="340">
        <v>318</v>
      </c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39">
        <v>-1.7</v>
      </c>
      <c r="AO16" s="339"/>
      <c r="AP16" s="339"/>
    </row>
    <row r="17" spans="1:42" ht="14.45" customHeight="1">
      <c r="A17" s="436"/>
      <c r="B17" s="438" t="s">
        <v>30</v>
      </c>
      <c r="C17" s="439"/>
      <c r="D17" s="169" t="s">
        <v>114</v>
      </c>
      <c r="E17" s="350">
        <v>76</v>
      </c>
      <c r="F17" s="351">
        <v>57</v>
      </c>
      <c r="G17" s="344"/>
      <c r="H17" s="344"/>
      <c r="I17" s="344"/>
      <c r="J17" s="344"/>
      <c r="K17" s="343"/>
      <c r="L17" s="344"/>
      <c r="M17" s="343"/>
      <c r="N17" s="344"/>
      <c r="O17" s="344"/>
      <c r="P17" s="344"/>
      <c r="Q17" s="344"/>
      <c r="R17" s="344"/>
      <c r="S17" s="344"/>
      <c r="T17" s="344"/>
      <c r="U17" s="354"/>
      <c r="V17" s="344"/>
      <c r="W17" s="344"/>
      <c r="X17" s="344"/>
      <c r="Y17" s="344"/>
      <c r="Z17" s="344"/>
      <c r="AA17" s="346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3"/>
      <c r="AO17" s="343"/>
      <c r="AP17" s="343"/>
    </row>
    <row r="18" spans="1:42" ht="17.25" customHeight="1">
      <c r="A18" s="436"/>
      <c r="B18" s="444" t="s">
        <v>30</v>
      </c>
      <c r="C18" s="39"/>
      <c r="D18" s="39" t="s">
        <v>167</v>
      </c>
      <c r="E18" s="355">
        <v>19</v>
      </c>
      <c r="F18" s="355">
        <v>2</v>
      </c>
      <c r="G18" s="347">
        <v>161</v>
      </c>
      <c r="H18" s="347"/>
      <c r="I18" s="347"/>
      <c r="J18" s="347"/>
      <c r="K18" s="347"/>
      <c r="L18" s="347"/>
      <c r="M18" s="347">
        <v>219</v>
      </c>
      <c r="N18" s="347">
        <v>258</v>
      </c>
      <c r="O18" s="347"/>
      <c r="P18" s="347"/>
      <c r="Q18" s="347"/>
      <c r="R18" s="347"/>
      <c r="S18" s="347"/>
      <c r="T18" s="347"/>
      <c r="U18" s="356"/>
      <c r="V18" s="347"/>
      <c r="W18" s="347"/>
      <c r="X18" s="347"/>
      <c r="Y18" s="347"/>
      <c r="Z18" s="347"/>
      <c r="AA18" s="349"/>
      <c r="AB18" s="347">
        <v>401</v>
      </c>
      <c r="AC18" s="347"/>
      <c r="AD18" s="347"/>
      <c r="AE18" s="347"/>
      <c r="AF18" s="347"/>
      <c r="AG18" s="347"/>
      <c r="AH18" s="347"/>
      <c r="AI18" s="347"/>
      <c r="AJ18" s="347"/>
      <c r="AK18" s="347"/>
      <c r="AL18" s="347"/>
      <c r="AM18" s="347"/>
      <c r="AN18" s="347">
        <v>1</v>
      </c>
      <c r="AO18" s="347"/>
      <c r="AP18" s="347"/>
    </row>
    <row r="19" spans="1:42" ht="14.45" customHeight="1">
      <c r="A19" s="436"/>
      <c r="B19" s="445"/>
      <c r="C19" s="39"/>
      <c r="D19" s="39" t="s">
        <v>168</v>
      </c>
      <c r="E19" s="355">
        <v>12</v>
      </c>
      <c r="F19" s="355">
        <v>1</v>
      </c>
      <c r="G19" s="347">
        <v>466</v>
      </c>
      <c r="H19" s="347"/>
      <c r="I19" s="347"/>
      <c r="J19" s="347"/>
      <c r="K19" s="347"/>
      <c r="L19" s="347"/>
      <c r="M19" s="347">
        <v>47</v>
      </c>
      <c r="N19" s="347">
        <v>76</v>
      </c>
      <c r="O19" s="347"/>
      <c r="P19" s="347"/>
      <c r="Q19" s="347"/>
      <c r="R19" s="347"/>
      <c r="S19" s="347"/>
      <c r="T19" s="347"/>
      <c r="U19" s="356"/>
      <c r="V19" s="347"/>
      <c r="W19" s="347"/>
      <c r="X19" s="347"/>
      <c r="Y19" s="347"/>
      <c r="Z19" s="347"/>
      <c r="AA19" s="349"/>
      <c r="AB19" s="347">
        <v>206</v>
      </c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>
        <v>-2.7</v>
      </c>
      <c r="AO19" s="347"/>
      <c r="AP19" s="347"/>
    </row>
    <row r="20" spans="1:42" ht="14.45" customHeight="1">
      <c r="A20" s="436"/>
      <c r="B20" s="445"/>
      <c r="C20" s="39" t="s">
        <v>308</v>
      </c>
      <c r="D20" s="39" t="s">
        <v>131</v>
      </c>
      <c r="E20" s="355">
        <v>31</v>
      </c>
      <c r="F20" s="355">
        <v>26</v>
      </c>
      <c r="G20" s="347">
        <v>212</v>
      </c>
      <c r="H20" s="347"/>
      <c r="I20" s="347"/>
      <c r="J20" s="347"/>
      <c r="K20" s="347"/>
      <c r="L20" s="347"/>
      <c r="M20" s="347">
        <v>494</v>
      </c>
      <c r="N20" s="347">
        <v>53</v>
      </c>
      <c r="O20" s="347"/>
      <c r="P20" s="347"/>
      <c r="Q20" s="347"/>
      <c r="R20" s="347"/>
      <c r="S20" s="347"/>
      <c r="T20" s="347"/>
      <c r="U20" s="356"/>
      <c r="V20" s="347"/>
      <c r="W20" s="347"/>
      <c r="X20" s="347"/>
      <c r="Y20" s="347"/>
      <c r="Z20" s="347"/>
      <c r="AA20" s="349"/>
      <c r="AB20" s="347">
        <v>105</v>
      </c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>
        <v>4.5</v>
      </c>
      <c r="AO20" s="347"/>
      <c r="AP20" s="347"/>
    </row>
    <row r="21" spans="1:42" ht="14.45" customHeight="1">
      <c r="A21" s="436"/>
      <c r="B21" s="445"/>
      <c r="C21" s="39"/>
      <c r="D21" s="39" t="s">
        <v>169</v>
      </c>
      <c r="E21" s="355">
        <v>11</v>
      </c>
      <c r="F21" s="355">
        <v>9</v>
      </c>
      <c r="G21" s="347">
        <v>388</v>
      </c>
      <c r="H21" s="347"/>
      <c r="I21" s="347"/>
      <c r="J21" s="347"/>
      <c r="K21" s="347"/>
      <c r="L21" s="347"/>
      <c r="M21" s="347">
        <v>6</v>
      </c>
      <c r="N21" s="347">
        <v>480</v>
      </c>
      <c r="O21" s="347"/>
      <c r="P21" s="347"/>
      <c r="Q21" s="347"/>
      <c r="R21" s="347"/>
      <c r="S21" s="347"/>
      <c r="T21" s="347"/>
      <c r="U21" s="356"/>
      <c r="V21" s="347"/>
      <c r="W21" s="347"/>
      <c r="X21" s="347"/>
      <c r="Y21" s="347"/>
      <c r="Z21" s="347"/>
      <c r="AA21" s="349"/>
      <c r="AB21" s="347">
        <v>192</v>
      </c>
      <c r="AC21" s="347"/>
      <c r="AD21" s="347"/>
      <c r="AE21" s="347"/>
      <c r="AF21" s="347"/>
      <c r="AG21" s="347"/>
      <c r="AH21" s="347"/>
      <c r="AI21" s="347"/>
      <c r="AJ21" s="347"/>
      <c r="AK21" s="347"/>
      <c r="AL21" s="347"/>
      <c r="AM21" s="347"/>
      <c r="AN21" s="347">
        <v>3.1</v>
      </c>
      <c r="AO21" s="347"/>
      <c r="AP21" s="347"/>
    </row>
    <row r="22" spans="1:42" ht="14.45" customHeight="1">
      <c r="A22" s="436"/>
      <c r="B22" s="445"/>
      <c r="C22" s="39"/>
      <c r="D22" s="39" t="s">
        <v>170</v>
      </c>
      <c r="E22" s="355">
        <v>7</v>
      </c>
      <c r="F22" s="355">
        <v>5</v>
      </c>
      <c r="G22" s="347">
        <v>401</v>
      </c>
      <c r="H22" s="347"/>
      <c r="I22" s="347"/>
      <c r="J22" s="347"/>
      <c r="K22" s="347"/>
      <c r="L22" s="347"/>
      <c r="M22" s="347">
        <v>222</v>
      </c>
      <c r="N22" s="347">
        <v>252</v>
      </c>
      <c r="O22" s="347"/>
      <c r="P22" s="347"/>
      <c r="Q22" s="347"/>
      <c r="R22" s="347"/>
      <c r="S22" s="347"/>
      <c r="T22" s="347"/>
      <c r="U22" s="356"/>
      <c r="V22" s="347"/>
      <c r="W22" s="347"/>
      <c r="X22" s="347"/>
      <c r="Y22" s="347"/>
      <c r="Z22" s="347"/>
      <c r="AA22" s="349"/>
      <c r="AB22" s="347">
        <v>463</v>
      </c>
      <c r="AC22" s="347"/>
      <c r="AD22" s="347"/>
      <c r="AE22" s="347"/>
      <c r="AF22" s="347"/>
      <c r="AG22" s="347"/>
      <c r="AH22" s="347"/>
      <c r="AI22" s="347"/>
      <c r="AJ22" s="347"/>
      <c r="AK22" s="347"/>
      <c r="AL22" s="347"/>
      <c r="AM22" s="347"/>
      <c r="AN22" s="347">
        <v>-0.2</v>
      </c>
      <c r="AO22" s="347"/>
      <c r="AP22" s="347"/>
    </row>
    <row r="23" spans="1:42" ht="14.45" customHeight="1">
      <c r="A23" s="436"/>
      <c r="B23" s="443"/>
      <c r="C23" s="39"/>
      <c r="D23" s="39" t="s">
        <v>171</v>
      </c>
      <c r="E23" s="355">
        <v>27</v>
      </c>
      <c r="F23" s="355">
        <v>14</v>
      </c>
      <c r="G23" s="347">
        <v>199</v>
      </c>
      <c r="H23" s="347"/>
      <c r="I23" s="347"/>
      <c r="J23" s="347"/>
      <c r="K23" s="347"/>
      <c r="L23" s="347"/>
      <c r="M23" s="347">
        <v>435</v>
      </c>
      <c r="N23" s="347">
        <v>416</v>
      </c>
      <c r="O23" s="347"/>
      <c r="P23" s="347"/>
      <c r="Q23" s="347"/>
      <c r="R23" s="347"/>
      <c r="S23" s="347"/>
      <c r="T23" s="347"/>
      <c r="U23" s="356"/>
      <c r="V23" s="347"/>
      <c r="W23" s="347"/>
      <c r="X23" s="347"/>
      <c r="Y23" s="347"/>
      <c r="Z23" s="347"/>
      <c r="AA23" s="349"/>
      <c r="AB23" s="347">
        <v>474</v>
      </c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47">
        <v>7.4</v>
      </c>
      <c r="AO23" s="347"/>
      <c r="AP23" s="347"/>
    </row>
    <row r="24" spans="1:42" ht="14.45" customHeight="1">
      <c r="A24" s="436"/>
      <c r="B24" s="460" t="s">
        <v>31</v>
      </c>
      <c r="C24" s="439"/>
      <c r="D24" s="37" t="s">
        <v>114</v>
      </c>
      <c r="E24" s="355">
        <v>23</v>
      </c>
      <c r="F24" s="351">
        <v>16</v>
      </c>
      <c r="G24" s="344"/>
      <c r="H24" s="344"/>
      <c r="I24" s="344"/>
      <c r="J24" s="344"/>
      <c r="K24" s="343"/>
      <c r="L24" s="344"/>
      <c r="M24" s="343"/>
      <c r="N24" s="344"/>
      <c r="O24" s="344"/>
      <c r="P24" s="344"/>
      <c r="Q24" s="344"/>
      <c r="R24" s="344"/>
      <c r="S24" s="344"/>
      <c r="T24" s="344"/>
      <c r="U24" s="354"/>
      <c r="V24" s="344"/>
      <c r="W24" s="344"/>
      <c r="X24" s="344"/>
      <c r="Y24" s="344"/>
      <c r="Z24" s="344"/>
      <c r="AA24" s="346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3"/>
      <c r="AO24" s="343"/>
      <c r="AP24" s="343"/>
    </row>
    <row r="25" spans="1:42" ht="14.45" customHeight="1">
      <c r="A25" s="436"/>
      <c r="B25" s="173" t="s">
        <v>31</v>
      </c>
      <c r="C25" s="39"/>
      <c r="D25" s="39" t="s">
        <v>173</v>
      </c>
      <c r="E25" s="355">
        <v>23</v>
      </c>
      <c r="F25" s="355">
        <v>16</v>
      </c>
      <c r="G25" s="347">
        <v>464</v>
      </c>
      <c r="H25" s="347"/>
      <c r="I25" s="347"/>
      <c r="J25" s="347"/>
      <c r="K25" s="347"/>
      <c r="L25" s="347"/>
      <c r="M25" s="347">
        <v>150</v>
      </c>
      <c r="N25" s="347">
        <v>14</v>
      </c>
      <c r="O25" s="347"/>
      <c r="P25" s="347"/>
      <c r="Q25" s="347"/>
      <c r="R25" s="347"/>
      <c r="S25" s="347"/>
      <c r="T25" s="347"/>
      <c r="U25" s="356"/>
      <c r="V25" s="347"/>
      <c r="W25" s="347"/>
      <c r="X25" s="347"/>
      <c r="Y25" s="347"/>
      <c r="Z25" s="347"/>
      <c r="AA25" s="349"/>
      <c r="AB25" s="347">
        <v>474</v>
      </c>
      <c r="AC25" s="347"/>
      <c r="AD25" s="347"/>
      <c r="AE25" s="347"/>
      <c r="AF25" s="347"/>
      <c r="AG25" s="347"/>
      <c r="AH25" s="347"/>
      <c r="AI25" s="347"/>
      <c r="AJ25" s="347"/>
      <c r="AK25" s="347"/>
      <c r="AL25" s="347"/>
      <c r="AM25" s="347"/>
      <c r="AN25" s="347">
        <v>3.9</v>
      </c>
      <c r="AO25" s="347"/>
      <c r="AP25" s="347"/>
    </row>
    <row r="26" spans="1:42" ht="14.45" customHeight="1">
      <c r="A26" s="436"/>
      <c r="B26" s="438" t="s">
        <v>32</v>
      </c>
      <c r="C26" s="439"/>
      <c r="D26" s="169" t="s">
        <v>114</v>
      </c>
      <c r="E26" s="350">
        <v>18</v>
      </c>
      <c r="F26" s="351">
        <v>12</v>
      </c>
      <c r="G26" s="344"/>
      <c r="H26" s="344"/>
      <c r="I26" s="344"/>
      <c r="J26" s="344"/>
      <c r="K26" s="343"/>
      <c r="L26" s="344"/>
      <c r="M26" s="343"/>
      <c r="N26" s="344"/>
      <c r="O26" s="344"/>
      <c r="P26" s="344"/>
      <c r="Q26" s="344"/>
      <c r="R26" s="344"/>
      <c r="S26" s="344"/>
      <c r="T26" s="344"/>
      <c r="U26" s="354"/>
      <c r="V26" s="344"/>
      <c r="W26" s="344"/>
      <c r="X26" s="344"/>
      <c r="Y26" s="344"/>
      <c r="Z26" s="344"/>
      <c r="AA26" s="346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344"/>
      <c r="AN26" s="343"/>
      <c r="AO26" s="343"/>
      <c r="AP26" s="343"/>
    </row>
    <row r="27" spans="1:42" ht="14.45" customHeight="1">
      <c r="A27" s="437"/>
      <c r="B27" s="31" t="s">
        <v>32</v>
      </c>
      <c r="C27" s="39"/>
      <c r="D27" s="39" t="s">
        <v>173</v>
      </c>
      <c r="E27" s="355">
        <v>18</v>
      </c>
      <c r="F27" s="355">
        <v>12</v>
      </c>
      <c r="G27" s="347">
        <v>131</v>
      </c>
      <c r="H27" s="347"/>
      <c r="I27" s="347"/>
      <c r="J27" s="347"/>
      <c r="K27" s="347"/>
      <c r="L27" s="347"/>
      <c r="M27" s="347">
        <v>492</v>
      </c>
      <c r="N27" s="347">
        <v>339</v>
      </c>
      <c r="O27" s="347"/>
      <c r="P27" s="347"/>
      <c r="Q27" s="347"/>
      <c r="R27" s="347"/>
      <c r="S27" s="347"/>
      <c r="T27" s="347"/>
      <c r="U27" s="356"/>
      <c r="V27" s="347"/>
      <c r="W27" s="347"/>
      <c r="X27" s="347"/>
      <c r="Y27" s="347"/>
      <c r="Z27" s="347"/>
      <c r="AA27" s="349"/>
      <c r="AB27" s="347">
        <v>136</v>
      </c>
      <c r="AC27" s="347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>
        <v>3.4</v>
      </c>
      <c r="AO27" s="347"/>
      <c r="AP27" s="347"/>
    </row>
    <row r="28" spans="1:42" ht="17.25" customHeight="1">
      <c r="A28" s="435" t="s">
        <v>295</v>
      </c>
      <c r="B28" s="440" t="s">
        <v>113</v>
      </c>
      <c r="C28" s="441"/>
      <c r="D28" s="439"/>
      <c r="E28" s="350">
        <v>33</v>
      </c>
      <c r="F28" s="351">
        <v>23</v>
      </c>
      <c r="G28" s="340">
        <v>289</v>
      </c>
      <c r="H28" s="340"/>
      <c r="I28" s="340"/>
      <c r="J28" s="340"/>
      <c r="K28" s="339"/>
      <c r="L28" s="340"/>
      <c r="M28" s="339">
        <v>161</v>
      </c>
      <c r="N28" s="340">
        <v>33</v>
      </c>
      <c r="O28" s="340"/>
      <c r="P28" s="340"/>
      <c r="Q28" s="340"/>
      <c r="R28" s="340"/>
      <c r="S28" s="340"/>
      <c r="T28" s="340"/>
      <c r="U28" s="353"/>
      <c r="V28" s="340"/>
      <c r="W28" s="340"/>
      <c r="X28" s="340"/>
      <c r="Y28" s="340"/>
      <c r="Z28" s="340"/>
      <c r="AA28" s="342"/>
      <c r="AB28" s="340">
        <v>366</v>
      </c>
      <c r="AC28" s="340"/>
      <c r="AD28" s="340"/>
      <c r="AE28" s="340"/>
      <c r="AF28" s="340"/>
      <c r="AG28" s="340"/>
      <c r="AH28" s="340"/>
      <c r="AI28" s="340"/>
      <c r="AJ28" s="340"/>
      <c r="AK28" s="340"/>
      <c r="AL28" s="340"/>
      <c r="AM28" s="340"/>
      <c r="AN28" s="339">
        <v>-4.5</v>
      </c>
      <c r="AO28" s="339"/>
      <c r="AP28" s="339"/>
    </row>
    <row r="29" spans="1:42" ht="14.45" customHeight="1">
      <c r="A29" s="436"/>
      <c r="B29" s="438" t="s">
        <v>34</v>
      </c>
      <c r="C29" s="439"/>
      <c r="D29" s="169" t="s">
        <v>114</v>
      </c>
      <c r="E29" s="350">
        <v>9</v>
      </c>
      <c r="F29" s="351">
        <v>8</v>
      </c>
      <c r="G29" s="344"/>
      <c r="H29" s="344"/>
      <c r="I29" s="344"/>
      <c r="J29" s="344"/>
      <c r="K29" s="343"/>
      <c r="L29" s="344"/>
      <c r="M29" s="343"/>
      <c r="N29" s="344"/>
      <c r="O29" s="344"/>
      <c r="P29" s="344"/>
      <c r="Q29" s="344"/>
      <c r="R29" s="344"/>
      <c r="S29" s="344"/>
      <c r="T29" s="344"/>
      <c r="U29" s="354"/>
      <c r="V29" s="344"/>
      <c r="W29" s="344"/>
      <c r="X29" s="344"/>
      <c r="Y29" s="344"/>
      <c r="Z29" s="344"/>
      <c r="AA29" s="346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344"/>
      <c r="AN29" s="343"/>
      <c r="AO29" s="343"/>
      <c r="AP29" s="343"/>
    </row>
    <row r="30" spans="1:42" ht="14.45" customHeight="1">
      <c r="A30" s="436"/>
      <c r="B30" s="31" t="s">
        <v>34</v>
      </c>
      <c r="C30" s="39"/>
      <c r="D30" s="39" t="s">
        <v>177</v>
      </c>
      <c r="E30" s="355">
        <v>9</v>
      </c>
      <c r="F30" s="355">
        <v>8</v>
      </c>
      <c r="G30" s="347">
        <v>344</v>
      </c>
      <c r="H30" s="347"/>
      <c r="I30" s="347"/>
      <c r="J30" s="347"/>
      <c r="K30" s="347"/>
      <c r="L30" s="347"/>
      <c r="M30" s="347">
        <v>156</v>
      </c>
      <c r="N30" s="347">
        <v>108</v>
      </c>
      <c r="O30" s="347"/>
      <c r="P30" s="347"/>
      <c r="Q30" s="347"/>
      <c r="R30" s="347"/>
      <c r="S30" s="347"/>
      <c r="T30" s="347"/>
      <c r="U30" s="356"/>
      <c r="V30" s="347"/>
      <c r="W30" s="347"/>
      <c r="X30" s="347"/>
      <c r="Y30" s="347"/>
      <c r="Z30" s="347"/>
      <c r="AA30" s="349"/>
      <c r="AB30" s="347">
        <v>374</v>
      </c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47">
        <v>2.7</v>
      </c>
      <c r="AO30" s="347"/>
      <c r="AP30" s="347"/>
    </row>
    <row r="31" spans="1:42" ht="14.45" customHeight="1">
      <c r="A31" s="436"/>
      <c r="B31" s="438" t="s">
        <v>35</v>
      </c>
      <c r="C31" s="439"/>
      <c r="D31" s="169" t="s">
        <v>114</v>
      </c>
      <c r="E31" s="350">
        <v>24</v>
      </c>
      <c r="F31" s="351">
        <v>15</v>
      </c>
      <c r="G31" s="344"/>
      <c r="H31" s="344"/>
      <c r="I31" s="344"/>
      <c r="J31" s="344"/>
      <c r="K31" s="343"/>
      <c r="L31" s="344"/>
      <c r="M31" s="343"/>
      <c r="N31" s="344"/>
      <c r="O31" s="344"/>
      <c r="P31" s="344"/>
      <c r="Q31" s="344"/>
      <c r="R31" s="344"/>
      <c r="S31" s="344"/>
      <c r="T31" s="344"/>
      <c r="U31" s="354"/>
      <c r="V31" s="344"/>
      <c r="W31" s="344"/>
      <c r="X31" s="344"/>
      <c r="Y31" s="344"/>
      <c r="Z31" s="344"/>
      <c r="AA31" s="346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3"/>
      <c r="AO31" s="343"/>
      <c r="AP31" s="343"/>
    </row>
    <row r="32" spans="1:42" ht="17.25" customHeight="1">
      <c r="A32" s="437"/>
      <c r="B32" s="31" t="s">
        <v>35</v>
      </c>
      <c r="C32" s="39"/>
      <c r="D32" s="39" t="s">
        <v>179</v>
      </c>
      <c r="E32" s="355">
        <v>24</v>
      </c>
      <c r="F32" s="355">
        <v>15</v>
      </c>
      <c r="G32" s="347">
        <v>142</v>
      </c>
      <c r="H32" s="347"/>
      <c r="I32" s="347"/>
      <c r="J32" s="347"/>
      <c r="K32" s="347"/>
      <c r="L32" s="347"/>
      <c r="M32" s="347">
        <v>315</v>
      </c>
      <c r="N32" s="347">
        <v>188</v>
      </c>
      <c r="O32" s="347"/>
      <c r="P32" s="347"/>
      <c r="Q32" s="347"/>
      <c r="R32" s="347"/>
      <c r="S32" s="347"/>
      <c r="T32" s="347"/>
      <c r="U32" s="356"/>
      <c r="V32" s="347"/>
      <c r="W32" s="347"/>
      <c r="X32" s="347"/>
      <c r="Y32" s="347"/>
      <c r="Z32" s="347"/>
      <c r="AA32" s="349"/>
      <c r="AB32" s="347">
        <v>167</v>
      </c>
      <c r="AC32" s="347"/>
      <c r="AD32" s="347"/>
      <c r="AE32" s="347"/>
      <c r="AF32" s="347"/>
      <c r="AG32" s="347"/>
      <c r="AH32" s="347"/>
      <c r="AI32" s="347"/>
      <c r="AJ32" s="347"/>
      <c r="AK32" s="347"/>
      <c r="AL32" s="347"/>
      <c r="AM32" s="347"/>
      <c r="AN32" s="347">
        <v>-3.5</v>
      </c>
      <c r="AO32" s="347"/>
      <c r="AP32" s="347"/>
    </row>
    <row r="33" spans="1:42" ht="14.45" customHeight="1">
      <c r="A33" s="435" t="s">
        <v>296</v>
      </c>
      <c r="B33" s="440" t="s">
        <v>113</v>
      </c>
      <c r="C33" s="441"/>
      <c r="D33" s="439"/>
      <c r="E33" s="350">
        <v>108</v>
      </c>
      <c r="F33" s="351">
        <v>69</v>
      </c>
      <c r="G33" s="340">
        <v>235</v>
      </c>
      <c r="H33" s="340"/>
      <c r="I33" s="340"/>
      <c r="J33" s="340"/>
      <c r="K33" s="339"/>
      <c r="L33" s="340"/>
      <c r="M33" s="339">
        <v>110</v>
      </c>
      <c r="N33" s="340">
        <v>202</v>
      </c>
      <c r="O33" s="340"/>
      <c r="P33" s="340"/>
      <c r="Q33" s="340"/>
      <c r="R33" s="340"/>
      <c r="S33" s="340"/>
      <c r="T33" s="340"/>
      <c r="U33" s="353"/>
      <c r="V33" s="340"/>
      <c r="W33" s="340"/>
      <c r="X33" s="340"/>
      <c r="Y33" s="340"/>
      <c r="Z33" s="340"/>
      <c r="AA33" s="342"/>
      <c r="AB33" s="340">
        <v>290</v>
      </c>
      <c r="AC33" s="340"/>
      <c r="AD33" s="340"/>
      <c r="AE33" s="340"/>
      <c r="AF33" s="340"/>
      <c r="AG33" s="340"/>
      <c r="AH33" s="340"/>
      <c r="AI33" s="340"/>
      <c r="AJ33" s="340"/>
      <c r="AK33" s="340"/>
      <c r="AL33" s="340"/>
      <c r="AM33" s="340"/>
      <c r="AN33" s="339">
        <v>-2.6</v>
      </c>
      <c r="AO33" s="339"/>
      <c r="AP33" s="339"/>
    </row>
    <row r="34" spans="1:42" ht="14.45" customHeight="1">
      <c r="A34" s="436"/>
      <c r="B34" s="438" t="s">
        <v>38</v>
      </c>
      <c r="C34" s="439"/>
      <c r="D34" s="169" t="s">
        <v>114</v>
      </c>
      <c r="E34" s="350">
        <v>41</v>
      </c>
      <c r="F34" s="351">
        <v>27</v>
      </c>
      <c r="G34" s="344"/>
      <c r="H34" s="344"/>
      <c r="I34" s="344"/>
      <c r="J34" s="344"/>
      <c r="K34" s="343"/>
      <c r="L34" s="344"/>
      <c r="M34" s="343"/>
      <c r="N34" s="344"/>
      <c r="O34" s="344"/>
      <c r="P34" s="344"/>
      <c r="Q34" s="344"/>
      <c r="R34" s="344"/>
      <c r="S34" s="344"/>
      <c r="T34" s="344"/>
      <c r="U34" s="354"/>
      <c r="V34" s="344"/>
      <c r="W34" s="344"/>
      <c r="X34" s="344"/>
      <c r="Y34" s="344"/>
      <c r="Z34" s="344"/>
      <c r="AA34" s="346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44"/>
      <c r="AN34" s="343"/>
      <c r="AO34" s="343"/>
      <c r="AP34" s="343"/>
    </row>
    <row r="35" spans="1:42" ht="14.45" customHeight="1">
      <c r="A35" s="436"/>
      <c r="B35" s="31" t="s">
        <v>38</v>
      </c>
      <c r="C35" s="39"/>
      <c r="D35" s="39" t="s">
        <v>189</v>
      </c>
      <c r="E35" s="355">
        <v>41</v>
      </c>
      <c r="F35" s="355">
        <v>27</v>
      </c>
      <c r="G35" s="347">
        <v>236</v>
      </c>
      <c r="H35" s="347"/>
      <c r="I35" s="347"/>
      <c r="J35" s="347"/>
      <c r="K35" s="347"/>
      <c r="L35" s="347"/>
      <c r="M35" s="347">
        <v>208</v>
      </c>
      <c r="N35" s="347">
        <v>436</v>
      </c>
      <c r="O35" s="347"/>
      <c r="P35" s="347"/>
      <c r="Q35" s="347"/>
      <c r="R35" s="347"/>
      <c r="S35" s="347"/>
      <c r="T35" s="347"/>
      <c r="U35" s="356"/>
      <c r="V35" s="347"/>
      <c r="W35" s="347"/>
      <c r="X35" s="347"/>
      <c r="Y35" s="347"/>
      <c r="Z35" s="347"/>
      <c r="AA35" s="349"/>
      <c r="AB35" s="347">
        <v>403</v>
      </c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7">
        <v>4.0999999999999996</v>
      </c>
      <c r="AO35" s="347"/>
      <c r="AP35" s="347"/>
    </row>
    <row r="36" spans="1:42" ht="14.45" customHeight="1">
      <c r="A36" s="436"/>
      <c r="B36" s="438" t="s">
        <v>39</v>
      </c>
      <c r="C36" s="439"/>
      <c r="D36" s="169" t="s">
        <v>114</v>
      </c>
      <c r="E36" s="350">
        <v>35</v>
      </c>
      <c r="F36" s="351">
        <v>23</v>
      </c>
      <c r="G36" s="344"/>
      <c r="H36" s="344"/>
      <c r="I36" s="344"/>
      <c r="J36" s="344"/>
      <c r="K36" s="343"/>
      <c r="L36" s="344"/>
      <c r="M36" s="343"/>
      <c r="N36" s="344"/>
      <c r="O36" s="344"/>
      <c r="P36" s="344"/>
      <c r="Q36" s="344"/>
      <c r="R36" s="344"/>
      <c r="S36" s="344"/>
      <c r="T36" s="344"/>
      <c r="U36" s="354"/>
      <c r="V36" s="344"/>
      <c r="W36" s="344"/>
      <c r="X36" s="344"/>
      <c r="Y36" s="344"/>
      <c r="Z36" s="344"/>
      <c r="AA36" s="346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344"/>
      <c r="AN36" s="343"/>
      <c r="AO36" s="343"/>
      <c r="AP36" s="343"/>
    </row>
    <row r="37" spans="1:42" ht="14.45" customHeight="1">
      <c r="A37" s="436"/>
      <c r="B37" s="444" t="s">
        <v>39</v>
      </c>
      <c r="C37" s="39"/>
      <c r="D37" s="39" t="s">
        <v>193</v>
      </c>
      <c r="E37" s="355">
        <v>18</v>
      </c>
      <c r="F37" s="355">
        <v>15</v>
      </c>
      <c r="G37" s="347">
        <v>325</v>
      </c>
      <c r="H37" s="347"/>
      <c r="I37" s="347"/>
      <c r="J37" s="347"/>
      <c r="K37" s="347"/>
      <c r="L37" s="347"/>
      <c r="M37" s="347">
        <v>113</v>
      </c>
      <c r="N37" s="347">
        <v>288</v>
      </c>
      <c r="O37" s="347"/>
      <c r="P37" s="347"/>
      <c r="Q37" s="347"/>
      <c r="R37" s="347"/>
      <c r="S37" s="347"/>
      <c r="T37" s="347"/>
      <c r="U37" s="356"/>
      <c r="V37" s="347"/>
      <c r="W37" s="347"/>
      <c r="X37" s="347"/>
      <c r="Y37" s="347"/>
      <c r="Z37" s="347"/>
      <c r="AA37" s="349"/>
      <c r="AB37" s="347">
        <v>190</v>
      </c>
      <c r="AC37" s="347"/>
      <c r="AD37" s="347"/>
      <c r="AE37" s="347"/>
      <c r="AF37" s="347"/>
      <c r="AG37" s="347"/>
      <c r="AH37" s="347"/>
      <c r="AI37" s="347"/>
      <c r="AJ37" s="347"/>
      <c r="AK37" s="347"/>
      <c r="AL37" s="347"/>
      <c r="AM37" s="347"/>
      <c r="AN37" s="347">
        <v>0.2</v>
      </c>
      <c r="AO37" s="347"/>
      <c r="AP37" s="347"/>
    </row>
    <row r="38" spans="1:42" ht="14.45" customHeight="1">
      <c r="A38" s="436"/>
      <c r="B38" s="443"/>
      <c r="C38" s="39"/>
      <c r="D38" s="39" t="s">
        <v>194</v>
      </c>
      <c r="E38" s="355">
        <v>17</v>
      </c>
      <c r="F38" s="355">
        <v>8</v>
      </c>
      <c r="G38" s="347">
        <v>196</v>
      </c>
      <c r="H38" s="347"/>
      <c r="I38" s="347"/>
      <c r="J38" s="347"/>
      <c r="K38" s="347"/>
      <c r="L38" s="347"/>
      <c r="M38" s="347">
        <v>268</v>
      </c>
      <c r="N38" s="347">
        <v>186</v>
      </c>
      <c r="O38" s="347"/>
      <c r="P38" s="347"/>
      <c r="Q38" s="347"/>
      <c r="R38" s="347"/>
      <c r="S38" s="347"/>
      <c r="T38" s="347"/>
      <c r="U38" s="356"/>
      <c r="V38" s="347"/>
      <c r="W38" s="347"/>
      <c r="X38" s="347"/>
      <c r="Y38" s="347"/>
      <c r="Z38" s="347"/>
      <c r="AA38" s="349"/>
      <c r="AB38" s="347">
        <v>263</v>
      </c>
      <c r="AC38" s="347"/>
      <c r="AD38" s="347"/>
      <c r="AE38" s="347"/>
      <c r="AF38" s="347"/>
      <c r="AG38" s="347"/>
      <c r="AH38" s="347"/>
      <c r="AI38" s="347"/>
      <c r="AJ38" s="347"/>
      <c r="AK38" s="347"/>
      <c r="AL38" s="347"/>
      <c r="AM38" s="347"/>
      <c r="AN38" s="347">
        <v>1.2</v>
      </c>
      <c r="AO38" s="347"/>
      <c r="AP38" s="347"/>
    </row>
    <row r="39" spans="1:42" ht="14.45" customHeight="1">
      <c r="A39" s="436"/>
      <c r="B39" s="438" t="s">
        <v>40</v>
      </c>
      <c r="C39" s="439"/>
      <c r="D39" s="169" t="s">
        <v>114</v>
      </c>
      <c r="E39" s="350">
        <v>32</v>
      </c>
      <c r="F39" s="351">
        <v>19</v>
      </c>
      <c r="G39" s="344"/>
      <c r="H39" s="344"/>
      <c r="I39" s="344"/>
      <c r="J39" s="344"/>
      <c r="K39" s="343"/>
      <c r="L39" s="344"/>
      <c r="M39" s="343"/>
      <c r="N39" s="344"/>
      <c r="O39" s="344"/>
      <c r="P39" s="344"/>
      <c r="Q39" s="344"/>
      <c r="R39" s="344"/>
      <c r="S39" s="344"/>
      <c r="T39" s="344"/>
      <c r="U39" s="354"/>
      <c r="V39" s="344"/>
      <c r="W39" s="344"/>
      <c r="X39" s="344"/>
      <c r="Y39" s="344"/>
      <c r="Z39" s="344"/>
      <c r="AA39" s="346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3"/>
      <c r="AO39" s="343"/>
      <c r="AP39" s="343"/>
    </row>
    <row r="40" spans="1:42" ht="16.5" customHeight="1">
      <c r="A40" s="436"/>
      <c r="B40" s="444" t="s">
        <v>40</v>
      </c>
      <c r="C40" s="39"/>
      <c r="D40" s="39" t="s">
        <v>199</v>
      </c>
      <c r="E40" s="355">
        <v>12</v>
      </c>
      <c r="F40" s="355">
        <v>7</v>
      </c>
      <c r="G40" s="347">
        <v>13</v>
      </c>
      <c r="H40" s="347"/>
      <c r="I40" s="347"/>
      <c r="J40" s="347"/>
      <c r="K40" s="347"/>
      <c r="L40" s="347"/>
      <c r="M40" s="347">
        <v>187</v>
      </c>
      <c r="N40" s="347">
        <v>153</v>
      </c>
      <c r="O40" s="347"/>
      <c r="P40" s="347"/>
      <c r="Q40" s="347"/>
      <c r="R40" s="347"/>
      <c r="S40" s="347"/>
      <c r="T40" s="347"/>
      <c r="U40" s="356"/>
      <c r="V40" s="347"/>
      <c r="W40" s="347"/>
      <c r="X40" s="347"/>
      <c r="Y40" s="347"/>
      <c r="Z40" s="347"/>
      <c r="AA40" s="349"/>
      <c r="AB40" s="347">
        <v>442</v>
      </c>
      <c r="AC40" s="347"/>
      <c r="AD40" s="347"/>
      <c r="AE40" s="347"/>
      <c r="AF40" s="347"/>
      <c r="AG40" s="347"/>
      <c r="AH40" s="347"/>
      <c r="AI40" s="347"/>
      <c r="AJ40" s="347"/>
      <c r="AK40" s="347"/>
      <c r="AL40" s="347"/>
      <c r="AM40" s="347"/>
      <c r="AN40" s="347">
        <v>-3.4</v>
      </c>
      <c r="AO40" s="347"/>
      <c r="AP40" s="347"/>
    </row>
    <row r="41" spans="1:42" ht="16.5" customHeight="1">
      <c r="A41" s="437"/>
      <c r="B41" s="443"/>
      <c r="C41" s="39"/>
      <c r="D41" s="39" t="s">
        <v>200</v>
      </c>
      <c r="E41" s="355">
        <v>20</v>
      </c>
      <c r="F41" s="355">
        <v>12</v>
      </c>
      <c r="G41" s="347">
        <v>91</v>
      </c>
      <c r="H41" s="347"/>
      <c r="I41" s="347"/>
      <c r="J41" s="347"/>
      <c r="K41" s="347"/>
      <c r="L41" s="347"/>
      <c r="M41" s="347">
        <v>73</v>
      </c>
      <c r="N41" s="347">
        <v>56</v>
      </c>
      <c r="O41" s="347"/>
      <c r="P41" s="347"/>
      <c r="Q41" s="347"/>
      <c r="R41" s="347"/>
      <c r="S41" s="347"/>
      <c r="T41" s="347"/>
      <c r="U41" s="356"/>
      <c r="V41" s="347"/>
      <c r="W41" s="347"/>
      <c r="X41" s="347"/>
      <c r="Y41" s="347"/>
      <c r="Z41" s="347"/>
      <c r="AA41" s="349"/>
      <c r="AB41" s="347">
        <v>350</v>
      </c>
      <c r="AC41" s="347"/>
      <c r="AD41" s="347"/>
      <c r="AE41" s="347"/>
      <c r="AF41" s="347"/>
      <c r="AG41" s="347"/>
      <c r="AH41" s="347"/>
      <c r="AI41" s="347"/>
      <c r="AJ41" s="347"/>
      <c r="AK41" s="347"/>
      <c r="AL41" s="347"/>
      <c r="AM41" s="347"/>
      <c r="AN41" s="347">
        <v>-1.3</v>
      </c>
      <c r="AO41" s="347"/>
      <c r="AP41" s="347"/>
    </row>
    <row r="42" spans="1:42">
      <c r="A42" s="435" t="s">
        <v>301</v>
      </c>
      <c r="B42" s="440" t="s">
        <v>113</v>
      </c>
      <c r="C42" s="441"/>
      <c r="D42" s="439"/>
      <c r="E42" s="350">
        <v>82</v>
      </c>
      <c r="F42" s="351">
        <v>58</v>
      </c>
      <c r="G42" s="340">
        <v>33</v>
      </c>
      <c r="H42" s="340"/>
      <c r="I42" s="340"/>
      <c r="J42" s="340"/>
      <c r="K42" s="339"/>
      <c r="L42" s="340"/>
      <c r="M42" s="339">
        <v>39</v>
      </c>
      <c r="N42" s="340">
        <v>42</v>
      </c>
      <c r="O42" s="340"/>
      <c r="P42" s="340"/>
      <c r="Q42" s="340"/>
      <c r="R42" s="340"/>
      <c r="S42" s="340"/>
      <c r="T42" s="340"/>
      <c r="U42" s="353"/>
      <c r="V42" s="340"/>
      <c r="W42" s="340"/>
      <c r="X42" s="340"/>
      <c r="Y42" s="340"/>
      <c r="Z42" s="340"/>
      <c r="AA42" s="342"/>
      <c r="AB42" s="340">
        <v>340</v>
      </c>
      <c r="AC42" s="340"/>
      <c r="AD42" s="340"/>
      <c r="AE42" s="340"/>
      <c r="AF42" s="340"/>
      <c r="AG42" s="340"/>
      <c r="AH42" s="340"/>
      <c r="AI42" s="340"/>
      <c r="AJ42" s="340"/>
      <c r="AK42" s="340"/>
      <c r="AL42" s="340"/>
      <c r="AM42" s="340"/>
      <c r="AN42" s="339">
        <v>-4.8</v>
      </c>
      <c r="AO42" s="339"/>
      <c r="AP42" s="339"/>
    </row>
    <row r="43" spans="1:42" ht="16.5" customHeight="1">
      <c r="A43" s="436"/>
      <c r="B43" s="438" t="s">
        <v>43</v>
      </c>
      <c r="C43" s="439"/>
      <c r="D43" s="169" t="s">
        <v>114</v>
      </c>
      <c r="E43" s="350">
        <v>37</v>
      </c>
      <c r="F43" s="351">
        <v>28</v>
      </c>
      <c r="G43" s="344"/>
      <c r="H43" s="344"/>
      <c r="I43" s="344"/>
      <c r="J43" s="344"/>
      <c r="K43" s="343"/>
      <c r="L43" s="344"/>
      <c r="M43" s="343"/>
      <c r="N43" s="344"/>
      <c r="O43" s="344"/>
      <c r="P43" s="344"/>
      <c r="Q43" s="344"/>
      <c r="R43" s="344"/>
      <c r="S43" s="344"/>
      <c r="T43" s="344"/>
      <c r="U43" s="354"/>
      <c r="V43" s="344"/>
      <c r="W43" s="344"/>
      <c r="X43" s="344"/>
      <c r="Y43" s="344"/>
      <c r="Z43" s="344"/>
      <c r="AA43" s="346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3"/>
      <c r="AO43" s="343"/>
      <c r="AP43" s="343"/>
    </row>
    <row r="44" spans="1:42" ht="16.5" customHeight="1">
      <c r="A44" s="436"/>
      <c r="B44" s="31" t="s">
        <v>43</v>
      </c>
      <c r="C44" s="39"/>
      <c r="D44" s="39" t="s">
        <v>209</v>
      </c>
      <c r="E44" s="355">
        <v>37</v>
      </c>
      <c r="F44" s="355">
        <v>28</v>
      </c>
      <c r="G44" s="347">
        <v>414</v>
      </c>
      <c r="H44" s="347"/>
      <c r="I44" s="347"/>
      <c r="J44" s="347"/>
      <c r="K44" s="347"/>
      <c r="L44" s="347"/>
      <c r="M44" s="347">
        <v>210</v>
      </c>
      <c r="N44" s="347">
        <v>438</v>
      </c>
      <c r="O44" s="347"/>
      <c r="P44" s="347"/>
      <c r="Q44" s="347"/>
      <c r="R44" s="347"/>
      <c r="S44" s="347"/>
      <c r="T44" s="347"/>
      <c r="U44" s="356"/>
      <c r="V44" s="347"/>
      <c r="W44" s="347"/>
      <c r="X44" s="347"/>
      <c r="Y44" s="347"/>
      <c r="Z44" s="347"/>
      <c r="AA44" s="349"/>
      <c r="AB44" s="347">
        <v>58</v>
      </c>
      <c r="AC44" s="347"/>
      <c r="AD44" s="347"/>
      <c r="AE44" s="347"/>
      <c r="AF44" s="347"/>
      <c r="AG44" s="347"/>
      <c r="AH44" s="347"/>
      <c r="AI44" s="347"/>
      <c r="AJ44" s="347"/>
      <c r="AK44" s="347"/>
      <c r="AL44" s="347"/>
      <c r="AM44" s="347"/>
      <c r="AN44" s="347">
        <v>-3.7</v>
      </c>
      <c r="AO44" s="347"/>
      <c r="AP44" s="347"/>
    </row>
    <row r="45" spans="1:42" ht="16.5" customHeight="1">
      <c r="A45" s="436"/>
      <c r="B45" s="438" t="s">
        <v>44</v>
      </c>
      <c r="C45" s="439"/>
      <c r="D45" s="169" t="s">
        <v>114</v>
      </c>
      <c r="E45" s="350">
        <v>13</v>
      </c>
      <c r="F45" s="351">
        <v>12</v>
      </c>
      <c r="G45" s="344"/>
      <c r="H45" s="344"/>
      <c r="I45" s="344"/>
      <c r="J45" s="344"/>
      <c r="K45" s="343"/>
      <c r="L45" s="344"/>
      <c r="M45" s="343"/>
      <c r="N45" s="344"/>
      <c r="O45" s="344"/>
      <c r="P45" s="344"/>
      <c r="Q45" s="344"/>
      <c r="R45" s="344"/>
      <c r="S45" s="344"/>
      <c r="T45" s="344"/>
      <c r="U45" s="354"/>
      <c r="V45" s="344"/>
      <c r="W45" s="344"/>
      <c r="X45" s="344"/>
      <c r="Y45" s="344"/>
      <c r="Z45" s="344"/>
      <c r="AA45" s="346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344"/>
      <c r="AN45" s="343"/>
      <c r="AO45" s="343"/>
      <c r="AP45" s="343"/>
    </row>
    <row r="46" spans="1:42" ht="16.5" customHeight="1">
      <c r="A46" s="436"/>
      <c r="B46" s="31" t="s">
        <v>44</v>
      </c>
      <c r="C46" s="39"/>
      <c r="D46" s="39" t="s">
        <v>168</v>
      </c>
      <c r="E46" s="355">
        <v>13</v>
      </c>
      <c r="F46" s="355">
        <v>12</v>
      </c>
      <c r="G46" s="347">
        <v>258</v>
      </c>
      <c r="H46" s="347"/>
      <c r="I46" s="347"/>
      <c r="J46" s="347"/>
      <c r="K46" s="347"/>
      <c r="L46" s="347"/>
      <c r="M46" s="347">
        <v>441</v>
      </c>
      <c r="N46" s="347">
        <v>486</v>
      </c>
      <c r="O46" s="347"/>
      <c r="P46" s="347"/>
      <c r="Q46" s="347"/>
      <c r="R46" s="347"/>
      <c r="S46" s="347"/>
      <c r="T46" s="347"/>
      <c r="U46" s="356"/>
      <c r="V46" s="347"/>
      <c r="W46" s="347"/>
      <c r="X46" s="347"/>
      <c r="Y46" s="347"/>
      <c r="Z46" s="347"/>
      <c r="AA46" s="349"/>
      <c r="AB46" s="347">
        <v>463</v>
      </c>
      <c r="AC46" s="347"/>
      <c r="AD46" s="347"/>
      <c r="AE46" s="347"/>
      <c r="AF46" s="347"/>
      <c r="AG46" s="347"/>
      <c r="AH46" s="347"/>
      <c r="AI46" s="347"/>
      <c r="AJ46" s="347"/>
      <c r="AK46" s="347"/>
      <c r="AL46" s="347"/>
      <c r="AM46" s="347"/>
      <c r="AN46" s="347">
        <v>-4.0999999999999996</v>
      </c>
      <c r="AO46" s="347"/>
      <c r="AP46" s="347"/>
    </row>
    <row r="47" spans="1:42">
      <c r="A47" s="436"/>
      <c r="B47" s="438" t="s">
        <v>45</v>
      </c>
      <c r="C47" s="439"/>
      <c r="D47" s="169" t="s">
        <v>114</v>
      </c>
      <c r="E47" s="350">
        <v>11</v>
      </c>
      <c r="F47" s="351">
        <v>7</v>
      </c>
      <c r="G47" s="344"/>
      <c r="H47" s="344"/>
      <c r="I47" s="344"/>
      <c r="J47" s="344"/>
      <c r="K47" s="343"/>
      <c r="L47" s="344"/>
      <c r="M47" s="343"/>
      <c r="N47" s="344"/>
      <c r="O47" s="344"/>
      <c r="P47" s="344"/>
      <c r="Q47" s="344"/>
      <c r="R47" s="344"/>
      <c r="S47" s="344"/>
      <c r="T47" s="344"/>
      <c r="U47" s="354"/>
      <c r="V47" s="344"/>
      <c r="W47" s="344"/>
      <c r="X47" s="344"/>
      <c r="Y47" s="344"/>
      <c r="Z47" s="344"/>
      <c r="AA47" s="346"/>
      <c r="AB47" s="344"/>
      <c r="AC47" s="344"/>
      <c r="AD47" s="344"/>
      <c r="AE47" s="344"/>
      <c r="AF47" s="344"/>
      <c r="AG47" s="344"/>
      <c r="AH47" s="344"/>
      <c r="AI47" s="344"/>
      <c r="AJ47" s="344"/>
      <c r="AK47" s="344"/>
      <c r="AL47" s="344"/>
      <c r="AM47" s="344"/>
      <c r="AN47" s="343"/>
      <c r="AO47" s="343"/>
      <c r="AP47" s="343"/>
    </row>
    <row r="48" spans="1:42">
      <c r="A48" s="436"/>
      <c r="B48" s="31" t="s">
        <v>45</v>
      </c>
      <c r="C48" s="39"/>
      <c r="D48" s="39" t="s">
        <v>215</v>
      </c>
      <c r="E48" s="355">
        <v>11</v>
      </c>
      <c r="F48" s="355">
        <v>7</v>
      </c>
      <c r="G48" s="347">
        <v>421</v>
      </c>
      <c r="H48" s="347"/>
      <c r="I48" s="347"/>
      <c r="J48" s="347"/>
      <c r="K48" s="347"/>
      <c r="L48" s="347"/>
      <c r="M48" s="347">
        <v>297</v>
      </c>
      <c r="N48" s="347">
        <v>461</v>
      </c>
      <c r="O48" s="347"/>
      <c r="P48" s="347"/>
      <c r="Q48" s="347"/>
      <c r="R48" s="347"/>
      <c r="S48" s="347"/>
      <c r="T48" s="347"/>
      <c r="U48" s="356"/>
      <c r="V48" s="347"/>
      <c r="W48" s="347"/>
      <c r="X48" s="347"/>
      <c r="Y48" s="347"/>
      <c r="Z48" s="347"/>
      <c r="AA48" s="349"/>
      <c r="AB48" s="347">
        <v>320</v>
      </c>
      <c r="AC48" s="347"/>
      <c r="AD48" s="347"/>
      <c r="AE48" s="347"/>
      <c r="AF48" s="347"/>
      <c r="AG48" s="347"/>
      <c r="AH48" s="347"/>
      <c r="AI48" s="347"/>
      <c r="AJ48" s="347"/>
      <c r="AK48" s="347"/>
      <c r="AL48" s="347"/>
      <c r="AM48" s="347"/>
      <c r="AN48" s="347">
        <v>-2.6</v>
      </c>
      <c r="AO48" s="347"/>
      <c r="AP48" s="347"/>
    </row>
    <row r="49" spans="1:42">
      <c r="A49" s="436"/>
      <c r="B49" s="438" t="s">
        <v>46</v>
      </c>
      <c r="C49" s="439"/>
      <c r="D49" s="169" t="s">
        <v>114</v>
      </c>
      <c r="E49" s="350">
        <v>19</v>
      </c>
      <c r="F49" s="351">
        <v>10</v>
      </c>
      <c r="G49" s="344"/>
      <c r="H49" s="344"/>
      <c r="I49" s="344"/>
      <c r="J49" s="344"/>
      <c r="K49" s="343"/>
      <c r="L49" s="344"/>
      <c r="M49" s="343"/>
      <c r="N49" s="344"/>
      <c r="O49" s="344"/>
      <c r="P49" s="344"/>
      <c r="Q49" s="344"/>
      <c r="R49" s="344"/>
      <c r="S49" s="344"/>
      <c r="T49" s="344"/>
      <c r="U49" s="354"/>
      <c r="V49" s="344"/>
      <c r="W49" s="344"/>
      <c r="X49" s="344"/>
      <c r="Y49" s="344"/>
      <c r="Z49" s="344"/>
      <c r="AA49" s="346"/>
      <c r="AB49" s="344"/>
      <c r="AC49" s="344"/>
      <c r="AD49" s="344"/>
      <c r="AE49" s="344"/>
      <c r="AF49" s="344"/>
      <c r="AG49" s="344"/>
      <c r="AH49" s="344"/>
      <c r="AI49" s="344"/>
      <c r="AJ49" s="344"/>
      <c r="AK49" s="344"/>
      <c r="AL49" s="344"/>
      <c r="AM49" s="344"/>
      <c r="AN49" s="343"/>
      <c r="AO49" s="343"/>
      <c r="AP49" s="343"/>
    </row>
    <row r="50" spans="1:42" ht="16.5" customHeight="1">
      <c r="A50" s="436"/>
      <c r="B50" s="31" t="s">
        <v>46</v>
      </c>
      <c r="C50" s="39"/>
      <c r="D50" s="39" t="s">
        <v>217</v>
      </c>
      <c r="E50" s="355">
        <v>19</v>
      </c>
      <c r="F50" s="355">
        <v>10</v>
      </c>
      <c r="G50" s="347">
        <v>19</v>
      </c>
      <c r="H50" s="347"/>
      <c r="I50" s="347"/>
      <c r="J50" s="347"/>
      <c r="K50" s="347"/>
      <c r="L50" s="347"/>
      <c r="M50" s="347">
        <v>263</v>
      </c>
      <c r="N50" s="347">
        <v>343</v>
      </c>
      <c r="O50" s="347"/>
      <c r="P50" s="347"/>
      <c r="Q50" s="347"/>
      <c r="R50" s="347"/>
      <c r="S50" s="347"/>
      <c r="T50" s="347"/>
      <c r="U50" s="356"/>
      <c r="V50" s="347"/>
      <c r="W50" s="347"/>
      <c r="X50" s="347"/>
      <c r="Y50" s="347"/>
      <c r="Z50" s="347"/>
      <c r="AA50" s="349"/>
      <c r="AB50" s="347">
        <v>19</v>
      </c>
      <c r="AC50" s="347"/>
      <c r="AD50" s="347"/>
      <c r="AE50" s="347"/>
      <c r="AF50" s="347"/>
      <c r="AG50" s="347"/>
      <c r="AH50" s="347"/>
      <c r="AI50" s="347"/>
      <c r="AJ50" s="347"/>
      <c r="AK50" s="347"/>
      <c r="AL50" s="347"/>
      <c r="AM50" s="347"/>
      <c r="AN50" s="347">
        <v>-3.5</v>
      </c>
      <c r="AO50" s="347"/>
      <c r="AP50" s="347"/>
    </row>
    <row r="51" spans="1:42" ht="16.5" customHeight="1">
      <c r="A51" s="436"/>
      <c r="B51" s="438" t="s">
        <v>47</v>
      </c>
      <c r="C51" s="439"/>
      <c r="D51" s="169" t="s">
        <v>114</v>
      </c>
      <c r="E51" s="350">
        <v>2</v>
      </c>
      <c r="F51" s="351">
        <v>1</v>
      </c>
      <c r="G51" s="344"/>
      <c r="H51" s="344"/>
      <c r="I51" s="344"/>
      <c r="J51" s="344"/>
      <c r="K51" s="343"/>
      <c r="L51" s="344"/>
      <c r="M51" s="343"/>
      <c r="N51" s="344"/>
      <c r="O51" s="344"/>
      <c r="P51" s="344"/>
      <c r="Q51" s="344"/>
      <c r="R51" s="344"/>
      <c r="S51" s="344"/>
      <c r="T51" s="344"/>
      <c r="U51" s="354"/>
      <c r="V51" s="344"/>
      <c r="W51" s="344"/>
      <c r="X51" s="344"/>
      <c r="Y51" s="344"/>
      <c r="Z51" s="344"/>
      <c r="AA51" s="346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3"/>
      <c r="AO51" s="343"/>
      <c r="AP51" s="343"/>
    </row>
    <row r="52" spans="1:42">
      <c r="A52" s="437"/>
      <c r="B52" s="31" t="s">
        <v>47</v>
      </c>
      <c r="C52" s="39"/>
      <c r="D52" s="39" t="s">
        <v>217</v>
      </c>
      <c r="E52" s="355">
        <v>2</v>
      </c>
      <c r="F52" s="355">
        <v>1</v>
      </c>
      <c r="G52" s="347">
        <v>50</v>
      </c>
      <c r="H52" s="347"/>
      <c r="I52" s="347"/>
      <c r="J52" s="347"/>
      <c r="K52" s="347"/>
      <c r="L52" s="347"/>
      <c r="M52" s="347">
        <v>482</v>
      </c>
      <c r="N52" s="347">
        <v>369</v>
      </c>
      <c r="O52" s="347"/>
      <c r="P52" s="347"/>
      <c r="Q52" s="347"/>
      <c r="R52" s="347"/>
      <c r="S52" s="347"/>
      <c r="T52" s="347"/>
      <c r="U52" s="356"/>
      <c r="V52" s="347"/>
      <c r="W52" s="347"/>
      <c r="X52" s="347"/>
      <c r="Y52" s="347"/>
      <c r="Z52" s="347"/>
      <c r="AA52" s="349"/>
      <c r="AB52" s="347">
        <v>317</v>
      </c>
      <c r="AC52" s="347"/>
      <c r="AD52" s="347"/>
      <c r="AE52" s="347"/>
      <c r="AF52" s="347"/>
      <c r="AG52" s="347"/>
      <c r="AH52" s="347"/>
      <c r="AI52" s="347"/>
      <c r="AJ52" s="347"/>
      <c r="AK52" s="347"/>
      <c r="AL52" s="347"/>
      <c r="AM52" s="347"/>
      <c r="AN52" s="347">
        <v>0.4</v>
      </c>
      <c r="AO52" s="347"/>
      <c r="AP52" s="347"/>
    </row>
    <row r="53" spans="1:42">
      <c r="A53" s="435" t="s">
        <v>302</v>
      </c>
      <c r="B53" s="440" t="s">
        <v>113</v>
      </c>
      <c r="C53" s="441"/>
      <c r="D53" s="439"/>
      <c r="E53" s="350">
        <v>52</v>
      </c>
      <c r="F53" s="351">
        <v>40</v>
      </c>
      <c r="G53" s="340">
        <v>156</v>
      </c>
      <c r="H53" s="340"/>
      <c r="I53" s="340"/>
      <c r="J53" s="340"/>
      <c r="K53" s="339"/>
      <c r="L53" s="340"/>
      <c r="M53" s="339">
        <v>381</v>
      </c>
      <c r="N53" s="340">
        <v>334</v>
      </c>
      <c r="O53" s="340"/>
      <c r="P53" s="340"/>
      <c r="Q53" s="340"/>
      <c r="R53" s="340"/>
      <c r="S53" s="340"/>
      <c r="T53" s="340"/>
      <c r="U53" s="353"/>
      <c r="V53" s="340"/>
      <c r="W53" s="340"/>
      <c r="X53" s="340"/>
      <c r="Y53" s="340"/>
      <c r="Z53" s="340"/>
      <c r="AA53" s="342"/>
      <c r="AB53" s="340">
        <v>246</v>
      </c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39">
        <v>-3.7</v>
      </c>
      <c r="AO53" s="339"/>
      <c r="AP53" s="339"/>
    </row>
    <row r="54" spans="1:42">
      <c r="A54" s="436"/>
      <c r="B54" s="438" t="s">
        <v>49</v>
      </c>
      <c r="C54" s="439"/>
      <c r="D54" s="169" t="s">
        <v>114</v>
      </c>
      <c r="E54" s="350">
        <v>20</v>
      </c>
      <c r="F54" s="351">
        <v>14</v>
      </c>
      <c r="G54" s="344"/>
      <c r="H54" s="344"/>
      <c r="I54" s="344"/>
      <c r="J54" s="344"/>
      <c r="K54" s="343"/>
      <c r="L54" s="344"/>
      <c r="M54" s="343"/>
      <c r="N54" s="344"/>
      <c r="O54" s="344"/>
      <c r="P54" s="344"/>
      <c r="Q54" s="344"/>
      <c r="R54" s="344"/>
      <c r="S54" s="344"/>
      <c r="T54" s="344"/>
      <c r="U54" s="354"/>
      <c r="V54" s="344"/>
      <c r="W54" s="344"/>
      <c r="X54" s="344"/>
      <c r="Y54" s="344"/>
      <c r="Z54" s="344"/>
      <c r="AA54" s="346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344"/>
      <c r="AN54" s="343"/>
      <c r="AO54" s="343"/>
      <c r="AP54" s="343"/>
    </row>
    <row r="55" spans="1:42">
      <c r="A55" s="436"/>
      <c r="B55" s="444" t="s">
        <v>49</v>
      </c>
      <c r="C55" s="39"/>
      <c r="D55" s="39" t="s">
        <v>220</v>
      </c>
      <c r="E55" s="355">
        <v>13</v>
      </c>
      <c r="F55" s="355">
        <v>8</v>
      </c>
      <c r="G55" s="347">
        <v>18</v>
      </c>
      <c r="H55" s="347"/>
      <c r="I55" s="347"/>
      <c r="J55" s="347"/>
      <c r="K55" s="347"/>
      <c r="L55" s="347"/>
      <c r="M55" s="347">
        <v>66</v>
      </c>
      <c r="N55" s="347">
        <v>233</v>
      </c>
      <c r="O55" s="347"/>
      <c r="P55" s="347"/>
      <c r="Q55" s="347"/>
      <c r="R55" s="347"/>
      <c r="S55" s="347"/>
      <c r="T55" s="347"/>
      <c r="U55" s="356"/>
      <c r="V55" s="347"/>
      <c r="W55" s="347"/>
      <c r="X55" s="347"/>
      <c r="Y55" s="347"/>
      <c r="Z55" s="347"/>
      <c r="AA55" s="349"/>
      <c r="AB55" s="347">
        <v>467</v>
      </c>
      <c r="AC55" s="347"/>
      <c r="AD55" s="347"/>
      <c r="AE55" s="347"/>
      <c r="AF55" s="347"/>
      <c r="AG55" s="347"/>
      <c r="AH55" s="347"/>
      <c r="AI55" s="347"/>
      <c r="AJ55" s="347"/>
      <c r="AK55" s="347"/>
      <c r="AL55" s="347"/>
      <c r="AM55" s="347"/>
      <c r="AN55" s="347">
        <v>-0.8</v>
      </c>
      <c r="AO55" s="347"/>
      <c r="AP55" s="347"/>
    </row>
    <row r="56" spans="1:42">
      <c r="A56" s="436"/>
      <c r="B56" s="443"/>
      <c r="C56" s="39"/>
      <c r="D56" s="39" t="s">
        <v>221</v>
      </c>
      <c r="E56" s="355">
        <v>7</v>
      </c>
      <c r="F56" s="355">
        <v>6</v>
      </c>
      <c r="G56" s="347">
        <v>340</v>
      </c>
      <c r="H56" s="347"/>
      <c r="I56" s="347"/>
      <c r="J56" s="347"/>
      <c r="K56" s="347"/>
      <c r="L56" s="347"/>
      <c r="M56" s="347">
        <v>266</v>
      </c>
      <c r="N56" s="347">
        <v>454</v>
      </c>
      <c r="O56" s="347"/>
      <c r="P56" s="347"/>
      <c r="Q56" s="347"/>
      <c r="R56" s="347"/>
      <c r="S56" s="347"/>
      <c r="T56" s="347"/>
      <c r="U56" s="356"/>
      <c r="V56" s="347"/>
      <c r="W56" s="347"/>
      <c r="X56" s="347"/>
      <c r="Y56" s="347"/>
      <c r="Z56" s="347"/>
      <c r="AA56" s="349"/>
      <c r="AB56" s="347">
        <v>499</v>
      </c>
      <c r="AC56" s="347"/>
      <c r="AD56" s="347"/>
      <c r="AE56" s="347"/>
      <c r="AF56" s="347"/>
      <c r="AG56" s="347"/>
      <c r="AH56" s="347"/>
      <c r="AI56" s="347"/>
      <c r="AJ56" s="347"/>
      <c r="AK56" s="347"/>
      <c r="AL56" s="347"/>
      <c r="AM56" s="347"/>
      <c r="AN56" s="347">
        <v>2.8</v>
      </c>
      <c r="AO56" s="347"/>
      <c r="AP56" s="347"/>
    </row>
    <row r="57" spans="1:42" ht="16.5" customHeight="1">
      <c r="A57" s="436"/>
      <c r="B57" s="438" t="s">
        <v>50</v>
      </c>
      <c r="C57" s="439"/>
      <c r="D57" s="169" t="s">
        <v>114</v>
      </c>
      <c r="E57" s="350">
        <v>21</v>
      </c>
      <c r="F57" s="351">
        <v>18</v>
      </c>
      <c r="G57" s="344"/>
      <c r="H57" s="344"/>
      <c r="I57" s="344"/>
      <c r="J57" s="344"/>
      <c r="K57" s="343"/>
      <c r="L57" s="344"/>
      <c r="M57" s="343"/>
      <c r="N57" s="344"/>
      <c r="O57" s="344"/>
      <c r="P57" s="344"/>
      <c r="Q57" s="344"/>
      <c r="R57" s="344"/>
      <c r="S57" s="344"/>
      <c r="T57" s="344"/>
      <c r="U57" s="354"/>
      <c r="V57" s="344"/>
      <c r="W57" s="344"/>
      <c r="X57" s="344"/>
      <c r="Y57" s="344"/>
      <c r="Z57" s="344"/>
      <c r="AA57" s="346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4"/>
      <c r="AM57" s="344"/>
      <c r="AN57" s="343"/>
      <c r="AO57" s="343"/>
      <c r="AP57" s="343"/>
    </row>
    <row r="58" spans="1:42" ht="16.5" customHeight="1">
      <c r="A58" s="436"/>
      <c r="B58" s="31" t="s">
        <v>50</v>
      </c>
      <c r="C58" s="39"/>
      <c r="D58" s="39" t="s">
        <v>226</v>
      </c>
      <c r="E58" s="355">
        <v>21</v>
      </c>
      <c r="F58" s="355">
        <v>18</v>
      </c>
      <c r="G58" s="347">
        <v>323</v>
      </c>
      <c r="H58" s="347"/>
      <c r="I58" s="347"/>
      <c r="J58" s="347"/>
      <c r="K58" s="347"/>
      <c r="L58" s="347"/>
      <c r="M58" s="347">
        <v>40</v>
      </c>
      <c r="N58" s="347">
        <v>92</v>
      </c>
      <c r="O58" s="347"/>
      <c r="P58" s="347"/>
      <c r="Q58" s="347"/>
      <c r="R58" s="347"/>
      <c r="S58" s="347"/>
      <c r="T58" s="347"/>
      <c r="U58" s="356"/>
      <c r="V58" s="347"/>
      <c r="W58" s="347"/>
      <c r="X58" s="347"/>
      <c r="Y58" s="347"/>
      <c r="Z58" s="347"/>
      <c r="AA58" s="349"/>
      <c r="AB58" s="347">
        <v>365</v>
      </c>
      <c r="AC58" s="347"/>
      <c r="AD58" s="347"/>
      <c r="AE58" s="347"/>
      <c r="AF58" s="347"/>
      <c r="AG58" s="347"/>
      <c r="AH58" s="347"/>
      <c r="AI58" s="347"/>
      <c r="AJ58" s="347"/>
      <c r="AK58" s="347"/>
      <c r="AL58" s="347"/>
      <c r="AM58" s="347"/>
      <c r="AN58" s="347">
        <v>2.2000000000000002</v>
      </c>
      <c r="AO58" s="347"/>
      <c r="AP58" s="347"/>
    </row>
    <row r="59" spans="1:42">
      <c r="A59" s="436"/>
      <c r="B59" s="438" t="s">
        <v>303</v>
      </c>
      <c r="C59" s="439"/>
      <c r="D59" s="169" t="s">
        <v>114</v>
      </c>
      <c r="E59" s="350">
        <v>11</v>
      </c>
      <c r="F59" s="351">
        <v>8</v>
      </c>
      <c r="G59" s="344"/>
      <c r="H59" s="344"/>
      <c r="I59" s="344"/>
      <c r="J59" s="344"/>
      <c r="K59" s="343"/>
      <c r="L59" s="344"/>
      <c r="M59" s="343"/>
      <c r="N59" s="344"/>
      <c r="O59" s="344"/>
      <c r="P59" s="344"/>
      <c r="Q59" s="344"/>
      <c r="R59" s="344"/>
      <c r="S59" s="344"/>
      <c r="T59" s="344"/>
      <c r="U59" s="354"/>
      <c r="V59" s="344"/>
      <c r="W59" s="344"/>
      <c r="X59" s="344"/>
      <c r="Y59" s="344"/>
      <c r="Z59" s="344"/>
      <c r="AA59" s="346"/>
      <c r="AB59" s="344"/>
      <c r="AC59" s="344"/>
      <c r="AD59" s="344"/>
      <c r="AE59" s="344"/>
      <c r="AF59" s="344"/>
      <c r="AG59" s="344"/>
      <c r="AH59" s="344"/>
      <c r="AI59" s="344"/>
      <c r="AJ59" s="344"/>
      <c r="AK59" s="344"/>
      <c r="AL59" s="344"/>
      <c r="AM59" s="344"/>
      <c r="AN59" s="343"/>
      <c r="AO59" s="343"/>
      <c r="AP59" s="343"/>
    </row>
    <row r="60" spans="1:42" ht="16.5" customHeight="1">
      <c r="A60" s="437"/>
      <c r="B60" s="31" t="s">
        <v>303</v>
      </c>
      <c r="C60" s="39"/>
      <c r="D60" s="39" t="s">
        <v>231</v>
      </c>
      <c r="E60" s="355">
        <v>11</v>
      </c>
      <c r="F60" s="355">
        <v>8</v>
      </c>
      <c r="G60" s="347">
        <v>487</v>
      </c>
      <c r="H60" s="347"/>
      <c r="I60" s="347"/>
      <c r="J60" s="347"/>
      <c r="K60" s="347"/>
      <c r="L60" s="347"/>
      <c r="M60" s="347">
        <v>455</v>
      </c>
      <c r="N60" s="347">
        <v>47</v>
      </c>
      <c r="O60" s="347"/>
      <c r="P60" s="347"/>
      <c r="Q60" s="347"/>
      <c r="R60" s="347"/>
      <c r="S60" s="347"/>
      <c r="T60" s="347"/>
      <c r="U60" s="356"/>
      <c r="V60" s="347"/>
      <c r="W60" s="347"/>
      <c r="X60" s="347"/>
      <c r="Y60" s="347"/>
      <c r="Z60" s="347"/>
      <c r="AA60" s="349"/>
      <c r="AB60" s="347">
        <v>385</v>
      </c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>
        <v>-4.8</v>
      </c>
      <c r="AO60" s="347"/>
      <c r="AP60" s="347"/>
    </row>
    <row r="61" spans="1:42" ht="16.5" customHeight="1">
      <c r="A61" s="435" t="s">
        <v>305</v>
      </c>
      <c r="B61" s="440" t="s">
        <v>113</v>
      </c>
      <c r="C61" s="441"/>
      <c r="D61" s="439"/>
      <c r="E61" s="350">
        <v>61</v>
      </c>
      <c r="F61" s="351">
        <v>51</v>
      </c>
      <c r="G61" s="340">
        <v>74</v>
      </c>
      <c r="H61" s="340"/>
      <c r="I61" s="340"/>
      <c r="J61" s="340"/>
      <c r="K61" s="339"/>
      <c r="L61" s="340"/>
      <c r="M61" s="339">
        <v>187</v>
      </c>
      <c r="N61" s="340">
        <v>324</v>
      </c>
      <c r="O61" s="340"/>
      <c r="P61" s="340"/>
      <c r="Q61" s="340"/>
      <c r="R61" s="340"/>
      <c r="S61" s="340"/>
      <c r="T61" s="340"/>
      <c r="U61" s="353"/>
      <c r="V61" s="340"/>
      <c r="W61" s="340"/>
      <c r="X61" s="340"/>
      <c r="Y61" s="340"/>
      <c r="Z61" s="340"/>
      <c r="AA61" s="342"/>
      <c r="AB61" s="340">
        <v>21</v>
      </c>
      <c r="AC61" s="340"/>
      <c r="AD61" s="340"/>
      <c r="AE61" s="340"/>
      <c r="AF61" s="340"/>
      <c r="AG61" s="340"/>
      <c r="AH61" s="340"/>
      <c r="AI61" s="340"/>
      <c r="AJ61" s="340"/>
      <c r="AK61" s="340"/>
      <c r="AL61" s="340"/>
      <c r="AM61" s="340"/>
      <c r="AN61" s="339">
        <v>1.1000000000000001</v>
      </c>
      <c r="AO61" s="339"/>
      <c r="AP61" s="339"/>
    </row>
    <row r="62" spans="1:42">
      <c r="A62" s="437"/>
      <c r="B62" s="438" t="s">
        <v>54</v>
      </c>
      <c r="C62" s="439"/>
      <c r="D62" s="169" t="s">
        <v>114</v>
      </c>
      <c r="E62" s="350">
        <v>26</v>
      </c>
      <c r="F62" s="351">
        <v>25</v>
      </c>
      <c r="G62" s="344"/>
      <c r="H62" s="344"/>
      <c r="I62" s="344"/>
      <c r="J62" s="344"/>
      <c r="K62" s="343"/>
      <c r="L62" s="344"/>
      <c r="M62" s="343"/>
      <c r="N62" s="344"/>
      <c r="O62" s="344"/>
      <c r="P62" s="344"/>
      <c r="Q62" s="344"/>
      <c r="R62" s="344"/>
      <c r="S62" s="344"/>
      <c r="T62" s="344"/>
      <c r="U62" s="354"/>
      <c r="V62" s="344"/>
      <c r="W62" s="344"/>
      <c r="X62" s="344"/>
      <c r="Y62" s="344"/>
      <c r="Z62" s="344"/>
      <c r="AA62" s="346"/>
      <c r="AB62" s="344"/>
      <c r="AC62" s="344"/>
      <c r="AD62" s="344"/>
      <c r="AE62" s="344"/>
      <c r="AF62" s="344"/>
      <c r="AG62" s="344"/>
      <c r="AH62" s="344"/>
      <c r="AI62" s="344"/>
      <c r="AJ62" s="344"/>
      <c r="AK62" s="344"/>
      <c r="AL62" s="344"/>
      <c r="AM62" s="344"/>
      <c r="AN62" s="343"/>
      <c r="AO62" s="343"/>
      <c r="AP62" s="343"/>
    </row>
    <row r="63" spans="1:42">
      <c r="A63" s="435" t="s">
        <v>305</v>
      </c>
      <c r="B63" s="31" t="s">
        <v>54</v>
      </c>
      <c r="C63" s="39"/>
      <c r="D63" s="39" t="s">
        <v>168</v>
      </c>
      <c r="E63" s="355">
        <v>26</v>
      </c>
      <c r="F63" s="355">
        <v>25</v>
      </c>
      <c r="G63" s="347">
        <v>233</v>
      </c>
      <c r="H63" s="347"/>
      <c r="I63" s="347"/>
      <c r="J63" s="347"/>
      <c r="K63" s="347"/>
      <c r="L63" s="347"/>
      <c r="M63" s="347">
        <v>68</v>
      </c>
      <c r="N63" s="347">
        <v>329</v>
      </c>
      <c r="O63" s="347"/>
      <c r="P63" s="347"/>
      <c r="Q63" s="347"/>
      <c r="R63" s="347"/>
      <c r="S63" s="347"/>
      <c r="T63" s="347"/>
      <c r="U63" s="356"/>
      <c r="V63" s="347"/>
      <c r="W63" s="347"/>
      <c r="X63" s="347"/>
      <c r="Y63" s="347"/>
      <c r="Z63" s="347"/>
      <c r="AA63" s="349"/>
      <c r="AB63" s="347">
        <v>418</v>
      </c>
      <c r="AC63" s="347"/>
      <c r="AD63" s="347"/>
      <c r="AE63" s="347"/>
      <c r="AF63" s="347"/>
      <c r="AG63" s="347"/>
      <c r="AH63" s="347"/>
      <c r="AI63" s="347"/>
      <c r="AJ63" s="347"/>
      <c r="AK63" s="347"/>
      <c r="AL63" s="347"/>
      <c r="AM63" s="347"/>
      <c r="AN63" s="347">
        <v>0.2</v>
      </c>
      <c r="AO63" s="347"/>
      <c r="AP63" s="347"/>
    </row>
    <row r="64" spans="1:42">
      <c r="A64" s="436"/>
      <c r="B64" s="438" t="s">
        <v>55</v>
      </c>
      <c r="C64" s="439"/>
      <c r="D64" s="169" t="s">
        <v>114</v>
      </c>
      <c r="E64" s="350">
        <v>22</v>
      </c>
      <c r="F64" s="351">
        <v>18</v>
      </c>
      <c r="G64" s="344"/>
      <c r="H64" s="344"/>
      <c r="I64" s="344"/>
      <c r="J64" s="344"/>
      <c r="K64" s="343"/>
      <c r="L64" s="344"/>
      <c r="M64" s="343"/>
      <c r="N64" s="344"/>
      <c r="O64" s="344"/>
      <c r="P64" s="344"/>
      <c r="Q64" s="344"/>
      <c r="R64" s="344"/>
      <c r="S64" s="344"/>
      <c r="T64" s="344"/>
      <c r="U64" s="354"/>
      <c r="V64" s="344"/>
      <c r="W64" s="344"/>
      <c r="X64" s="344"/>
      <c r="Y64" s="344"/>
      <c r="Z64" s="344"/>
      <c r="AA64" s="346"/>
      <c r="AB64" s="344"/>
      <c r="AC64" s="344"/>
      <c r="AD64" s="344"/>
      <c r="AE64" s="344"/>
      <c r="AF64" s="344"/>
      <c r="AG64" s="344"/>
      <c r="AH64" s="344"/>
      <c r="AI64" s="344"/>
      <c r="AJ64" s="344"/>
      <c r="AK64" s="344"/>
      <c r="AL64" s="344"/>
      <c r="AM64" s="344"/>
      <c r="AN64" s="343"/>
      <c r="AO64" s="343"/>
      <c r="AP64" s="343"/>
    </row>
    <row r="65" spans="1:42">
      <c r="A65" s="436"/>
      <c r="B65" s="31" t="s">
        <v>55</v>
      </c>
      <c r="C65" s="39"/>
      <c r="D65" s="39" t="s">
        <v>238</v>
      </c>
      <c r="E65" s="355">
        <v>22</v>
      </c>
      <c r="F65" s="355">
        <v>18</v>
      </c>
      <c r="G65" s="347">
        <v>274</v>
      </c>
      <c r="H65" s="347"/>
      <c r="I65" s="347"/>
      <c r="J65" s="347"/>
      <c r="K65" s="347"/>
      <c r="L65" s="347"/>
      <c r="M65" s="347">
        <v>181</v>
      </c>
      <c r="N65" s="347">
        <v>407</v>
      </c>
      <c r="O65" s="347"/>
      <c r="P65" s="347"/>
      <c r="Q65" s="347"/>
      <c r="R65" s="347"/>
      <c r="S65" s="347"/>
      <c r="T65" s="347"/>
      <c r="U65" s="356"/>
      <c r="V65" s="347"/>
      <c r="W65" s="347"/>
      <c r="X65" s="347"/>
      <c r="Y65" s="347"/>
      <c r="Z65" s="347"/>
      <c r="AA65" s="349"/>
      <c r="AB65" s="347">
        <v>437</v>
      </c>
      <c r="AC65" s="347"/>
      <c r="AD65" s="347"/>
      <c r="AE65" s="347"/>
      <c r="AF65" s="347"/>
      <c r="AG65" s="347"/>
      <c r="AH65" s="347"/>
      <c r="AI65" s="347"/>
      <c r="AJ65" s="347"/>
      <c r="AK65" s="347"/>
      <c r="AL65" s="347"/>
      <c r="AM65" s="347"/>
      <c r="AN65" s="347">
        <v>-0.1</v>
      </c>
      <c r="AO65" s="347"/>
      <c r="AP65" s="347"/>
    </row>
    <row r="66" spans="1:42">
      <c r="A66" s="436"/>
      <c r="B66" s="460" t="s">
        <v>57</v>
      </c>
      <c r="C66" s="439"/>
      <c r="D66" s="37" t="s">
        <v>114</v>
      </c>
      <c r="E66" s="351">
        <v>5</v>
      </c>
      <c r="F66" s="351">
        <v>4</v>
      </c>
      <c r="G66" s="344"/>
      <c r="H66" s="344"/>
      <c r="I66" s="344"/>
      <c r="J66" s="344"/>
      <c r="K66" s="343"/>
      <c r="L66" s="344"/>
      <c r="M66" s="343"/>
      <c r="N66" s="344"/>
      <c r="O66" s="344"/>
      <c r="P66" s="344"/>
      <c r="Q66" s="344"/>
      <c r="R66" s="344"/>
      <c r="S66" s="344"/>
      <c r="T66" s="344"/>
      <c r="U66" s="354"/>
      <c r="V66" s="344"/>
      <c r="W66" s="344"/>
      <c r="X66" s="344"/>
      <c r="Y66" s="344"/>
      <c r="Z66" s="344"/>
      <c r="AA66" s="346"/>
      <c r="AB66" s="344"/>
      <c r="AC66" s="344"/>
      <c r="AD66" s="344"/>
      <c r="AE66" s="344"/>
      <c r="AF66" s="344"/>
      <c r="AG66" s="344"/>
      <c r="AH66" s="344"/>
      <c r="AI66" s="344"/>
      <c r="AJ66" s="344"/>
      <c r="AK66" s="344"/>
      <c r="AL66" s="344"/>
      <c r="AM66" s="344"/>
      <c r="AN66" s="343"/>
      <c r="AO66" s="343"/>
      <c r="AP66" s="343"/>
    </row>
    <row r="67" spans="1:42">
      <c r="A67" s="436"/>
      <c r="B67" s="38" t="s">
        <v>57</v>
      </c>
      <c r="C67" s="39"/>
      <c r="D67" s="39" t="s">
        <v>242</v>
      </c>
      <c r="E67" s="355">
        <v>5</v>
      </c>
      <c r="F67" s="355">
        <v>4</v>
      </c>
      <c r="G67" s="347">
        <v>163</v>
      </c>
      <c r="H67" s="347"/>
      <c r="I67" s="347"/>
      <c r="J67" s="347"/>
      <c r="K67" s="347"/>
      <c r="L67" s="347"/>
      <c r="M67" s="347">
        <v>107</v>
      </c>
      <c r="N67" s="347">
        <v>192</v>
      </c>
      <c r="O67" s="347"/>
      <c r="P67" s="347"/>
      <c r="Q67" s="347"/>
      <c r="R67" s="347"/>
      <c r="S67" s="347"/>
      <c r="T67" s="347"/>
      <c r="U67" s="356"/>
      <c r="V67" s="347"/>
      <c r="W67" s="347"/>
      <c r="X67" s="347"/>
      <c r="Y67" s="347"/>
      <c r="Z67" s="347"/>
      <c r="AA67" s="349"/>
      <c r="AB67" s="347">
        <v>276</v>
      </c>
      <c r="AC67" s="347"/>
      <c r="AD67" s="347"/>
      <c r="AE67" s="347"/>
      <c r="AF67" s="347"/>
      <c r="AG67" s="347"/>
      <c r="AH67" s="347"/>
      <c r="AI67" s="347"/>
      <c r="AJ67" s="347"/>
      <c r="AK67" s="347"/>
      <c r="AL67" s="347"/>
      <c r="AM67" s="347"/>
      <c r="AN67" s="347">
        <v>4.5</v>
      </c>
      <c r="AO67" s="347"/>
      <c r="AP67" s="347"/>
    </row>
    <row r="68" spans="1:42">
      <c r="A68" s="436"/>
      <c r="B68" s="438" t="s">
        <v>58</v>
      </c>
      <c r="C68" s="439"/>
      <c r="D68" s="169" t="s">
        <v>114</v>
      </c>
      <c r="E68" s="350">
        <v>8</v>
      </c>
      <c r="F68" s="351">
        <v>4</v>
      </c>
      <c r="G68" s="344"/>
      <c r="H68" s="344"/>
      <c r="I68" s="344"/>
      <c r="J68" s="344"/>
      <c r="K68" s="343"/>
      <c r="L68" s="344"/>
      <c r="M68" s="343"/>
      <c r="N68" s="344"/>
      <c r="O68" s="344"/>
      <c r="P68" s="344"/>
      <c r="Q68" s="344"/>
      <c r="R68" s="344"/>
      <c r="S68" s="344"/>
      <c r="T68" s="344"/>
      <c r="U68" s="354"/>
      <c r="V68" s="344"/>
      <c r="W68" s="344"/>
      <c r="X68" s="344"/>
      <c r="Y68" s="344"/>
      <c r="Z68" s="344"/>
      <c r="AA68" s="346"/>
      <c r="AB68" s="344"/>
      <c r="AC68" s="344"/>
      <c r="AD68" s="344"/>
      <c r="AE68" s="344"/>
      <c r="AF68" s="344"/>
      <c r="AG68" s="344"/>
      <c r="AH68" s="344"/>
      <c r="AI68" s="344"/>
      <c r="AJ68" s="344"/>
      <c r="AK68" s="344"/>
      <c r="AL68" s="344"/>
      <c r="AM68" s="344"/>
      <c r="AN68" s="343"/>
      <c r="AO68" s="343"/>
      <c r="AP68" s="343"/>
    </row>
    <row r="69" spans="1:42">
      <c r="A69" s="437"/>
      <c r="B69" s="31" t="s">
        <v>58</v>
      </c>
      <c r="C69" s="39"/>
      <c r="D69" s="39" t="s">
        <v>168</v>
      </c>
      <c r="E69" s="355">
        <v>8</v>
      </c>
      <c r="F69" s="355">
        <v>4</v>
      </c>
      <c r="G69" s="347">
        <v>104</v>
      </c>
      <c r="H69" s="347"/>
      <c r="I69" s="347"/>
      <c r="J69" s="347"/>
      <c r="K69" s="347"/>
      <c r="L69" s="347"/>
      <c r="M69" s="347">
        <v>217</v>
      </c>
      <c r="N69" s="347">
        <v>267</v>
      </c>
      <c r="O69" s="347"/>
      <c r="P69" s="347"/>
      <c r="Q69" s="347"/>
      <c r="R69" s="347"/>
      <c r="S69" s="347"/>
      <c r="T69" s="347"/>
      <c r="U69" s="356"/>
      <c r="V69" s="347"/>
      <c r="W69" s="347"/>
      <c r="X69" s="347"/>
      <c r="Y69" s="347"/>
      <c r="Z69" s="347"/>
      <c r="AA69" s="349"/>
      <c r="AB69" s="347">
        <v>374</v>
      </c>
      <c r="AC69" s="347"/>
      <c r="AD69" s="347"/>
      <c r="AE69" s="347"/>
      <c r="AF69" s="347"/>
      <c r="AG69" s="347"/>
      <c r="AH69" s="347"/>
      <c r="AI69" s="347"/>
      <c r="AJ69" s="347"/>
      <c r="AK69" s="347"/>
      <c r="AL69" s="347"/>
      <c r="AM69" s="347"/>
      <c r="AN69" s="347">
        <v>3.9</v>
      </c>
      <c r="AO69" s="347"/>
      <c r="AP69" s="347"/>
    </row>
    <row r="70" spans="1:42">
      <c r="A70" s="435" t="s">
        <v>306</v>
      </c>
      <c r="B70" s="440" t="s">
        <v>113</v>
      </c>
      <c r="C70" s="441"/>
      <c r="D70" s="439"/>
      <c r="E70" s="350">
        <v>37</v>
      </c>
      <c r="F70" s="351">
        <v>24</v>
      </c>
      <c r="G70" s="340">
        <v>154</v>
      </c>
      <c r="H70" s="340"/>
      <c r="I70" s="340"/>
      <c r="J70" s="340"/>
      <c r="K70" s="339"/>
      <c r="L70" s="340"/>
      <c r="M70" s="339">
        <v>51</v>
      </c>
      <c r="N70" s="340">
        <v>490</v>
      </c>
      <c r="O70" s="340"/>
      <c r="P70" s="340"/>
      <c r="Q70" s="340"/>
      <c r="R70" s="340"/>
      <c r="S70" s="340"/>
      <c r="T70" s="340"/>
      <c r="U70" s="353"/>
      <c r="V70" s="340"/>
      <c r="W70" s="340"/>
      <c r="X70" s="340"/>
      <c r="Y70" s="340"/>
      <c r="Z70" s="340"/>
      <c r="AA70" s="342"/>
      <c r="AB70" s="340">
        <v>471</v>
      </c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39">
        <v>-2.2999999999999998</v>
      </c>
      <c r="AO70" s="339"/>
      <c r="AP70" s="339"/>
    </row>
    <row r="71" spans="1:42">
      <c r="A71" s="436"/>
      <c r="B71" s="438" t="s">
        <v>61</v>
      </c>
      <c r="C71" s="439"/>
      <c r="D71" s="169" t="s">
        <v>114</v>
      </c>
      <c r="E71" s="350">
        <v>19</v>
      </c>
      <c r="F71" s="351">
        <v>14</v>
      </c>
      <c r="G71" s="344"/>
      <c r="H71" s="344"/>
      <c r="I71" s="344"/>
      <c r="J71" s="344"/>
      <c r="K71" s="343"/>
      <c r="L71" s="344"/>
      <c r="M71" s="343"/>
      <c r="N71" s="344"/>
      <c r="O71" s="344"/>
      <c r="P71" s="344"/>
      <c r="Q71" s="344"/>
      <c r="R71" s="344"/>
      <c r="S71" s="344"/>
      <c r="T71" s="344"/>
      <c r="U71" s="354"/>
      <c r="V71" s="344"/>
      <c r="W71" s="344"/>
      <c r="X71" s="344"/>
      <c r="Y71" s="344"/>
      <c r="Z71" s="344"/>
      <c r="AA71" s="346"/>
      <c r="AB71" s="344"/>
      <c r="AC71" s="344"/>
      <c r="AD71" s="344"/>
      <c r="AE71" s="344"/>
      <c r="AF71" s="344"/>
      <c r="AG71" s="344"/>
      <c r="AH71" s="344"/>
      <c r="AI71" s="344"/>
      <c r="AJ71" s="344"/>
      <c r="AK71" s="344"/>
      <c r="AL71" s="344"/>
      <c r="AM71" s="344"/>
      <c r="AN71" s="343"/>
      <c r="AO71" s="343"/>
      <c r="AP71" s="343"/>
    </row>
    <row r="72" spans="1:42">
      <c r="A72" s="436"/>
      <c r="B72" s="31" t="s">
        <v>61</v>
      </c>
      <c r="C72" s="39"/>
      <c r="D72" s="39" t="s">
        <v>253</v>
      </c>
      <c r="E72" s="355">
        <v>19</v>
      </c>
      <c r="F72" s="355">
        <v>14</v>
      </c>
      <c r="G72" s="347">
        <v>193</v>
      </c>
      <c r="H72" s="347"/>
      <c r="I72" s="347"/>
      <c r="J72" s="347"/>
      <c r="K72" s="347"/>
      <c r="L72" s="347"/>
      <c r="M72" s="347">
        <v>308</v>
      </c>
      <c r="N72" s="347">
        <v>479</v>
      </c>
      <c r="O72" s="347"/>
      <c r="P72" s="347"/>
      <c r="Q72" s="347"/>
      <c r="R72" s="347"/>
      <c r="S72" s="347"/>
      <c r="T72" s="347"/>
      <c r="U72" s="356"/>
      <c r="V72" s="347"/>
      <c r="W72" s="347"/>
      <c r="X72" s="347"/>
      <c r="Y72" s="347"/>
      <c r="Z72" s="347"/>
      <c r="AA72" s="349"/>
      <c r="AB72" s="347">
        <v>369</v>
      </c>
      <c r="AC72" s="347"/>
      <c r="AD72" s="347"/>
      <c r="AE72" s="347"/>
      <c r="AF72" s="347"/>
      <c r="AG72" s="347"/>
      <c r="AH72" s="347"/>
      <c r="AI72" s="347"/>
      <c r="AJ72" s="347"/>
      <c r="AK72" s="347"/>
      <c r="AL72" s="347"/>
      <c r="AM72" s="347"/>
      <c r="AN72" s="347">
        <v>7.4</v>
      </c>
      <c r="AO72" s="347"/>
      <c r="AP72" s="347"/>
    </row>
    <row r="73" spans="1:42">
      <c r="A73" s="436"/>
      <c r="B73" s="438" t="s">
        <v>307</v>
      </c>
      <c r="C73" s="439"/>
      <c r="D73" s="169" t="s">
        <v>114</v>
      </c>
      <c r="E73" s="350">
        <v>18</v>
      </c>
      <c r="F73" s="351">
        <v>10</v>
      </c>
      <c r="G73" s="344"/>
      <c r="H73" s="344"/>
      <c r="I73" s="344"/>
      <c r="J73" s="344"/>
      <c r="K73" s="343"/>
      <c r="L73" s="344"/>
      <c r="M73" s="343"/>
      <c r="N73" s="344"/>
      <c r="O73" s="344"/>
      <c r="P73" s="344"/>
      <c r="Q73" s="344"/>
      <c r="R73" s="344"/>
      <c r="S73" s="344"/>
      <c r="T73" s="344"/>
      <c r="U73" s="354"/>
      <c r="V73" s="344"/>
      <c r="W73" s="344"/>
      <c r="X73" s="344"/>
      <c r="Y73" s="344"/>
      <c r="Z73" s="344"/>
      <c r="AA73" s="346"/>
      <c r="AB73" s="344"/>
      <c r="AC73" s="344"/>
      <c r="AD73" s="344"/>
      <c r="AE73" s="344"/>
      <c r="AF73" s="344"/>
      <c r="AG73" s="344"/>
      <c r="AH73" s="344"/>
      <c r="AI73" s="344"/>
      <c r="AJ73" s="344"/>
      <c r="AK73" s="344"/>
      <c r="AL73" s="344"/>
      <c r="AM73" s="344"/>
      <c r="AN73" s="343"/>
      <c r="AO73" s="343"/>
      <c r="AP73" s="343"/>
    </row>
    <row r="74" spans="1:42" ht="19.5" customHeight="1">
      <c r="A74" s="437"/>
      <c r="B74" s="31" t="s">
        <v>307</v>
      </c>
      <c r="C74" s="39"/>
      <c r="D74" s="39" t="s">
        <v>261</v>
      </c>
      <c r="E74" s="355">
        <v>18</v>
      </c>
      <c r="F74" s="355">
        <v>10</v>
      </c>
      <c r="G74" s="347">
        <v>371</v>
      </c>
      <c r="H74" s="347"/>
      <c r="I74" s="347"/>
      <c r="J74" s="347"/>
      <c r="K74" s="347"/>
      <c r="L74" s="347"/>
      <c r="M74" s="347">
        <v>225</v>
      </c>
      <c r="N74" s="347">
        <v>131</v>
      </c>
      <c r="O74" s="347"/>
      <c r="P74" s="347"/>
      <c r="Q74" s="347"/>
      <c r="R74" s="347"/>
      <c r="S74" s="347"/>
      <c r="T74" s="347"/>
      <c r="U74" s="356"/>
      <c r="V74" s="347"/>
      <c r="W74" s="347"/>
      <c r="X74" s="347"/>
      <c r="Y74" s="347"/>
      <c r="Z74" s="347"/>
      <c r="AA74" s="349"/>
      <c r="AB74" s="347">
        <v>394</v>
      </c>
      <c r="AC74" s="347"/>
      <c r="AD74" s="347"/>
      <c r="AE74" s="347"/>
      <c r="AF74" s="347"/>
      <c r="AG74" s="347"/>
      <c r="AH74" s="347"/>
      <c r="AI74" s="347"/>
      <c r="AJ74" s="347"/>
      <c r="AK74" s="347"/>
      <c r="AL74" s="347"/>
      <c r="AM74" s="347"/>
      <c r="AN74" s="347">
        <v>-0.7</v>
      </c>
      <c r="AO74" s="347"/>
      <c r="AP74" s="347"/>
    </row>
  </sheetData>
  <mergeCells count="76">
    <mergeCell ref="AN1:AP2"/>
    <mergeCell ref="B34:C34"/>
    <mergeCell ref="B55:B56"/>
    <mergeCell ref="AA2:AA3"/>
    <mergeCell ref="AC2:AC3"/>
    <mergeCell ref="E1:E3"/>
    <mergeCell ref="AI2:AI3"/>
    <mergeCell ref="B40:B41"/>
    <mergeCell ref="AK2:AK3"/>
    <mergeCell ref="M1:M3"/>
    <mergeCell ref="N2:T2"/>
    <mergeCell ref="AM2:AM3"/>
    <mergeCell ref="B16:D16"/>
    <mergeCell ref="B49:C49"/>
    <mergeCell ref="B6:C6"/>
    <mergeCell ref="B24:C24"/>
    <mergeCell ref="B73:C73"/>
    <mergeCell ref="B13:C13"/>
    <mergeCell ref="B33:D33"/>
    <mergeCell ref="A1:A3"/>
    <mergeCell ref="N1:AA1"/>
    <mergeCell ref="B5:D5"/>
    <mergeCell ref="B29:C29"/>
    <mergeCell ref="A42:A52"/>
    <mergeCell ref="A16:A27"/>
    <mergeCell ref="B1:B3"/>
    <mergeCell ref="A70:A74"/>
    <mergeCell ref="C1:C3"/>
    <mergeCell ref="B64:C64"/>
    <mergeCell ref="B68:C68"/>
    <mergeCell ref="B51:C51"/>
    <mergeCell ref="B45:C45"/>
    <mergeCell ref="A63:A69"/>
    <mergeCell ref="B17:C17"/>
    <mergeCell ref="AD2:AD3"/>
    <mergeCell ref="B57:C57"/>
    <mergeCell ref="AF2:AF3"/>
    <mergeCell ref="A5:A15"/>
    <mergeCell ref="B37:B38"/>
    <mergeCell ref="A53:A60"/>
    <mergeCell ref="B36:C36"/>
    <mergeCell ref="B7:B10"/>
    <mergeCell ref="B26:C26"/>
    <mergeCell ref="B71:C71"/>
    <mergeCell ref="AG2:AG3"/>
    <mergeCell ref="B14:B15"/>
    <mergeCell ref="B43:C43"/>
    <mergeCell ref="B39:C39"/>
    <mergeCell ref="B28:D28"/>
    <mergeCell ref="D1:D3"/>
    <mergeCell ref="B18:B23"/>
    <mergeCell ref="F1:F3"/>
    <mergeCell ref="B11:C11"/>
    <mergeCell ref="AB2:AB3"/>
    <mergeCell ref="B70:D70"/>
    <mergeCell ref="B66:C66"/>
    <mergeCell ref="B53:D53"/>
    <mergeCell ref="B31:C31"/>
    <mergeCell ref="AE2:AE3"/>
    <mergeCell ref="U2:U3"/>
    <mergeCell ref="A61:A62"/>
    <mergeCell ref="B62:C62"/>
    <mergeCell ref="B61:D61"/>
    <mergeCell ref="V2:Z2"/>
    <mergeCell ref="A4:D4"/>
    <mergeCell ref="B59:C59"/>
    <mergeCell ref="A33:A41"/>
    <mergeCell ref="A28:A32"/>
    <mergeCell ref="B42:D42"/>
    <mergeCell ref="B47:C47"/>
    <mergeCell ref="G1:L2"/>
    <mergeCell ref="B54:C54"/>
    <mergeCell ref="AB1:AM1"/>
    <mergeCell ref="AH2:AH3"/>
    <mergeCell ref="AJ2:AJ3"/>
    <mergeCell ref="AL2:AL3"/>
  </mergeCells>
  <phoneticPr fontId="4" type="noConversion"/>
  <pageMargins left="0.19685039370078741" right="0.19685039370078741" top="0.59055118110236215" bottom="0.39370078740157483" header="0" footer="0"/>
  <pageSetup paperSize="12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644"/>
  <sheetViews>
    <sheetView zoomScale="130" zoomScaleNormal="130" workbookViewId="0">
      <selection activeCell="AB7" sqref="AB7"/>
    </sheetView>
  </sheetViews>
  <sheetFormatPr defaultRowHeight="16.5"/>
  <cols>
    <col min="1" max="1" width="8" style="35" customWidth="1"/>
    <col min="2" max="3" width="7" style="35" customWidth="1"/>
    <col min="4" max="4" width="9.375" style="35" customWidth="1"/>
    <col min="5" max="6" width="4.75" style="35" customWidth="1"/>
    <col min="7" max="7" width="3.75" style="35" customWidth="1"/>
    <col min="8" max="12" width="3.25" style="35" customWidth="1"/>
    <col min="13" max="13" width="5.125" style="36" customWidth="1"/>
    <col min="14" max="14" width="3.75" style="36" customWidth="1"/>
    <col min="15" max="20" width="3.25" style="35" customWidth="1"/>
    <col min="21" max="21" width="4.75" style="36" customWidth="1"/>
    <col min="22" max="22" width="3.75" style="35" customWidth="1"/>
    <col min="23" max="26" width="3.25" style="35" customWidth="1"/>
    <col min="27" max="27" width="4.75" style="35" customWidth="1"/>
    <col min="28" max="28" width="4.25" style="35" customWidth="1"/>
    <col min="29" max="29" width="3.75" style="35" customWidth="1"/>
    <col min="30" max="40" width="3.25" style="35" customWidth="1"/>
    <col min="41" max="41" width="2.875" style="35" customWidth="1"/>
    <col min="42" max="42" width="3.25" style="35" customWidth="1"/>
    <col min="43" max="256" width="9" style="35" customWidth="1"/>
    <col min="257" max="257" width="8" style="35" customWidth="1"/>
    <col min="258" max="259" width="7" style="35" customWidth="1"/>
    <col min="260" max="260" width="9.375" style="35" customWidth="1"/>
    <col min="261" max="262" width="4.75" style="35" customWidth="1"/>
    <col min="263" max="263" width="3.75" style="35" customWidth="1"/>
    <col min="264" max="268" width="3.25" style="35" customWidth="1"/>
    <col min="269" max="269" width="5.125" style="35" customWidth="1"/>
    <col min="270" max="270" width="3.75" style="35" customWidth="1"/>
    <col min="271" max="276" width="3.25" style="35" customWidth="1"/>
    <col min="277" max="277" width="4.75" style="35" customWidth="1"/>
    <col min="278" max="278" width="3.75" style="35" customWidth="1"/>
    <col min="279" max="282" width="3.25" style="35" customWidth="1"/>
    <col min="283" max="283" width="4.75" style="35" customWidth="1"/>
    <col min="284" max="284" width="4.25" style="35" customWidth="1"/>
    <col min="285" max="285" width="3.75" style="35" customWidth="1"/>
    <col min="286" max="296" width="3.25" style="35" customWidth="1"/>
    <col min="297" max="297" width="2.875" style="35" customWidth="1"/>
    <col min="298" max="298" width="3.25" style="35" customWidth="1"/>
    <col min="299" max="512" width="9" style="35" customWidth="1"/>
    <col min="513" max="513" width="8" style="35" customWidth="1"/>
    <col min="514" max="515" width="7" style="35" customWidth="1"/>
    <col min="516" max="516" width="9.375" style="35" customWidth="1"/>
    <col min="517" max="518" width="4.75" style="35" customWidth="1"/>
    <col min="519" max="519" width="3.75" style="35" customWidth="1"/>
    <col min="520" max="524" width="3.25" style="35" customWidth="1"/>
    <col min="525" max="525" width="5.125" style="35" customWidth="1"/>
    <col min="526" max="526" width="3.75" style="35" customWidth="1"/>
    <col min="527" max="532" width="3.25" style="35" customWidth="1"/>
    <col min="533" max="533" width="4.75" style="35" customWidth="1"/>
    <col min="534" max="534" width="3.75" style="35" customWidth="1"/>
    <col min="535" max="538" width="3.25" style="35" customWidth="1"/>
    <col min="539" max="539" width="4.75" style="35" customWidth="1"/>
    <col min="540" max="540" width="4.25" style="35" customWidth="1"/>
    <col min="541" max="541" width="3.75" style="35" customWidth="1"/>
    <col min="542" max="552" width="3.25" style="35" customWidth="1"/>
    <col min="553" max="553" width="2.875" style="35" customWidth="1"/>
    <col min="554" max="554" width="3.25" style="35" customWidth="1"/>
    <col min="555" max="768" width="9" style="35" customWidth="1"/>
    <col min="769" max="769" width="8" style="35" customWidth="1"/>
    <col min="770" max="771" width="7" style="35" customWidth="1"/>
    <col min="772" max="772" width="9.375" style="35" customWidth="1"/>
    <col min="773" max="774" width="4.75" style="35" customWidth="1"/>
    <col min="775" max="775" width="3.75" style="35" customWidth="1"/>
    <col min="776" max="780" width="3.25" style="35" customWidth="1"/>
    <col min="781" max="781" width="5.125" style="35" customWidth="1"/>
    <col min="782" max="782" width="3.75" style="35" customWidth="1"/>
    <col min="783" max="788" width="3.25" style="35" customWidth="1"/>
    <col min="789" max="789" width="4.75" style="35" customWidth="1"/>
    <col min="790" max="790" width="3.75" style="35" customWidth="1"/>
    <col min="791" max="794" width="3.25" style="35" customWidth="1"/>
    <col min="795" max="795" width="4.75" style="35" customWidth="1"/>
    <col min="796" max="796" width="4.25" style="35" customWidth="1"/>
    <col min="797" max="797" width="3.75" style="35" customWidth="1"/>
    <col min="798" max="808" width="3.25" style="35" customWidth="1"/>
    <col min="809" max="809" width="2.875" style="35" customWidth="1"/>
    <col min="810" max="810" width="3.25" style="35" customWidth="1"/>
    <col min="811" max="1024" width="9" style="35" customWidth="1"/>
    <col min="1025" max="1025" width="8" style="35" customWidth="1"/>
    <col min="1026" max="1027" width="7" style="35" customWidth="1"/>
    <col min="1028" max="1028" width="9.375" style="35" customWidth="1"/>
    <col min="1029" max="1030" width="4.75" style="35" customWidth="1"/>
    <col min="1031" max="1031" width="3.75" style="35" customWidth="1"/>
    <col min="1032" max="1036" width="3.25" style="35" customWidth="1"/>
    <col min="1037" max="1037" width="5.125" style="35" customWidth="1"/>
    <col min="1038" max="1038" width="3.75" style="35" customWidth="1"/>
    <col min="1039" max="1044" width="3.25" style="35" customWidth="1"/>
    <col min="1045" max="1045" width="4.75" style="35" customWidth="1"/>
    <col min="1046" max="1046" width="3.75" style="35" customWidth="1"/>
    <col min="1047" max="1050" width="3.25" style="35" customWidth="1"/>
    <col min="1051" max="1051" width="4.75" style="35" customWidth="1"/>
    <col min="1052" max="1052" width="4.25" style="35" customWidth="1"/>
    <col min="1053" max="1053" width="3.75" style="35" customWidth="1"/>
    <col min="1054" max="1064" width="3.25" style="35" customWidth="1"/>
    <col min="1065" max="1065" width="2.875" style="35" customWidth="1"/>
    <col min="1066" max="1066" width="3.25" style="35" customWidth="1"/>
    <col min="1067" max="1280" width="9" style="35" customWidth="1"/>
    <col min="1281" max="1281" width="8" style="35" customWidth="1"/>
    <col min="1282" max="1283" width="7" style="35" customWidth="1"/>
    <col min="1284" max="1284" width="9.375" style="35" customWidth="1"/>
    <col min="1285" max="1286" width="4.75" style="35" customWidth="1"/>
    <col min="1287" max="1287" width="3.75" style="35" customWidth="1"/>
    <col min="1288" max="1292" width="3.25" style="35" customWidth="1"/>
    <col min="1293" max="1293" width="5.125" style="35" customWidth="1"/>
    <col min="1294" max="1294" width="3.75" style="35" customWidth="1"/>
    <col min="1295" max="1300" width="3.25" style="35" customWidth="1"/>
    <col min="1301" max="1301" width="4.75" style="35" customWidth="1"/>
    <col min="1302" max="1302" width="3.75" style="35" customWidth="1"/>
    <col min="1303" max="1306" width="3.25" style="35" customWidth="1"/>
    <col min="1307" max="1307" width="4.75" style="35" customWidth="1"/>
    <col min="1308" max="1308" width="4.25" style="35" customWidth="1"/>
    <col min="1309" max="1309" width="3.75" style="35" customWidth="1"/>
    <col min="1310" max="1320" width="3.25" style="35" customWidth="1"/>
    <col min="1321" max="1321" width="2.875" style="35" customWidth="1"/>
    <col min="1322" max="1322" width="3.25" style="35" customWidth="1"/>
    <col min="1323" max="1536" width="9" style="35" customWidth="1"/>
    <col min="1537" max="1537" width="8" style="35" customWidth="1"/>
    <col min="1538" max="1539" width="7" style="35" customWidth="1"/>
    <col min="1540" max="1540" width="9.375" style="35" customWidth="1"/>
    <col min="1541" max="1542" width="4.75" style="35" customWidth="1"/>
    <col min="1543" max="1543" width="3.75" style="35" customWidth="1"/>
    <col min="1544" max="1548" width="3.25" style="35" customWidth="1"/>
    <col min="1549" max="1549" width="5.125" style="35" customWidth="1"/>
    <col min="1550" max="1550" width="3.75" style="35" customWidth="1"/>
    <col min="1551" max="1556" width="3.25" style="35" customWidth="1"/>
    <col min="1557" max="1557" width="4.75" style="35" customWidth="1"/>
    <col min="1558" max="1558" width="3.75" style="35" customWidth="1"/>
    <col min="1559" max="1562" width="3.25" style="35" customWidth="1"/>
    <col min="1563" max="1563" width="4.75" style="35" customWidth="1"/>
    <col min="1564" max="1564" width="4.25" style="35" customWidth="1"/>
    <col min="1565" max="1565" width="3.75" style="35" customWidth="1"/>
    <col min="1566" max="1576" width="3.25" style="35" customWidth="1"/>
    <col min="1577" max="1577" width="2.875" style="35" customWidth="1"/>
    <col min="1578" max="1578" width="3.25" style="35" customWidth="1"/>
    <col min="1579" max="1792" width="9" style="35" customWidth="1"/>
    <col min="1793" max="1793" width="8" style="35" customWidth="1"/>
    <col min="1794" max="1795" width="7" style="35" customWidth="1"/>
    <col min="1796" max="1796" width="9.375" style="35" customWidth="1"/>
    <col min="1797" max="1798" width="4.75" style="35" customWidth="1"/>
    <col min="1799" max="1799" width="3.75" style="35" customWidth="1"/>
    <col min="1800" max="1804" width="3.25" style="35" customWidth="1"/>
    <col min="1805" max="1805" width="5.125" style="35" customWidth="1"/>
    <col min="1806" max="1806" width="3.75" style="35" customWidth="1"/>
    <col min="1807" max="1812" width="3.25" style="35" customWidth="1"/>
    <col min="1813" max="1813" width="4.75" style="35" customWidth="1"/>
    <col min="1814" max="1814" width="3.75" style="35" customWidth="1"/>
    <col min="1815" max="1818" width="3.25" style="35" customWidth="1"/>
    <col min="1819" max="1819" width="4.75" style="35" customWidth="1"/>
    <col min="1820" max="1820" width="4.25" style="35" customWidth="1"/>
    <col min="1821" max="1821" width="3.75" style="35" customWidth="1"/>
    <col min="1822" max="1832" width="3.25" style="35" customWidth="1"/>
    <col min="1833" max="1833" width="2.875" style="35" customWidth="1"/>
    <col min="1834" max="1834" width="3.25" style="35" customWidth="1"/>
    <col min="1835" max="2048" width="9" style="35" customWidth="1"/>
    <col min="2049" max="2049" width="8" style="35" customWidth="1"/>
    <col min="2050" max="2051" width="7" style="35" customWidth="1"/>
    <col min="2052" max="2052" width="9.375" style="35" customWidth="1"/>
    <col min="2053" max="2054" width="4.75" style="35" customWidth="1"/>
    <col min="2055" max="2055" width="3.75" style="35" customWidth="1"/>
    <col min="2056" max="2060" width="3.25" style="35" customWidth="1"/>
    <col min="2061" max="2061" width="5.125" style="35" customWidth="1"/>
    <col min="2062" max="2062" width="3.75" style="35" customWidth="1"/>
    <col min="2063" max="2068" width="3.25" style="35" customWidth="1"/>
    <col min="2069" max="2069" width="4.75" style="35" customWidth="1"/>
    <col min="2070" max="2070" width="3.75" style="35" customWidth="1"/>
    <col min="2071" max="2074" width="3.25" style="35" customWidth="1"/>
    <col min="2075" max="2075" width="4.75" style="35" customWidth="1"/>
    <col min="2076" max="2076" width="4.25" style="35" customWidth="1"/>
    <col min="2077" max="2077" width="3.75" style="35" customWidth="1"/>
    <col min="2078" max="2088" width="3.25" style="35" customWidth="1"/>
    <col min="2089" max="2089" width="2.875" style="35" customWidth="1"/>
    <col min="2090" max="2090" width="3.25" style="35" customWidth="1"/>
    <col min="2091" max="2304" width="9" style="35" customWidth="1"/>
    <col min="2305" max="2305" width="8" style="35" customWidth="1"/>
    <col min="2306" max="2307" width="7" style="35" customWidth="1"/>
    <col min="2308" max="2308" width="9.375" style="35" customWidth="1"/>
    <col min="2309" max="2310" width="4.75" style="35" customWidth="1"/>
    <col min="2311" max="2311" width="3.75" style="35" customWidth="1"/>
    <col min="2312" max="2316" width="3.25" style="35" customWidth="1"/>
    <col min="2317" max="2317" width="5.125" style="35" customWidth="1"/>
    <col min="2318" max="2318" width="3.75" style="35" customWidth="1"/>
    <col min="2319" max="2324" width="3.25" style="35" customWidth="1"/>
    <col min="2325" max="2325" width="4.75" style="35" customWidth="1"/>
    <col min="2326" max="2326" width="3.75" style="35" customWidth="1"/>
    <col min="2327" max="2330" width="3.25" style="35" customWidth="1"/>
    <col min="2331" max="2331" width="4.75" style="35" customWidth="1"/>
    <col min="2332" max="2332" width="4.25" style="35" customWidth="1"/>
    <col min="2333" max="2333" width="3.75" style="35" customWidth="1"/>
    <col min="2334" max="2344" width="3.25" style="35" customWidth="1"/>
    <col min="2345" max="2345" width="2.875" style="35" customWidth="1"/>
    <col min="2346" max="2346" width="3.25" style="35" customWidth="1"/>
    <col min="2347" max="2560" width="9" style="35" customWidth="1"/>
    <col min="2561" max="2561" width="8" style="35" customWidth="1"/>
    <col min="2562" max="2563" width="7" style="35" customWidth="1"/>
    <col min="2564" max="2564" width="9.375" style="35" customWidth="1"/>
    <col min="2565" max="2566" width="4.75" style="35" customWidth="1"/>
    <col min="2567" max="2567" width="3.75" style="35" customWidth="1"/>
    <col min="2568" max="2572" width="3.25" style="35" customWidth="1"/>
    <col min="2573" max="2573" width="5.125" style="35" customWidth="1"/>
    <col min="2574" max="2574" width="3.75" style="35" customWidth="1"/>
    <col min="2575" max="2580" width="3.25" style="35" customWidth="1"/>
    <col min="2581" max="2581" width="4.75" style="35" customWidth="1"/>
    <col min="2582" max="2582" width="3.75" style="35" customWidth="1"/>
    <col min="2583" max="2586" width="3.25" style="35" customWidth="1"/>
    <col min="2587" max="2587" width="4.75" style="35" customWidth="1"/>
    <col min="2588" max="2588" width="4.25" style="35" customWidth="1"/>
    <col min="2589" max="2589" width="3.75" style="35" customWidth="1"/>
    <col min="2590" max="2600" width="3.25" style="35" customWidth="1"/>
    <col min="2601" max="2601" width="2.875" style="35" customWidth="1"/>
    <col min="2602" max="2602" width="3.25" style="35" customWidth="1"/>
    <col min="2603" max="2816" width="9" style="35" customWidth="1"/>
    <col min="2817" max="2817" width="8" style="35" customWidth="1"/>
    <col min="2818" max="2819" width="7" style="35" customWidth="1"/>
    <col min="2820" max="2820" width="9.375" style="35" customWidth="1"/>
    <col min="2821" max="2822" width="4.75" style="35" customWidth="1"/>
    <col min="2823" max="2823" width="3.75" style="35" customWidth="1"/>
    <col min="2824" max="2828" width="3.25" style="35" customWidth="1"/>
    <col min="2829" max="2829" width="5.125" style="35" customWidth="1"/>
    <col min="2830" max="2830" width="3.75" style="35" customWidth="1"/>
    <col min="2831" max="2836" width="3.25" style="35" customWidth="1"/>
    <col min="2837" max="2837" width="4.75" style="35" customWidth="1"/>
    <col min="2838" max="2838" width="3.75" style="35" customWidth="1"/>
    <col min="2839" max="2842" width="3.25" style="35" customWidth="1"/>
    <col min="2843" max="2843" width="4.75" style="35" customWidth="1"/>
    <col min="2844" max="2844" width="4.25" style="35" customWidth="1"/>
    <col min="2845" max="2845" width="3.75" style="35" customWidth="1"/>
    <col min="2846" max="2856" width="3.25" style="35" customWidth="1"/>
    <col min="2857" max="2857" width="2.875" style="35" customWidth="1"/>
    <col min="2858" max="2858" width="3.25" style="35" customWidth="1"/>
    <col min="2859" max="3072" width="9" style="35" customWidth="1"/>
    <col min="3073" max="3073" width="8" style="35" customWidth="1"/>
    <col min="3074" max="3075" width="7" style="35" customWidth="1"/>
    <col min="3076" max="3076" width="9.375" style="35" customWidth="1"/>
    <col min="3077" max="3078" width="4.75" style="35" customWidth="1"/>
    <col min="3079" max="3079" width="3.75" style="35" customWidth="1"/>
    <col min="3080" max="3084" width="3.25" style="35" customWidth="1"/>
    <col min="3085" max="3085" width="5.125" style="35" customWidth="1"/>
    <col min="3086" max="3086" width="3.75" style="35" customWidth="1"/>
    <col min="3087" max="3092" width="3.25" style="35" customWidth="1"/>
    <col min="3093" max="3093" width="4.75" style="35" customWidth="1"/>
    <col min="3094" max="3094" width="3.75" style="35" customWidth="1"/>
    <col min="3095" max="3098" width="3.25" style="35" customWidth="1"/>
    <col min="3099" max="3099" width="4.75" style="35" customWidth="1"/>
    <col min="3100" max="3100" width="4.25" style="35" customWidth="1"/>
    <col min="3101" max="3101" width="3.75" style="35" customWidth="1"/>
    <col min="3102" max="3112" width="3.25" style="35" customWidth="1"/>
    <col min="3113" max="3113" width="2.875" style="35" customWidth="1"/>
    <col min="3114" max="3114" width="3.25" style="35" customWidth="1"/>
    <col min="3115" max="3328" width="9" style="35" customWidth="1"/>
    <col min="3329" max="3329" width="8" style="35" customWidth="1"/>
    <col min="3330" max="3331" width="7" style="35" customWidth="1"/>
    <col min="3332" max="3332" width="9.375" style="35" customWidth="1"/>
    <col min="3333" max="3334" width="4.75" style="35" customWidth="1"/>
    <col min="3335" max="3335" width="3.75" style="35" customWidth="1"/>
    <col min="3336" max="3340" width="3.25" style="35" customWidth="1"/>
    <col min="3341" max="3341" width="5.125" style="35" customWidth="1"/>
    <col min="3342" max="3342" width="3.75" style="35" customWidth="1"/>
    <col min="3343" max="3348" width="3.25" style="35" customWidth="1"/>
    <col min="3349" max="3349" width="4.75" style="35" customWidth="1"/>
    <col min="3350" max="3350" width="3.75" style="35" customWidth="1"/>
    <col min="3351" max="3354" width="3.25" style="35" customWidth="1"/>
    <col min="3355" max="3355" width="4.75" style="35" customWidth="1"/>
    <col min="3356" max="3356" width="4.25" style="35" customWidth="1"/>
    <col min="3357" max="3357" width="3.75" style="35" customWidth="1"/>
    <col min="3358" max="3368" width="3.25" style="35" customWidth="1"/>
    <col min="3369" max="3369" width="2.875" style="35" customWidth="1"/>
    <col min="3370" max="3370" width="3.25" style="35" customWidth="1"/>
    <col min="3371" max="3584" width="9" style="35" customWidth="1"/>
    <col min="3585" max="3585" width="8" style="35" customWidth="1"/>
    <col min="3586" max="3587" width="7" style="35" customWidth="1"/>
    <col min="3588" max="3588" width="9.375" style="35" customWidth="1"/>
    <col min="3589" max="3590" width="4.75" style="35" customWidth="1"/>
    <col min="3591" max="3591" width="3.75" style="35" customWidth="1"/>
    <col min="3592" max="3596" width="3.25" style="35" customWidth="1"/>
    <col min="3597" max="3597" width="5.125" style="35" customWidth="1"/>
    <col min="3598" max="3598" width="3.75" style="35" customWidth="1"/>
    <col min="3599" max="3604" width="3.25" style="35" customWidth="1"/>
    <col min="3605" max="3605" width="4.75" style="35" customWidth="1"/>
    <col min="3606" max="3606" width="3.75" style="35" customWidth="1"/>
    <col min="3607" max="3610" width="3.25" style="35" customWidth="1"/>
    <col min="3611" max="3611" width="4.75" style="35" customWidth="1"/>
    <col min="3612" max="3612" width="4.25" style="35" customWidth="1"/>
    <col min="3613" max="3613" width="3.75" style="35" customWidth="1"/>
    <col min="3614" max="3624" width="3.25" style="35" customWidth="1"/>
    <col min="3625" max="3625" width="2.875" style="35" customWidth="1"/>
    <col min="3626" max="3626" width="3.25" style="35" customWidth="1"/>
    <col min="3627" max="3840" width="9" style="35" customWidth="1"/>
    <col min="3841" max="3841" width="8" style="35" customWidth="1"/>
    <col min="3842" max="3843" width="7" style="35" customWidth="1"/>
    <col min="3844" max="3844" width="9.375" style="35" customWidth="1"/>
    <col min="3845" max="3846" width="4.75" style="35" customWidth="1"/>
    <col min="3847" max="3847" width="3.75" style="35" customWidth="1"/>
    <col min="3848" max="3852" width="3.25" style="35" customWidth="1"/>
    <col min="3853" max="3853" width="5.125" style="35" customWidth="1"/>
    <col min="3854" max="3854" width="3.75" style="35" customWidth="1"/>
    <col min="3855" max="3860" width="3.25" style="35" customWidth="1"/>
    <col min="3861" max="3861" width="4.75" style="35" customWidth="1"/>
    <col min="3862" max="3862" width="3.75" style="35" customWidth="1"/>
    <col min="3863" max="3866" width="3.25" style="35" customWidth="1"/>
    <col min="3867" max="3867" width="4.75" style="35" customWidth="1"/>
    <col min="3868" max="3868" width="4.25" style="35" customWidth="1"/>
    <col min="3869" max="3869" width="3.75" style="35" customWidth="1"/>
    <col min="3870" max="3880" width="3.25" style="35" customWidth="1"/>
    <col min="3881" max="3881" width="2.875" style="35" customWidth="1"/>
    <col min="3882" max="3882" width="3.25" style="35" customWidth="1"/>
    <col min="3883" max="4096" width="9" style="35" customWidth="1"/>
    <col min="4097" max="4097" width="8" style="35" customWidth="1"/>
    <col min="4098" max="4099" width="7" style="35" customWidth="1"/>
    <col min="4100" max="4100" width="9.375" style="35" customWidth="1"/>
    <col min="4101" max="4102" width="4.75" style="35" customWidth="1"/>
    <col min="4103" max="4103" width="3.75" style="35" customWidth="1"/>
    <col min="4104" max="4108" width="3.25" style="35" customWidth="1"/>
    <col min="4109" max="4109" width="5.125" style="35" customWidth="1"/>
    <col min="4110" max="4110" width="3.75" style="35" customWidth="1"/>
    <col min="4111" max="4116" width="3.25" style="35" customWidth="1"/>
    <col min="4117" max="4117" width="4.75" style="35" customWidth="1"/>
    <col min="4118" max="4118" width="3.75" style="35" customWidth="1"/>
    <col min="4119" max="4122" width="3.25" style="35" customWidth="1"/>
    <col min="4123" max="4123" width="4.75" style="35" customWidth="1"/>
    <col min="4124" max="4124" width="4.25" style="35" customWidth="1"/>
    <col min="4125" max="4125" width="3.75" style="35" customWidth="1"/>
    <col min="4126" max="4136" width="3.25" style="35" customWidth="1"/>
    <col min="4137" max="4137" width="2.875" style="35" customWidth="1"/>
    <col min="4138" max="4138" width="3.25" style="35" customWidth="1"/>
    <col min="4139" max="4352" width="9" style="35" customWidth="1"/>
    <col min="4353" max="4353" width="8" style="35" customWidth="1"/>
    <col min="4354" max="4355" width="7" style="35" customWidth="1"/>
    <col min="4356" max="4356" width="9.375" style="35" customWidth="1"/>
    <col min="4357" max="4358" width="4.75" style="35" customWidth="1"/>
    <col min="4359" max="4359" width="3.75" style="35" customWidth="1"/>
    <col min="4360" max="4364" width="3.25" style="35" customWidth="1"/>
    <col min="4365" max="4365" width="5.125" style="35" customWidth="1"/>
    <col min="4366" max="4366" width="3.75" style="35" customWidth="1"/>
    <col min="4367" max="4372" width="3.25" style="35" customWidth="1"/>
    <col min="4373" max="4373" width="4.75" style="35" customWidth="1"/>
    <col min="4374" max="4374" width="3.75" style="35" customWidth="1"/>
    <col min="4375" max="4378" width="3.25" style="35" customWidth="1"/>
    <col min="4379" max="4379" width="4.75" style="35" customWidth="1"/>
    <col min="4380" max="4380" width="4.25" style="35" customWidth="1"/>
    <col min="4381" max="4381" width="3.75" style="35" customWidth="1"/>
    <col min="4382" max="4392" width="3.25" style="35" customWidth="1"/>
    <col min="4393" max="4393" width="2.875" style="35" customWidth="1"/>
    <col min="4394" max="4394" width="3.25" style="35" customWidth="1"/>
    <col min="4395" max="4608" width="9" style="35" customWidth="1"/>
    <col min="4609" max="4609" width="8" style="35" customWidth="1"/>
    <col min="4610" max="4611" width="7" style="35" customWidth="1"/>
    <col min="4612" max="4612" width="9.375" style="35" customWidth="1"/>
    <col min="4613" max="4614" width="4.75" style="35" customWidth="1"/>
    <col min="4615" max="4615" width="3.75" style="35" customWidth="1"/>
    <col min="4616" max="4620" width="3.25" style="35" customWidth="1"/>
    <col min="4621" max="4621" width="5.125" style="35" customWidth="1"/>
    <col min="4622" max="4622" width="3.75" style="35" customWidth="1"/>
    <col min="4623" max="4628" width="3.25" style="35" customWidth="1"/>
    <col min="4629" max="4629" width="4.75" style="35" customWidth="1"/>
    <col min="4630" max="4630" width="3.75" style="35" customWidth="1"/>
    <col min="4631" max="4634" width="3.25" style="35" customWidth="1"/>
    <col min="4635" max="4635" width="4.75" style="35" customWidth="1"/>
    <col min="4636" max="4636" width="4.25" style="35" customWidth="1"/>
    <col min="4637" max="4637" width="3.75" style="35" customWidth="1"/>
    <col min="4638" max="4648" width="3.25" style="35" customWidth="1"/>
    <col min="4649" max="4649" width="2.875" style="35" customWidth="1"/>
    <col min="4650" max="4650" width="3.25" style="35" customWidth="1"/>
    <col min="4651" max="4864" width="9" style="35" customWidth="1"/>
    <col min="4865" max="4865" width="8" style="35" customWidth="1"/>
    <col min="4866" max="4867" width="7" style="35" customWidth="1"/>
    <col min="4868" max="4868" width="9.375" style="35" customWidth="1"/>
    <col min="4869" max="4870" width="4.75" style="35" customWidth="1"/>
    <col min="4871" max="4871" width="3.75" style="35" customWidth="1"/>
    <col min="4872" max="4876" width="3.25" style="35" customWidth="1"/>
    <col min="4877" max="4877" width="5.125" style="35" customWidth="1"/>
    <col min="4878" max="4878" width="3.75" style="35" customWidth="1"/>
    <col min="4879" max="4884" width="3.25" style="35" customWidth="1"/>
    <col min="4885" max="4885" width="4.75" style="35" customWidth="1"/>
    <col min="4886" max="4886" width="3.75" style="35" customWidth="1"/>
    <col min="4887" max="4890" width="3.25" style="35" customWidth="1"/>
    <col min="4891" max="4891" width="4.75" style="35" customWidth="1"/>
    <col min="4892" max="4892" width="4.25" style="35" customWidth="1"/>
    <col min="4893" max="4893" width="3.75" style="35" customWidth="1"/>
    <col min="4894" max="4904" width="3.25" style="35" customWidth="1"/>
    <col min="4905" max="4905" width="2.875" style="35" customWidth="1"/>
    <col min="4906" max="4906" width="3.25" style="35" customWidth="1"/>
    <col min="4907" max="5120" width="9" style="35" customWidth="1"/>
    <col min="5121" max="5121" width="8" style="35" customWidth="1"/>
    <col min="5122" max="5123" width="7" style="35" customWidth="1"/>
    <col min="5124" max="5124" width="9.375" style="35" customWidth="1"/>
    <col min="5125" max="5126" width="4.75" style="35" customWidth="1"/>
    <col min="5127" max="5127" width="3.75" style="35" customWidth="1"/>
    <col min="5128" max="5132" width="3.25" style="35" customWidth="1"/>
    <col min="5133" max="5133" width="5.125" style="35" customWidth="1"/>
    <col min="5134" max="5134" width="3.75" style="35" customWidth="1"/>
    <col min="5135" max="5140" width="3.25" style="35" customWidth="1"/>
    <col min="5141" max="5141" width="4.75" style="35" customWidth="1"/>
    <col min="5142" max="5142" width="3.75" style="35" customWidth="1"/>
    <col min="5143" max="5146" width="3.25" style="35" customWidth="1"/>
    <col min="5147" max="5147" width="4.75" style="35" customWidth="1"/>
    <col min="5148" max="5148" width="4.25" style="35" customWidth="1"/>
    <col min="5149" max="5149" width="3.75" style="35" customWidth="1"/>
    <col min="5150" max="5160" width="3.25" style="35" customWidth="1"/>
    <col min="5161" max="5161" width="2.875" style="35" customWidth="1"/>
    <col min="5162" max="5162" width="3.25" style="35" customWidth="1"/>
    <col min="5163" max="5376" width="9" style="35" customWidth="1"/>
    <col min="5377" max="5377" width="8" style="35" customWidth="1"/>
    <col min="5378" max="5379" width="7" style="35" customWidth="1"/>
    <col min="5380" max="5380" width="9.375" style="35" customWidth="1"/>
    <col min="5381" max="5382" width="4.75" style="35" customWidth="1"/>
    <col min="5383" max="5383" width="3.75" style="35" customWidth="1"/>
    <col min="5384" max="5388" width="3.25" style="35" customWidth="1"/>
    <col min="5389" max="5389" width="5.125" style="35" customWidth="1"/>
    <col min="5390" max="5390" width="3.75" style="35" customWidth="1"/>
    <col min="5391" max="5396" width="3.25" style="35" customWidth="1"/>
    <col min="5397" max="5397" width="4.75" style="35" customWidth="1"/>
    <col min="5398" max="5398" width="3.75" style="35" customWidth="1"/>
    <col min="5399" max="5402" width="3.25" style="35" customWidth="1"/>
    <col min="5403" max="5403" width="4.75" style="35" customWidth="1"/>
    <col min="5404" max="5404" width="4.25" style="35" customWidth="1"/>
    <col min="5405" max="5405" width="3.75" style="35" customWidth="1"/>
    <col min="5406" max="5416" width="3.25" style="35" customWidth="1"/>
    <col min="5417" max="5417" width="2.875" style="35" customWidth="1"/>
    <col min="5418" max="5418" width="3.25" style="35" customWidth="1"/>
    <col min="5419" max="5632" width="9" style="35" customWidth="1"/>
    <col min="5633" max="5633" width="8" style="35" customWidth="1"/>
    <col min="5634" max="5635" width="7" style="35" customWidth="1"/>
    <col min="5636" max="5636" width="9.375" style="35" customWidth="1"/>
    <col min="5637" max="5638" width="4.75" style="35" customWidth="1"/>
    <col min="5639" max="5639" width="3.75" style="35" customWidth="1"/>
    <col min="5640" max="5644" width="3.25" style="35" customWidth="1"/>
    <col min="5645" max="5645" width="5.125" style="35" customWidth="1"/>
    <col min="5646" max="5646" width="3.75" style="35" customWidth="1"/>
    <col min="5647" max="5652" width="3.25" style="35" customWidth="1"/>
    <col min="5653" max="5653" width="4.75" style="35" customWidth="1"/>
    <col min="5654" max="5654" width="3.75" style="35" customWidth="1"/>
    <col min="5655" max="5658" width="3.25" style="35" customWidth="1"/>
    <col min="5659" max="5659" width="4.75" style="35" customWidth="1"/>
    <col min="5660" max="5660" width="4.25" style="35" customWidth="1"/>
    <col min="5661" max="5661" width="3.75" style="35" customWidth="1"/>
    <col min="5662" max="5672" width="3.25" style="35" customWidth="1"/>
    <col min="5673" max="5673" width="2.875" style="35" customWidth="1"/>
    <col min="5674" max="5674" width="3.25" style="35" customWidth="1"/>
    <col min="5675" max="5888" width="9" style="35" customWidth="1"/>
    <col min="5889" max="5889" width="8" style="35" customWidth="1"/>
    <col min="5890" max="5891" width="7" style="35" customWidth="1"/>
    <col min="5892" max="5892" width="9.375" style="35" customWidth="1"/>
    <col min="5893" max="5894" width="4.75" style="35" customWidth="1"/>
    <col min="5895" max="5895" width="3.75" style="35" customWidth="1"/>
    <col min="5896" max="5900" width="3.25" style="35" customWidth="1"/>
    <col min="5901" max="5901" width="5.125" style="35" customWidth="1"/>
    <col min="5902" max="5902" width="3.75" style="35" customWidth="1"/>
    <col min="5903" max="5908" width="3.25" style="35" customWidth="1"/>
    <col min="5909" max="5909" width="4.75" style="35" customWidth="1"/>
    <col min="5910" max="5910" width="3.75" style="35" customWidth="1"/>
    <col min="5911" max="5914" width="3.25" style="35" customWidth="1"/>
    <col min="5915" max="5915" width="4.75" style="35" customWidth="1"/>
    <col min="5916" max="5916" width="4.25" style="35" customWidth="1"/>
    <col min="5917" max="5917" width="3.75" style="35" customWidth="1"/>
    <col min="5918" max="5928" width="3.25" style="35" customWidth="1"/>
    <col min="5929" max="5929" width="2.875" style="35" customWidth="1"/>
    <col min="5930" max="5930" width="3.25" style="35" customWidth="1"/>
    <col min="5931" max="6144" width="9" style="35" customWidth="1"/>
    <col min="6145" max="6145" width="8" style="35" customWidth="1"/>
    <col min="6146" max="6147" width="7" style="35" customWidth="1"/>
    <col min="6148" max="6148" width="9.375" style="35" customWidth="1"/>
    <col min="6149" max="6150" width="4.75" style="35" customWidth="1"/>
    <col min="6151" max="6151" width="3.75" style="35" customWidth="1"/>
    <col min="6152" max="6156" width="3.25" style="35" customWidth="1"/>
    <col min="6157" max="6157" width="5.125" style="35" customWidth="1"/>
    <col min="6158" max="6158" width="3.75" style="35" customWidth="1"/>
    <col min="6159" max="6164" width="3.25" style="35" customWidth="1"/>
    <col min="6165" max="6165" width="4.75" style="35" customWidth="1"/>
    <col min="6166" max="6166" width="3.75" style="35" customWidth="1"/>
    <col min="6167" max="6170" width="3.25" style="35" customWidth="1"/>
    <col min="6171" max="6171" width="4.75" style="35" customWidth="1"/>
    <col min="6172" max="6172" width="4.25" style="35" customWidth="1"/>
    <col min="6173" max="6173" width="3.75" style="35" customWidth="1"/>
    <col min="6174" max="6184" width="3.25" style="35" customWidth="1"/>
    <col min="6185" max="6185" width="2.875" style="35" customWidth="1"/>
    <col min="6186" max="6186" width="3.25" style="35" customWidth="1"/>
    <col min="6187" max="6400" width="9" style="35" customWidth="1"/>
    <col min="6401" max="6401" width="8" style="35" customWidth="1"/>
    <col min="6402" max="6403" width="7" style="35" customWidth="1"/>
    <col min="6404" max="6404" width="9.375" style="35" customWidth="1"/>
    <col min="6405" max="6406" width="4.75" style="35" customWidth="1"/>
    <col min="6407" max="6407" width="3.75" style="35" customWidth="1"/>
    <col min="6408" max="6412" width="3.25" style="35" customWidth="1"/>
    <col min="6413" max="6413" width="5.125" style="35" customWidth="1"/>
    <col min="6414" max="6414" width="3.75" style="35" customWidth="1"/>
    <col min="6415" max="6420" width="3.25" style="35" customWidth="1"/>
    <col min="6421" max="6421" width="4.75" style="35" customWidth="1"/>
    <col min="6422" max="6422" width="3.75" style="35" customWidth="1"/>
    <col min="6423" max="6426" width="3.25" style="35" customWidth="1"/>
    <col min="6427" max="6427" width="4.75" style="35" customWidth="1"/>
    <col min="6428" max="6428" width="4.25" style="35" customWidth="1"/>
    <col min="6429" max="6429" width="3.75" style="35" customWidth="1"/>
    <col min="6430" max="6440" width="3.25" style="35" customWidth="1"/>
    <col min="6441" max="6441" width="2.875" style="35" customWidth="1"/>
    <col min="6442" max="6442" width="3.25" style="35" customWidth="1"/>
    <col min="6443" max="6656" width="9" style="35" customWidth="1"/>
    <col min="6657" max="6657" width="8" style="35" customWidth="1"/>
    <col min="6658" max="6659" width="7" style="35" customWidth="1"/>
    <col min="6660" max="6660" width="9.375" style="35" customWidth="1"/>
    <col min="6661" max="6662" width="4.75" style="35" customWidth="1"/>
    <col min="6663" max="6663" width="3.75" style="35" customWidth="1"/>
    <col min="6664" max="6668" width="3.25" style="35" customWidth="1"/>
    <col min="6669" max="6669" width="5.125" style="35" customWidth="1"/>
    <col min="6670" max="6670" width="3.75" style="35" customWidth="1"/>
    <col min="6671" max="6676" width="3.25" style="35" customWidth="1"/>
    <col min="6677" max="6677" width="4.75" style="35" customWidth="1"/>
    <col min="6678" max="6678" width="3.75" style="35" customWidth="1"/>
    <col min="6679" max="6682" width="3.25" style="35" customWidth="1"/>
    <col min="6683" max="6683" width="4.75" style="35" customWidth="1"/>
    <col min="6684" max="6684" width="4.25" style="35" customWidth="1"/>
    <col min="6685" max="6685" width="3.75" style="35" customWidth="1"/>
    <col min="6686" max="6696" width="3.25" style="35" customWidth="1"/>
    <col min="6697" max="6697" width="2.875" style="35" customWidth="1"/>
    <col min="6698" max="6698" width="3.25" style="35" customWidth="1"/>
    <col min="6699" max="6912" width="9" style="35" customWidth="1"/>
    <col min="6913" max="6913" width="8" style="35" customWidth="1"/>
    <col min="6914" max="6915" width="7" style="35" customWidth="1"/>
    <col min="6916" max="6916" width="9.375" style="35" customWidth="1"/>
    <col min="6917" max="6918" width="4.75" style="35" customWidth="1"/>
    <col min="6919" max="6919" width="3.75" style="35" customWidth="1"/>
    <col min="6920" max="6924" width="3.25" style="35" customWidth="1"/>
    <col min="6925" max="6925" width="5.125" style="35" customWidth="1"/>
    <col min="6926" max="6926" width="3.75" style="35" customWidth="1"/>
    <col min="6927" max="6932" width="3.25" style="35" customWidth="1"/>
    <col min="6933" max="6933" width="4.75" style="35" customWidth="1"/>
    <col min="6934" max="6934" width="3.75" style="35" customWidth="1"/>
    <col min="6935" max="6938" width="3.25" style="35" customWidth="1"/>
    <col min="6939" max="6939" width="4.75" style="35" customWidth="1"/>
    <col min="6940" max="6940" width="4.25" style="35" customWidth="1"/>
    <col min="6941" max="6941" width="3.75" style="35" customWidth="1"/>
    <col min="6942" max="6952" width="3.25" style="35" customWidth="1"/>
    <col min="6953" max="6953" width="2.875" style="35" customWidth="1"/>
    <col min="6954" max="6954" width="3.25" style="35" customWidth="1"/>
    <col min="6955" max="7168" width="9" style="35" customWidth="1"/>
    <col min="7169" max="7169" width="8" style="35" customWidth="1"/>
    <col min="7170" max="7171" width="7" style="35" customWidth="1"/>
    <col min="7172" max="7172" width="9.375" style="35" customWidth="1"/>
    <col min="7173" max="7174" width="4.75" style="35" customWidth="1"/>
    <col min="7175" max="7175" width="3.75" style="35" customWidth="1"/>
    <col min="7176" max="7180" width="3.25" style="35" customWidth="1"/>
    <col min="7181" max="7181" width="5.125" style="35" customWidth="1"/>
    <col min="7182" max="7182" width="3.75" style="35" customWidth="1"/>
    <col min="7183" max="7188" width="3.25" style="35" customWidth="1"/>
    <col min="7189" max="7189" width="4.75" style="35" customWidth="1"/>
    <col min="7190" max="7190" width="3.75" style="35" customWidth="1"/>
    <col min="7191" max="7194" width="3.25" style="35" customWidth="1"/>
    <col min="7195" max="7195" width="4.75" style="35" customWidth="1"/>
    <col min="7196" max="7196" width="4.25" style="35" customWidth="1"/>
    <col min="7197" max="7197" width="3.75" style="35" customWidth="1"/>
    <col min="7198" max="7208" width="3.25" style="35" customWidth="1"/>
    <col min="7209" max="7209" width="2.875" style="35" customWidth="1"/>
    <col min="7210" max="7210" width="3.25" style="35" customWidth="1"/>
    <col min="7211" max="7424" width="9" style="35" customWidth="1"/>
    <col min="7425" max="7425" width="8" style="35" customWidth="1"/>
    <col min="7426" max="7427" width="7" style="35" customWidth="1"/>
    <col min="7428" max="7428" width="9.375" style="35" customWidth="1"/>
    <col min="7429" max="7430" width="4.75" style="35" customWidth="1"/>
    <col min="7431" max="7431" width="3.75" style="35" customWidth="1"/>
    <col min="7432" max="7436" width="3.25" style="35" customWidth="1"/>
    <col min="7437" max="7437" width="5.125" style="35" customWidth="1"/>
    <col min="7438" max="7438" width="3.75" style="35" customWidth="1"/>
    <col min="7439" max="7444" width="3.25" style="35" customWidth="1"/>
    <col min="7445" max="7445" width="4.75" style="35" customWidth="1"/>
    <col min="7446" max="7446" width="3.75" style="35" customWidth="1"/>
    <col min="7447" max="7450" width="3.25" style="35" customWidth="1"/>
    <col min="7451" max="7451" width="4.75" style="35" customWidth="1"/>
    <col min="7452" max="7452" width="4.25" style="35" customWidth="1"/>
    <col min="7453" max="7453" width="3.75" style="35" customWidth="1"/>
    <col min="7454" max="7464" width="3.25" style="35" customWidth="1"/>
    <col min="7465" max="7465" width="2.875" style="35" customWidth="1"/>
    <col min="7466" max="7466" width="3.25" style="35" customWidth="1"/>
    <col min="7467" max="7680" width="9" style="35" customWidth="1"/>
    <col min="7681" max="7681" width="8" style="35" customWidth="1"/>
    <col min="7682" max="7683" width="7" style="35" customWidth="1"/>
    <col min="7684" max="7684" width="9.375" style="35" customWidth="1"/>
    <col min="7685" max="7686" width="4.75" style="35" customWidth="1"/>
    <col min="7687" max="7687" width="3.75" style="35" customWidth="1"/>
    <col min="7688" max="7692" width="3.25" style="35" customWidth="1"/>
    <col min="7693" max="7693" width="5.125" style="35" customWidth="1"/>
    <col min="7694" max="7694" width="3.75" style="35" customWidth="1"/>
    <col min="7695" max="7700" width="3.25" style="35" customWidth="1"/>
    <col min="7701" max="7701" width="4.75" style="35" customWidth="1"/>
    <col min="7702" max="7702" width="3.75" style="35" customWidth="1"/>
    <col min="7703" max="7706" width="3.25" style="35" customWidth="1"/>
    <col min="7707" max="7707" width="4.75" style="35" customWidth="1"/>
    <col min="7708" max="7708" width="4.25" style="35" customWidth="1"/>
    <col min="7709" max="7709" width="3.75" style="35" customWidth="1"/>
    <col min="7710" max="7720" width="3.25" style="35" customWidth="1"/>
    <col min="7721" max="7721" width="2.875" style="35" customWidth="1"/>
    <col min="7722" max="7722" width="3.25" style="35" customWidth="1"/>
    <col min="7723" max="7936" width="9" style="35" customWidth="1"/>
    <col min="7937" max="7937" width="8" style="35" customWidth="1"/>
    <col min="7938" max="7939" width="7" style="35" customWidth="1"/>
    <col min="7940" max="7940" width="9.375" style="35" customWidth="1"/>
    <col min="7941" max="7942" width="4.75" style="35" customWidth="1"/>
    <col min="7943" max="7943" width="3.75" style="35" customWidth="1"/>
    <col min="7944" max="7948" width="3.25" style="35" customWidth="1"/>
    <col min="7949" max="7949" width="5.125" style="35" customWidth="1"/>
    <col min="7950" max="7950" width="3.75" style="35" customWidth="1"/>
    <col min="7951" max="7956" width="3.25" style="35" customWidth="1"/>
    <col min="7957" max="7957" width="4.75" style="35" customWidth="1"/>
    <col min="7958" max="7958" width="3.75" style="35" customWidth="1"/>
    <col min="7959" max="7962" width="3.25" style="35" customWidth="1"/>
    <col min="7963" max="7963" width="4.75" style="35" customWidth="1"/>
    <col min="7964" max="7964" width="4.25" style="35" customWidth="1"/>
    <col min="7965" max="7965" width="3.75" style="35" customWidth="1"/>
    <col min="7966" max="7976" width="3.25" style="35" customWidth="1"/>
    <col min="7977" max="7977" width="2.875" style="35" customWidth="1"/>
    <col min="7978" max="7978" width="3.25" style="35" customWidth="1"/>
    <col min="7979" max="8192" width="9" style="35" customWidth="1"/>
    <col min="8193" max="8193" width="8" style="35" customWidth="1"/>
    <col min="8194" max="8195" width="7" style="35" customWidth="1"/>
    <col min="8196" max="8196" width="9.375" style="35" customWidth="1"/>
    <col min="8197" max="8198" width="4.75" style="35" customWidth="1"/>
    <col min="8199" max="8199" width="3.75" style="35" customWidth="1"/>
    <col min="8200" max="8204" width="3.25" style="35" customWidth="1"/>
    <col min="8205" max="8205" width="5.125" style="35" customWidth="1"/>
    <col min="8206" max="8206" width="3.75" style="35" customWidth="1"/>
    <col min="8207" max="8212" width="3.25" style="35" customWidth="1"/>
    <col min="8213" max="8213" width="4.75" style="35" customWidth="1"/>
    <col min="8214" max="8214" width="3.75" style="35" customWidth="1"/>
    <col min="8215" max="8218" width="3.25" style="35" customWidth="1"/>
    <col min="8219" max="8219" width="4.75" style="35" customWidth="1"/>
    <col min="8220" max="8220" width="4.25" style="35" customWidth="1"/>
    <col min="8221" max="8221" width="3.75" style="35" customWidth="1"/>
    <col min="8222" max="8232" width="3.25" style="35" customWidth="1"/>
    <col min="8233" max="8233" width="2.875" style="35" customWidth="1"/>
    <col min="8234" max="8234" width="3.25" style="35" customWidth="1"/>
    <col min="8235" max="8448" width="9" style="35" customWidth="1"/>
    <col min="8449" max="8449" width="8" style="35" customWidth="1"/>
    <col min="8450" max="8451" width="7" style="35" customWidth="1"/>
    <col min="8452" max="8452" width="9.375" style="35" customWidth="1"/>
    <col min="8453" max="8454" width="4.75" style="35" customWidth="1"/>
    <col min="8455" max="8455" width="3.75" style="35" customWidth="1"/>
    <col min="8456" max="8460" width="3.25" style="35" customWidth="1"/>
    <col min="8461" max="8461" width="5.125" style="35" customWidth="1"/>
    <col min="8462" max="8462" width="3.75" style="35" customWidth="1"/>
    <col min="8463" max="8468" width="3.25" style="35" customWidth="1"/>
    <col min="8469" max="8469" width="4.75" style="35" customWidth="1"/>
    <col min="8470" max="8470" width="3.75" style="35" customWidth="1"/>
    <col min="8471" max="8474" width="3.25" style="35" customWidth="1"/>
    <col min="8475" max="8475" width="4.75" style="35" customWidth="1"/>
    <col min="8476" max="8476" width="4.25" style="35" customWidth="1"/>
    <col min="8477" max="8477" width="3.75" style="35" customWidth="1"/>
    <col min="8478" max="8488" width="3.25" style="35" customWidth="1"/>
    <col min="8489" max="8489" width="2.875" style="35" customWidth="1"/>
    <col min="8490" max="8490" width="3.25" style="35" customWidth="1"/>
    <col min="8491" max="8704" width="9" style="35" customWidth="1"/>
    <col min="8705" max="8705" width="8" style="35" customWidth="1"/>
    <col min="8706" max="8707" width="7" style="35" customWidth="1"/>
    <col min="8708" max="8708" width="9.375" style="35" customWidth="1"/>
    <col min="8709" max="8710" width="4.75" style="35" customWidth="1"/>
    <col min="8711" max="8711" width="3.75" style="35" customWidth="1"/>
    <col min="8712" max="8716" width="3.25" style="35" customWidth="1"/>
    <col min="8717" max="8717" width="5.125" style="35" customWidth="1"/>
    <col min="8718" max="8718" width="3.75" style="35" customWidth="1"/>
    <col min="8719" max="8724" width="3.25" style="35" customWidth="1"/>
    <col min="8725" max="8725" width="4.75" style="35" customWidth="1"/>
    <col min="8726" max="8726" width="3.75" style="35" customWidth="1"/>
    <col min="8727" max="8730" width="3.25" style="35" customWidth="1"/>
    <col min="8731" max="8731" width="4.75" style="35" customWidth="1"/>
    <col min="8732" max="8732" width="4.25" style="35" customWidth="1"/>
    <col min="8733" max="8733" width="3.75" style="35" customWidth="1"/>
    <col min="8734" max="8744" width="3.25" style="35" customWidth="1"/>
    <col min="8745" max="8745" width="2.875" style="35" customWidth="1"/>
    <col min="8746" max="8746" width="3.25" style="35" customWidth="1"/>
    <col min="8747" max="8960" width="9" style="35" customWidth="1"/>
    <col min="8961" max="8961" width="8" style="35" customWidth="1"/>
    <col min="8962" max="8963" width="7" style="35" customWidth="1"/>
    <col min="8964" max="8964" width="9.375" style="35" customWidth="1"/>
    <col min="8965" max="8966" width="4.75" style="35" customWidth="1"/>
    <col min="8967" max="8967" width="3.75" style="35" customWidth="1"/>
    <col min="8968" max="8972" width="3.25" style="35" customWidth="1"/>
    <col min="8973" max="8973" width="5.125" style="35" customWidth="1"/>
    <col min="8974" max="8974" width="3.75" style="35" customWidth="1"/>
    <col min="8975" max="8980" width="3.25" style="35" customWidth="1"/>
    <col min="8981" max="8981" width="4.75" style="35" customWidth="1"/>
    <col min="8982" max="8982" width="3.75" style="35" customWidth="1"/>
    <col min="8983" max="8986" width="3.25" style="35" customWidth="1"/>
    <col min="8987" max="8987" width="4.75" style="35" customWidth="1"/>
    <col min="8988" max="8988" width="4.25" style="35" customWidth="1"/>
    <col min="8989" max="8989" width="3.75" style="35" customWidth="1"/>
    <col min="8990" max="9000" width="3.25" style="35" customWidth="1"/>
    <col min="9001" max="9001" width="2.875" style="35" customWidth="1"/>
    <col min="9002" max="9002" width="3.25" style="35" customWidth="1"/>
    <col min="9003" max="9216" width="9" style="35" customWidth="1"/>
    <col min="9217" max="9217" width="8" style="35" customWidth="1"/>
    <col min="9218" max="9219" width="7" style="35" customWidth="1"/>
    <col min="9220" max="9220" width="9.375" style="35" customWidth="1"/>
    <col min="9221" max="9222" width="4.75" style="35" customWidth="1"/>
    <col min="9223" max="9223" width="3.75" style="35" customWidth="1"/>
    <col min="9224" max="9228" width="3.25" style="35" customWidth="1"/>
    <col min="9229" max="9229" width="5.125" style="35" customWidth="1"/>
    <col min="9230" max="9230" width="3.75" style="35" customWidth="1"/>
    <col min="9231" max="9236" width="3.25" style="35" customWidth="1"/>
    <col min="9237" max="9237" width="4.75" style="35" customWidth="1"/>
    <col min="9238" max="9238" width="3.75" style="35" customWidth="1"/>
    <col min="9239" max="9242" width="3.25" style="35" customWidth="1"/>
    <col min="9243" max="9243" width="4.75" style="35" customWidth="1"/>
    <col min="9244" max="9244" width="4.25" style="35" customWidth="1"/>
    <col min="9245" max="9245" width="3.75" style="35" customWidth="1"/>
    <col min="9246" max="9256" width="3.25" style="35" customWidth="1"/>
    <col min="9257" max="9257" width="2.875" style="35" customWidth="1"/>
    <col min="9258" max="9258" width="3.25" style="35" customWidth="1"/>
    <col min="9259" max="9472" width="9" style="35" customWidth="1"/>
    <col min="9473" max="9473" width="8" style="35" customWidth="1"/>
    <col min="9474" max="9475" width="7" style="35" customWidth="1"/>
    <col min="9476" max="9476" width="9.375" style="35" customWidth="1"/>
    <col min="9477" max="9478" width="4.75" style="35" customWidth="1"/>
    <col min="9479" max="9479" width="3.75" style="35" customWidth="1"/>
    <col min="9480" max="9484" width="3.25" style="35" customWidth="1"/>
    <col min="9485" max="9485" width="5.125" style="35" customWidth="1"/>
    <col min="9486" max="9486" width="3.75" style="35" customWidth="1"/>
    <col min="9487" max="9492" width="3.25" style="35" customWidth="1"/>
    <col min="9493" max="9493" width="4.75" style="35" customWidth="1"/>
    <col min="9494" max="9494" width="3.75" style="35" customWidth="1"/>
    <col min="9495" max="9498" width="3.25" style="35" customWidth="1"/>
    <col min="9499" max="9499" width="4.75" style="35" customWidth="1"/>
    <col min="9500" max="9500" width="4.25" style="35" customWidth="1"/>
    <col min="9501" max="9501" width="3.75" style="35" customWidth="1"/>
    <col min="9502" max="9512" width="3.25" style="35" customWidth="1"/>
    <col min="9513" max="9513" width="2.875" style="35" customWidth="1"/>
    <col min="9514" max="9514" width="3.25" style="35" customWidth="1"/>
    <col min="9515" max="9728" width="9" style="35" customWidth="1"/>
    <col min="9729" max="9729" width="8" style="35" customWidth="1"/>
    <col min="9730" max="9731" width="7" style="35" customWidth="1"/>
    <col min="9732" max="9732" width="9.375" style="35" customWidth="1"/>
    <col min="9733" max="9734" width="4.75" style="35" customWidth="1"/>
    <col min="9735" max="9735" width="3.75" style="35" customWidth="1"/>
    <col min="9736" max="9740" width="3.25" style="35" customWidth="1"/>
    <col min="9741" max="9741" width="5.125" style="35" customWidth="1"/>
    <col min="9742" max="9742" width="3.75" style="35" customWidth="1"/>
    <col min="9743" max="9748" width="3.25" style="35" customWidth="1"/>
    <col min="9749" max="9749" width="4.75" style="35" customWidth="1"/>
    <col min="9750" max="9750" width="3.75" style="35" customWidth="1"/>
    <col min="9751" max="9754" width="3.25" style="35" customWidth="1"/>
    <col min="9755" max="9755" width="4.75" style="35" customWidth="1"/>
    <col min="9756" max="9756" width="4.25" style="35" customWidth="1"/>
    <col min="9757" max="9757" width="3.75" style="35" customWidth="1"/>
    <col min="9758" max="9768" width="3.25" style="35" customWidth="1"/>
    <col min="9769" max="9769" width="2.875" style="35" customWidth="1"/>
    <col min="9770" max="9770" width="3.25" style="35" customWidth="1"/>
    <col min="9771" max="9984" width="9" style="35" customWidth="1"/>
    <col min="9985" max="9985" width="8" style="35" customWidth="1"/>
    <col min="9986" max="9987" width="7" style="35" customWidth="1"/>
    <col min="9988" max="9988" width="9.375" style="35" customWidth="1"/>
    <col min="9989" max="9990" width="4.75" style="35" customWidth="1"/>
    <col min="9991" max="9991" width="3.75" style="35" customWidth="1"/>
    <col min="9992" max="9996" width="3.25" style="35" customWidth="1"/>
    <col min="9997" max="9997" width="5.125" style="35" customWidth="1"/>
    <col min="9998" max="9998" width="3.75" style="35" customWidth="1"/>
    <col min="9999" max="10004" width="3.25" style="35" customWidth="1"/>
    <col min="10005" max="10005" width="4.75" style="35" customWidth="1"/>
    <col min="10006" max="10006" width="3.75" style="35" customWidth="1"/>
    <col min="10007" max="10010" width="3.25" style="35" customWidth="1"/>
    <col min="10011" max="10011" width="4.75" style="35" customWidth="1"/>
    <col min="10012" max="10012" width="4.25" style="35" customWidth="1"/>
    <col min="10013" max="10013" width="3.75" style="35" customWidth="1"/>
    <col min="10014" max="10024" width="3.25" style="35" customWidth="1"/>
    <col min="10025" max="10025" width="2.875" style="35" customWidth="1"/>
    <col min="10026" max="10026" width="3.25" style="35" customWidth="1"/>
    <col min="10027" max="10240" width="9" style="35" customWidth="1"/>
    <col min="10241" max="10241" width="8" style="35" customWidth="1"/>
    <col min="10242" max="10243" width="7" style="35" customWidth="1"/>
    <col min="10244" max="10244" width="9.375" style="35" customWidth="1"/>
    <col min="10245" max="10246" width="4.75" style="35" customWidth="1"/>
    <col min="10247" max="10247" width="3.75" style="35" customWidth="1"/>
    <col min="10248" max="10252" width="3.25" style="35" customWidth="1"/>
    <col min="10253" max="10253" width="5.125" style="35" customWidth="1"/>
    <col min="10254" max="10254" width="3.75" style="35" customWidth="1"/>
    <col min="10255" max="10260" width="3.25" style="35" customWidth="1"/>
    <col min="10261" max="10261" width="4.75" style="35" customWidth="1"/>
    <col min="10262" max="10262" width="3.75" style="35" customWidth="1"/>
    <col min="10263" max="10266" width="3.25" style="35" customWidth="1"/>
    <col min="10267" max="10267" width="4.75" style="35" customWidth="1"/>
    <col min="10268" max="10268" width="4.25" style="35" customWidth="1"/>
    <col min="10269" max="10269" width="3.75" style="35" customWidth="1"/>
    <col min="10270" max="10280" width="3.25" style="35" customWidth="1"/>
    <col min="10281" max="10281" width="2.875" style="35" customWidth="1"/>
    <col min="10282" max="10282" width="3.25" style="35" customWidth="1"/>
    <col min="10283" max="10496" width="9" style="35" customWidth="1"/>
    <col min="10497" max="10497" width="8" style="35" customWidth="1"/>
    <col min="10498" max="10499" width="7" style="35" customWidth="1"/>
    <col min="10500" max="10500" width="9.375" style="35" customWidth="1"/>
    <col min="10501" max="10502" width="4.75" style="35" customWidth="1"/>
    <col min="10503" max="10503" width="3.75" style="35" customWidth="1"/>
    <col min="10504" max="10508" width="3.25" style="35" customWidth="1"/>
    <col min="10509" max="10509" width="5.125" style="35" customWidth="1"/>
    <col min="10510" max="10510" width="3.75" style="35" customWidth="1"/>
    <col min="10511" max="10516" width="3.25" style="35" customWidth="1"/>
    <col min="10517" max="10517" width="4.75" style="35" customWidth="1"/>
    <col min="10518" max="10518" width="3.75" style="35" customWidth="1"/>
    <col min="10519" max="10522" width="3.25" style="35" customWidth="1"/>
    <col min="10523" max="10523" width="4.75" style="35" customWidth="1"/>
    <col min="10524" max="10524" width="4.25" style="35" customWidth="1"/>
    <col min="10525" max="10525" width="3.75" style="35" customWidth="1"/>
    <col min="10526" max="10536" width="3.25" style="35" customWidth="1"/>
    <col min="10537" max="10537" width="2.875" style="35" customWidth="1"/>
    <col min="10538" max="10538" width="3.25" style="35" customWidth="1"/>
    <col min="10539" max="10752" width="9" style="35" customWidth="1"/>
    <col min="10753" max="10753" width="8" style="35" customWidth="1"/>
    <col min="10754" max="10755" width="7" style="35" customWidth="1"/>
    <col min="10756" max="10756" width="9.375" style="35" customWidth="1"/>
    <col min="10757" max="10758" width="4.75" style="35" customWidth="1"/>
    <col min="10759" max="10759" width="3.75" style="35" customWidth="1"/>
    <col min="10760" max="10764" width="3.25" style="35" customWidth="1"/>
    <col min="10765" max="10765" width="5.125" style="35" customWidth="1"/>
    <col min="10766" max="10766" width="3.75" style="35" customWidth="1"/>
    <col min="10767" max="10772" width="3.25" style="35" customWidth="1"/>
    <col min="10773" max="10773" width="4.75" style="35" customWidth="1"/>
    <col min="10774" max="10774" width="3.75" style="35" customWidth="1"/>
    <col min="10775" max="10778" width="3.25" style="35" customWidth="1"/>
    <col min="10779" max="10779" width="4.75" style="35" customWidth="1"/>
    <col min="10780" max="10780" width="4.25" style="35" customWidth="1"/>
    <col min="10781" max="10781" width="3.75" style="35" customWidth="1"/>
    <col min="10782" max="10792" width="3.25" style="35" customWidth="1"/>
    <col min="10793" max="10793" width="2.875" style="35" customWidth="1"/>
    <col min="10794" max="10794" width="3.25" style="35" customWidth="1"/>
    <col min="10795" max="11008" width="9" style="35" customWidth="1"/>
    <col min="11009" max="11009" width="8" style="35" customWidth="1"/>
    <col min="11010" max="11011" width="7" style="35" customWidth="1"/>
    <col min="11012" max="11012" width="9.375" style="35" customWidth="1"/>
    <col min="11013" max="11014" width="4.75" style="35" customWidth="1"/>
    <col min="11015" max="11015" width="3.75" style="35" customWidth="1"/>
    <col min="11016" max="11020" width="3.25" style="35" customWidth="1"/>
    <col min="11021" max="11021" width="5.125" style="35" customWidth="1"/>
    <col min="11022" max="11022" width="3.75" style="35" customWidth="1"/>
    <col min="11023" max="11028" width="3.25" style="35" customWidth="1"/>
    <col min="11029" max="11029" width="4.75" style="35" customWidth="1"/>
    <col min="11030" max="11030" width="3.75" style="35" customWidth="1"/>
    <col min="11031" max="11034" width="3.25" style="35" customWidth="1"/>
    <col min="11035" max="11035" width="4.75" style="35" customWidth="1"/>
    <col min="11036" max="11036" width="4.25" style="35" customWidth="1"/>
    <col min="11037" max="11037" width="3.75" style="35" customWidth="1"/>
    <col min="11038" max="11048" width="3.25" style="35" customWidth="1"/>
    <col min="11049" max="11049" width="2.875" style="35" customWidth="1"/>
    <col min="11050" max="11050" width="3.25" style="35" customWidth="1"/>
    <col min="11051" max="11264" width="9" style="35" customWidth="1"/>
    <col min="11265" max="11265" width="8" style="35" customWidth="1"/>
    <col min="11266" max="11267" width="7" style="35" customWidth="1"/>
    <col min="11268" max="11268" width="9.375" style="35" customWidth="1"/>
    <col min="11269" max="11270" width="4.75" style="35" customWidth="1"/>
    <col min="11271" max="11271" width="3.75" style="35" customWidth="1"/>
    <col min="11272" max="11276" width="3.25" style="35" customWidth="1"/>
    <col min="11277" max="11277" width="5.125" style="35" customWidth="1"/>
    <col min="11278" max="11278" width="3.75" style="35" customWidth="1"/>
    <col min="11279" max="11284" width="3.25" style="35" customWidth="1"/>
    <col min="11285" max="11285" width="4.75" style="35" customWidth="1"/>
    <col min="11286" max="11286" width="3.75" style="35" customWidth="1"/>
    <col min="11287" max="11290" width="3.25" style="35" customWidth="1"/>
    <col min="11291" max="11291" width="4.75" style="35" customWidth="1"/>
    <col min="11292" max="11292" width="4.25" style="35" customWidth="1"/>
    <col min="11293" max="11293" width="3.75" style="35" customWidth="1"/>
    <col min="11294" max="11304" width="3.25" style="35" customWidth="1"/>
    <col min="11305" max="11305" width="2.875" style="35" customWidth="1"/>
    <col min="11306" max="11306" width="3.25" style="35" customWidth="1"/>
    <col min="11307" max="11520" width="9" style="35" customWidth="1"/>
    <col min="11521" max="11521" width="8" style="35" customWidth="1"/>
    <col min="11522" max="11523" width="7" style="35" customWidth="1"/>
    <col min="11524" max="11524" width="9.375" style="35" customWidth="1"/>
    <col min="11525" max="11526" width="4.75" style="35" customWidth="1"/>
    <col min="11527" max="11527" width="3.75" style="35" customWidth="1"/>
    <col min="11528" max="11532" width="3.25" style="35" customWidth="1"/>
    <col min="11533" max="11533" width="5.125" style="35" customWidth="1"/>
    <col min="11534" max="11534" width="3.75" style="35" customWidth="1"/>
    <col min="11535" max="11540" width="3.25" style="35" customWidth="1"/>
    <col min="11541" max="11541" width="4.75" style="35" customWidth="1"/>
    <col min="11542" max="11542" width="3.75" style="35" customWidth="1"/>
    <col min="11543" max="11546" width="3.25" style="35" customWidth="1"/>
    <col min="11547" max="11547" width="4.75" style="35" customWidth="1"/>
    <col min="11548" max="11548" width="4.25" style="35" customWidth="1"/>
    <col min="11549" max="11549" width="3.75" style="35" customWidth="1"/>
    <col min="11550" max="11560" width="3.25" style="35" customWidth="1"/>
    <col min="11561" max="11561" width="2.875" style="35" customWidth="1"/>
    <col min="11562" max="11562" width="3.25" style="35" customWidth="1"/>
    <col min="11563" max="11776" width="9" style="35" customWidth="1"/>
    <col min="11777" max="11777" width="8" style="35" customWidth="1"/>
    <col min="11778" max="11779" width="7" style="35" customWidth="1"/>
    <col min="11780" max="11780" width="9.375" style="35" customWidth="1"/>
    <col min="11781" max="11782" width="4.75" style="35" customWidth="1"/>
    <col min="11783" max="11783" width="3.75" style="35" customWidth="1"/>
    <col min="11784" max="11788" width="3.25" style="35" customWidth="1"/>
    <col min="11789" max="11789" width="5.125" style="35" customWidth="1"/>
    <col min="11790" max="11790" width="3.75" style="35" customWidth="1"/>
    <col min="11791" max="11796" width="3.25" style="35" customWidth="1"/>
    <col min="11797" max="11797" width="4.75" style="35" customWidth="1"/>
    <col min="11798" max="11798" width="3.75" style="35" customWidth="1"/>
    <col min="11799" max="11802" width="3.25" style="35" customWidth="1"/>
    <col min="11803" max="11803" width="4.75" style="35" customWidth="1"/>
    <col min="11804" max="11804" width="4.25" style="35" customWidth="1"/>
    <col min="11805" max="11805" width="3.75" style="35" customWidth="1"/>
    <col min="11806" max="11816" width="3.25" style="35" customWidth="1"/>
    <col min="11817" max="11817" width="2.875" style="35" customWidth="1"/>
    <col min="11818" max="11818" width="3.25" style="35" customWidth="1"/>
    <col min="11819" max="12032" width="9" style="35" customWidth="1"/>
    <col min="12033" max="12033" width="8" style="35" customWidth="1"/>
    <col min="12034" max="12035" width="7" style="35" customWidth="1"/>
    <col min="12036" max="12036" width="9.375" style="35" customWidth="1"/>
    <col min="12037" max="12038" width="4.75" style="35" customWidth="1"/>
    <col min="12039" max="12039" width="3.75" style="35" customWidth="1"/>
    <col min="12040" max="12044" width="3.25" style="35" customWidth="1"/>
    <col min="12045" max="12045" width="5.125" style="35" customWidth="1"/>
    <col min="12046" max="12046" width="3.75" style="35" customWidth="1"/>
    <col min="12047" max="12052" width="3.25" style="35" customWidth="1"/>
    <col min="12053" max="12053" width="4.75" style="35" customWidth="1"/>
    <col min="12054" max="12054" width="3.75" style="35" customWidth="1"/>
    <col min="12055" max="12058" width="3.25" style="35" customWidth="1"/>
    <col min="12059" max="12059" width="4.75" style="35" customWidth="1"/>
    <col min="12060" max="12060" width="4.25" style="35" customWidth="1"/>
    <col min="12061" max="12061" width="3.75" style="35" customWidth="1"/>
    <col min="12062" max="12072" width="3.25" style="35" customWidth="1"/>
    <col min="12073" max="12073" width="2.875" style="35" customWidth="1"/>
    <col min="12074" max="12074" width="3.25" style="35" customWidth="1"/>
    <col min="12075" max="12288" width="9" style="35" customWidth="1"/>
    <col min="12289" max="12289" width="8" style="35" customWidth="1"/>
    <col min="12290" max="12291" width="7" style="35" customWidth="1"/>
    <col min="12292" max="12292" width="9.375" style="35" customWidth="1"/>
    <col min="12293" max="12294" width="4.75" style="35" customWidth="1"/>
    <col min="12295" max="12295" width="3.75" style="35" customWidth="1"/>
    <col min="12296" max="12300" width="3.25" style="35" customWidth="1"/>
    <col min="12301" max="12301" width="5.125" style="35" customWidth="1"/>
    <col min="12302" max="12302" width="3.75" style="35" customWidth="1"/>
    <col min="12303" max="12308" width="3.25" style="35" customWidth="1"/>
    <col min="12309" max="12309" width="4.75" style="35" customWidth="1"/>
    <col min="12310" max="12310" width="3.75" style="35" customWidth="1"/>
    <col min="12311" max="12314" width="3.25" style="35" customWidth="1"/>
    <col min="12315" max="12315" width="4.75" style="35" customWidth="1"/>
    <col min="12316" max="12316" width="4.25" style="35" customWidth="1"/>
    <col min="12317" max="12317" width="3.75" style="35" customWidth="1"/>
    <col min="12318" max="12328" width="3.25" style="35" customWidth="1"/>
    <col min="12329" max="12329" width="2.875" style="35" customWidth="1"/>
    <col min="12330" max="12330" width="3.25" style="35" customWidth="1"/>
    <col min="12331" max="12544" width="9" style="35" customWidth="1"/>
    <col min="12545" max="12545" width="8" style="35" customWidth="1"/>
    <col min="12546" max="12547" width="7" style="35" customWidth="1"/>
    <col min="12548" max="12548" width="9.375" style="35" customWidth="1"/>
    <col min="12549" max="12550" width="4.75" style="35" customWidth="1"/>
    <col min="12551" max="12551" width="3.75" style="35" customWidth="1"/>
    <col min="12552" max="12556" width="3.25" style="35" customWidth="1"/>
    <col min="12557" max="12557" width="5.125" style="35" customWidth="1"/>
    <col min="12558" max="12558" width="3.75" style="35" customWidth="1"/>
    <col min="12559" max="12564" width="3.25" style="35" customWidth="1"/>
    <col min="12565" max="12565" width="4.75" style="35" customWidth="1"/>
    <col min="12566" max="12566" width="3.75" style="35" customWidth="1"/>
    <col min="12567" max="12570" width="3.25" style="35" customWidth="1"/>
    <col min="12571" max="12571" width="4.75" style="35" customWidth="1"/>
    <col min="12572" max="12572" width="4.25" style="35" customWidth="1"/>
    <col min="12573" max="12573" width="3.75" style="35" customWidth="1"/>
    <col min="12574" max="12584" width="3.25" style="35" customWidth="1"/>
    <col min="12585" max="12585" width="2.875" style="35" customWidth="1"/>
    <col min="12586" max="12586" width="3.25" style="35" customWidth="1"/>
    <col min="12587" max="12800" width="9" style="35" customWidth="1"/>
    <col min="12801" max="12801" width="8" style="35" customWidth="1"/>
    <col min="12802" max="12803" width="7" style="35" customWidth="1"/>
    <col min="12804" max="12804" width="9.375" style="35" customWidth="1"/>
    <col min="12805" max="12806" width="4.75" style="35" customWidth="1"/>
    <col min="12807" max="12807" width="3.75" style="35" customWidth="1"/>
    <col min="12808" max="12812" width="3.25" style="35" customWidth="1"/>
    <col min="12813" max="12813" width="5.125" style="35" customWidth="1"/>
    <col min="12814" max="12814" width="3.75" style="35" customWidth="1"/>
    <col min="12815" max="12820" width="3.25" style="35" customWidth="1"/>
    <col min="12821" max="12821" width="4.75" style="35" customWidth="1"/>
    <col min="12822" max="12822" width="3.75" style="35" customWidth="1"/>
    <col min="12823" max="12826" width="3.25" style="35" customWidth="1"/>
    <col min="12827" max="12827" width="4.75" style="35" customWidth="1"/>
    <col min="12828" max="12828" width="4.25" style="35" customWidth="1"/>
    <col min="12829" max="12829" width="3.75" style="35" customWidth="1"/>
    <col min="12830" max="12840" width="3.25" style="35" customWidth="1"/>
    <col min="12841" max="12841" width="2.875" style="35" customWidth="1"/>
    <col min="12842" max="12842" width="3.25" style="35" customWidth="1"/>
    <col min="12843" max="13056" width="9" style="35" customWidth="1"/>
    <col min="13057" max="13057" width="8" style="35" customWidth="1"/>
    <col min="13058" max="13059" width="7" style="35" customWidth="1"/>
    <col min="13060" max="13060" width="9.375" style="35" customWidth="1"/>
    <col min="13061" max="13062" width="4.75" style="35" customWidth="1"/>
    <col min="13063" max="13063" width="3.75" style="35" customWidth="1"/>
    <col min="13064" max="13068" width="3.25" style="35" customWidth="1"/>
    <col min="13069" max="13069" width="5.125" style="35" customWidth="1"/>
    <col min="13070" max="13070" width="3.75" style="35" customWidth="1"/>
    <col min="13071" max="13076" width="3.25" style="35" customWidth="1"/>
    <col min="13077" max="13077" width="4.75" style="35" customWidth="1"/>
    <col min="13078" max="13078" width="3.75" style="35" customWidth="1"/>
    <col min="13079" max="13082" width="3.25" style="35" customWidth="1"/>
    <col min="13083" max="13083" width="4.75" style="35" customWidth="1"/>
    <col min="13084" max="13084" width="4.25" style="35" customWidth="1"/>
    <col min="13085" max="13085" width="3.75" style="35" customWidth="1"/>
    <col min="13086" max="13096" width="3.25" style="35" customWidth="1"/>
    <col min="13097" max="13097" width="2.875" style="35" customWidth="1"/>
    <col min="13098" max="13098" width="3.25" style="35" customWidth="1"/>
    <col min="13099" max="13312" width="9" style="35" customWidth="1"/>
    <col min="13313" max="13313" width="8" style="35" customWidth="1"/>
    <col min="13314" max="13315" width="7" style="35" customWidth="1"/>
    <col min="13316" max="13316" width="9.375" style="35" customWidth="1"/>
    <col min="13317" max="13318" width="4.75" style="35" customWidth="1"/>
    <col min="13319" max="13319" width="3.75" style="35" customWidth="1"/>
    <col min="13320" max="13324" width="3.25" style="35" customWidth="1"/>
    <col min="13325" max="13325" width="5.125" style="35" customWidth="1"/>
    <col min="13326" max="13326" width="3.75" style="35" customWidth="1"/>
    <col min="13327" max="13332" width="3.25" style="35" customWidth="1"/>
    <col min="13333" max="13333" width="4.75" style="35" customWidth="1"/>
    <col min="13334" max="13334" width="3.75" style="35" customWidth="1"/>
    <col min="13335" max="13338" width="3.25" style="35" customWidth="1"/>
    <col min="13339" max="13339" width="4.75" style="35" customWidth="1"/>
    <col min="13340" max="13340" width="4.25" style="35" customWidth="1"/>
    <col min="13341" max="13341" width="3.75" style="35" customWidth="1"/>
    <col min="13342" max="13352" width="3.25" style="35" customWidth="1"/>
    <col min="13353" max="13353" width="2.875" style="35" customWidth="1"/>
    <col min="13354" max="13354" width="3.25" style="35" customWidth="1"/>
    <col min="13355" max="13568" width="9" style="35" customWidth="1"/>
    <col min="13569" max="13569" width="8" style="35" customWidth="1"/>
    <col min="13570" max="13571" width="7" style="35" customWidth="1"/>
    <col min="13572" max="13572" width="9.375" style="35" customWidth="1"/>
    <col min="13573" max="13574" width="4.75" style="35" customWidth="1"/>
    <col min="13575" max="13575" width="3.75" style="35" customWidth="1"/>
    <col min="13576" max="13580" width="3.25" style="35" customWidth="1"/>
    <col min="13581" max="13581" width="5.125" style="35" customWidth="1"/>
    <col min="13582" max="13582" width="3.75" style="35" customWidth="1"/>
    <col min="13583" max="13588" width="3.25" style="35" customWidth="1"/>
    <col min="13589" max="13589" width="4.75" style="35" customWidth="1"/>
    <col min="13590" max="13590" width="3.75" style="35" customWidth="1"/>
    <col min="13591" max="13594" width="3.25" style="35" customWidth="1"/>
    <col min="13595" max="13595" width="4.75" style="35" customWidth="1"/>
    <col min="13596" max="13596" width="4.25" style="35" customWidth="1"/>
    <col min="13597" max="13597" width="3.75" style="35" customWidth="1"/>
    <col min="13598" max="13608" width="3.25" style="35" customWidth="1"/>
    <col min="13609" max="13609" width="2.875" style="35" customWidth="1"/>
    <col min="13610" max="13610" width="3.25" style="35" customWidth="1"/>
    <col min="13611" max="13824" width="9" style="35" customWidth="1"/>
    <col min="13825" max="13825" width="8" style="35" customWidth="1"/>
    <col min="13826" max="13827" width="7" style="35" customWidth="1"/>
    <col min="13828" max="13828" width="9.375" style="35" customWidth="1"/>
    <col min="13829" max="13830" width="4.75" style="35" customWidth="1"/>
    <col min="13831" max="13831" width="3.75" style="35" customWidth="1"/>
    <col min="13832" max="13836" width="3.25" style="35" customWidth="1"/>
    <col min="13837" max="13837" width="5.125" style="35" customWidth="1"/>
    <col min="13838" max="13838" width="3.75" style="35" customWidth="1"/>
    <col min="13839" max="13844" width="3.25" style="35" customWidth="1"/>
    <col min="13845" max="13845" width="4.75" style="35" customWidth="1"/>
    <col min="13846" max="13846" width="3.75" style="35" customWidth="1"/>
    <col min="13847" max="13850" width="3.25" style="35" customWidth="1"/>
    <col min="13851" max="13851" width="4.75" style="35" customWidth="1"/>
    <col min="13852" max="13852" width="4.25" style="35" customWidth="1"/>
    <col min="13853" max="13853" width="3.75" style="35" customWidth="1"/>
    <col min="13854" max="13864" width="3.25" style="35" customWidth="1"/>
    <col min="13865" max="13865" width="2.875" style="35" customWidth="1"/>
    <col min="13866" max="13866" width="3.25" style="35" customWidth="1"/>
    <col min="13867" max="14080" width="9" style="35" customWidth="1"/>
    <col min="14081" max="14081" width="8" style="35" customWidth="1"/>
    <col min="14082" max="14083" width="7" style="35" customWidth="1"/>
    <col min="14084" max="14084" width="9.375" style="35" customWidth="1"/>
    <col min="14085" max="14086" width="4.75" style="35" customWidth="1"/>
    <col min="14087" max="14087" width="3.75" style="35" customWidth="1"/>
    <col min="14088" max="14092" width="3.25" style="35" customWidth="1"/>
    <col min="14093" max="14093" width="5.125" style="35" customWidth="1"/>
    <col min="14094" max="14094" width="3.75" style="35" customWidth="1"/>
    <col min="14095" max="14100" width="3.25" style="35" customWidth="1"/>
    <col min="14101" max="14101" width="4.75" style="35" customWidth="1"/>
    <col min="14102" max="14102" width="3.75" style="35" customWidth="1"/>
    <col min="14103" max="14106" width="3.25" style="35" customWidth="1"/>
    <col min="14107" max="14107" width="4.75" style="35" customWidth="1"/>
    <col min="14108" max="14108" width="4.25" style="35" customWidth="1"/>
    <col min="14109" max="14109" width="3.75" style="35" customWidth="1"/>
    <col min="14110" max="14120" width="3.25" style="35" customWidth="1"/>
    <col min="14121" max="14121" width="2.875" style="35" customWidth="1"/>
    <col min="14122" max="14122" width="3.25" style="35" customWidth="1"/>
    <col min="14123" max="14336" width="9" style="35" customWidth="1"/>
    <col min="14337" max="14337" width="8" style="35" customWidth="1"/>
    <col min="14338" max="14339" width="7" style="35" customWidth="1"/>
    <col min="14340" max="14340" width="9.375" style="35" customWidth="1"/>
    <col min="14341" max="14342" width="4.75" style="35" customWidth="1"/>
    <col min="14343" max="14343" width="3.75" style="35" customWidth="1"/>
    <col min="14344" max="14348" width="3.25" style="35" customWidth="1"/>
    <col min="14349" max="14349" width="5.125" style="35" customWidth="1"/>
    <col min="14350" max="14350" width="3.75" style="35" customWidth="1"/>
    <col min="14351" max="14356" width="3.25" style="35" customWidth="1"/>
    <col min="14357" max="14357" width="4.75" style="35" customWidth="1"/>
    <col min="14358" max="14358" width="3.75" style="35" customWidth="1"/>
    <col min="14359" max="14362" width="3.25" style="35" customWidth="1"/>
    <col min="14363" max="14363" width="4.75" style="35" customWidth="1"/>
    <col min="14364" max="14364" width="4.25" style="35" customWidth="1"/>
    <col min="14365" max="14365" width="3.75" style="35" customWidth="1"/>
    <col min="14366" max="14376" width="3.25" style="35" customWidth="1"/>
    <col min="14377" max="14377" width="2.875" style="35" customWidth="1"/>
    <col min="14378" max="14378" width="3.25" style="35" customWidth="1"/>
    <col min="14379" max="14592" width="9" style="35" customWidth="1"/>
    <col min="14593" max="14593" width="8" style="35" customWidth="1"/>
    <col min="14594" max="14595" width="7" style="35" customWidth="1"/>
    <col min="14596" max="14596" width="9.375" style="35" customWidth="1"/>
    <col min="14597" max="14598" width="4.75" style="35" customWidth="1"/>
    <col min="14599" max="14599" width="3.75" style="35" customWidth="1"/>
    <col min="14600" max="14604" width="3.25" style="35" customWidth="1"/>
    <col min="14605" max="14605" width="5.125" style="35" customWidth="1"/>
    <col min="14606" max="14606" width="3.75" style="35" customWidth="1"/>
    <col min="14607" max="14612" width="3.25" style="35" customWidth="1"/>
    <col min="14613" max="14613" width="4.75" style="35" customWidth="1"/>
    <col min="14614" max="14614" width="3.75" style="35" customWidth="1"/>
    <col min="14615" max="14618" width="3.25" style="35" customWidth="1"/>
    <col min="14619" max="14619" width="4.75" style="35" customWidth="1"/>
    <col min="14620" max="14620" width="4.25" style="35" customWidth="1"/>
    <col min="14621" max="14621" width="3.75" style="35" customWidth="1"/>
    <col min="14622" max="14632" width="3.25" style="35" customWidth="1"/>
    <col min="14633" max="14633" width="2.875" style="35" customWidth="1"/>
    <col min="14634" max="14634" width="3.25" style="35" customWidth="1"/>
    <col min="14635" max="14848" width="9" style="35" customWidth="1"/>
    <col min="14849" max="14849" width="8" style="35" customWidth="1"/>
    <col min="14850" max="14851" width="7" style="35" customWidth="1"/>
    <col min="14852" max="14852" width="9.375" style="35" customWidth="1"/>
    <col min="14853" max="14854" width="4.75" style="35" customWidth="1"/>
    <col min="14855" max="14855" width="3.75" style="35" customWidth="1"/>
    <col min="14856" max="14860" width="3.25" style="35" customWidth="1"/>
    <col min="14861" max="14861" width="5.125" style="35" customWidth="1"/>
    <col min="14862" max="14862" width="3.75" style="35" customWidth="1"/>
    <col min="14863" max="14868" width="3.25" style="35" customWidth="1"/>
    <col min="14869" max="14869" width="4.75" style="35" customWidth="1"/>
    <col min="14870" max="14870" width="3.75" style="35" customWidth="1"/>
    <col min="14871" max="14874" width="3.25" style="35" customWidth="1"/>
    <col min="14875" max="14875" width="4.75" style="35" customWidth="1"/>
    <col min="14876" max="14876" width="4.25" style="35" customWidth="1"/>
    <col min="14877" max="14877" width="3.75" style="35" customWidth="1"/>
    <col min="14878" max="14888" width="3.25" style="35" customWidth="1"/>
    <col min="14889" max="14889" width="2.875" style="35" customWidth="1"/>
    <col min="14890" max="14890" width="3.25" style="35" customWidth="1"/>
    <col min="14891" max="15104" width="9" style="35" customWidth="1"/>
    <col min="15105" max="15105" width="8" style="35" customWidth="1"/>
    <col min="15106" max="15107" width="7" style="35" customWidth="1"/>
    <col min="15108" max="15108" width="9.375" style="35" customWidth="1"/>
    <col min="15109" max="15110" width="4.75" style="35" customWidth="1"/>
    <col min="15111" max="15111" width="3.75" style="35" customWidth="1"/>
    <col min="15112" max="15116" width="3.25" style="35" customWidth="1"/>
    <col min="15117" max="15117" width="5.125" style="35" customWidth="1"/>
    <col min="15118" max="15118" width="3.75" style="35" customWidth="1"/>
    <col min="15119" max="15124" width="3.25" style="35" customWidth="1"/>
    <col min="15125" max="15125" width="4.75" style="35" customWidth="1"/>
    <col min="15126" max="15126" width="3.75" style="35" customWidth="1"/>
    <col min="15127" max="15130" width="3.25" style="35" customWidth="1"/>
    <col min="15131" max="15131" width="4.75" style="35" customWidth="1"/>
    <col min="15132" max="15132" width="4.25" style="35" customWidth="1"/>
    <col min="15133" max="15133" width="3.75" style="35" customWidth="1"/>
    <col min="15134" max="15144" width="3.25" style="35" customWidth="1"/>
    <col min="15145" max="15145" width="2.875" style="35" customWidth="1"/>
    <col min="15146" max="15146" width="3.25" style="35" customWidth="1"/>
    <col min="15147" max="15360" width="9" style="35" customWidth="1"/>
    <col min="15361" max="15361" width="8" style="35" customWidth="1"/>
    <col min="15362" max="15363" width="7" style="35" customWidth="1"/>
    <col min="15364" max="15364" width="9.375" style="35" customWidth="1"/>
    <col min="15365" max="15366" width="4.75" style="35" customWidth="1"/>
    <col min="15367" max="15367" width="3.75" style="35" customWidth="1"/>
    <col min="15368" max="15372" width="3.25" style="35" customWidth="1"/>
    <col min="15373" max="15373" width="5.125" style="35" customWidth="1"/>
    <col min="15374" max="15374" width="3.75" style="35" customWidth="1"/>
    <col min="15375" max="15380" width="3.25" style="35" customWidth="1"/>
    <col min="15381" max="15381" width="4.75" style="35" customWidth="1"/>
    <col min="15382" max="15382" width="3.75" style="35" customWidth="1"/>
    <col min="15383" max="15386" width="3.25" style="35" customWidth="1"/>
    <col min="15387" max="15387" width="4.75" style="35" customWidth="1"/>
    <col min="15388" max="15388" width="4.25" style="35" customWidth="1"/>
    <col min="15389" max="15389" width="3.75" style="35" customWidth="1"/>
    <col min="15390" max="15400" width="3.25" style="35" customWidth="1"/>
    <col min="15401" max="15401" width="2.875" style="35" customWidth="1"/>
    <col min="15402" max="15402" width="3.25" style="35" customWidth="1"/>
    <col min="15403" max="15616" width="9" style="35" customWidth="1"/>
    <col min="15617" max="15617" width="8" style="35" customWidth="1"/>
    <col min="15618" max="15619" width="7" style="35" customWidth="1"/>
    <col min="15620" max="15620" width="9.375" style="35" customWidth="1"/>
    <col min="15621" max="15622" width="4.75" style="35" customWidth="1"/>
    <col min="15623" max="15623" width="3.75" style="35" customWidth="1"/>
    <col min="15624" max="15628" width="3.25" style="35" customWidth="1"/>
    <col min="15629" max="15629" width="5.125" style="35" customWidth="1"/>
    <col min="15630" max="15630" width="3.75" style="35" customWidth="1"/>
    <col min="15631" max="15636" width="3.25" style="35" customWidth="1"/>
    <col min="15637" max="15637" width="4.75" style="35" customWidth="1"/>
    <col min="15638" max="15638" width="3.75" style="35" customWidth="1"/>
    <col min="15639" max="15642" width="3.25" style="35" customWidth="1"/>
    <col min="15643" max="15643" width="4.75" style="35" customWidth="1"/>
    <col min="15644" max="15644" width="4.25" style="35" customWidth="1"/>
    <col min="15645" max="15645" width="3.75" style="35" customWidth="1"/>
    <col min="15646" max="15656" width="3.25" style="35" customWidth="1"/>
    <col min="15657" max="15657" width="2.875" style="35" customWidth="1"/>
    <col min="15658" max="15658" width="3.25" style="35" customWidth="1"/>
    <col min="15659" max="15872" width="9" style="35" customWidth="1"/>
    <col min="15873" max="15873" width="8" style="35" customWidth="1"/>
    <col min="15874" max="15875" width="7" style="35" customWidth="1"/>
    <col min="15876" max="15876" width="9.375" style="35" customWidth="1"/>
    <col min="15877" max="15878" width="4.75" style="35" customWidth="1"/>
    <col min="15879" max="15879" width="3.75" style="35" customWidth="1"/>
    <col min="15880" max="15884" width="3.25" style="35" customWidth="1"/>
    <col min="15885" max="15885" width="5.125" style="35" customWidth="1"/>
    <col min="15886" max="15886" width="3.75" style="35" customWidth="1"/>
    <col min="15887" max="15892" width="3.25" style="35" customWidth="1"/>
    <col min="15893" max="15893" width="4.75" style="35" customWidth="1"/>
    <col min="15894" max="15894" width="3.75" style="35" customWidth="1"/>
    <col min="15895" max="15898" width="3.25" style="35" customWidth="1"/>
    <col min="15899" max="15899" width="4.75" style="35" customWidth="1"/>
    <col min="15900" max="15900" width="4.25" style="35" customWidth="1"/>
    <col min="15901" max="15901" width="3.75" style="35" customWidth="1"/>
    <col min="15902" max="15912" width="3.25" style="35" customWidth="1"/>
    <col min="15913" max="15913" width="2.875" style="35" customWidth="1"/>
    <col min="15914" max="15914" width="3.25" style="35" customWidth="1"/>
    <col min="15915" max="16128" width="9" style="35" customWidth="1"/>
    <col min="16129" max="16129" width="8" style="35" customWidth="1"/>
    <col min="16130" max="16131" width="7" style="35" customWidth="1"/>
    <col min="16132" max="16132" width="9.375" style="35" customWidth="1"/>
    <col min="16133" max="16134" width="4.75" style="35" customWidth="1"/>
    <col min="16135" max="16135" width="3.75" style="35" customWidth="1"/>
    <col min="16136" max="16140" width="3.25" style="35" customWidth="1"/>
    <col min="16141" max="16141" width="5.125" style="35" customWidth="1"/>
    <col min="16142" max="16142" width="3.75" style="35" customWidth="1"/>
    <col min="16143" max="16148" width="3.25" style="35" customWidth="1"/>
    <col min="16149" max="16149" width="4.75" style="35" customWidth="1"/>
    <col min="16150" max="16150" width="3.75" style="35" customWidth="1"/>
    <col min="16151" max="16154" width="3.25" style="35" customWidth="1"/>
    <col min="16155" max="16155" width="4.75" style="35" customWidth="1"/>
    <col min="16156" max="16156" width="4.25" style="35" customWidth="1"/>
    <col min="16157" max="16157" width="3.75" style="35" customWidth="1"/>
    <col min="16158" max="16168" width="3.25" style="35" customWidth="1"/>
    <col min="16169" max="16169" width="2.875" style="35" customWidth="1"/>
    <col min="16170" max="16170" width="3.25" style="35" customWidth="1"/>
    <col min="16171" max="16384" width="9" style="35" customWidth="1"/>
  </cols>
  <sheetData>
    <row r="1" spans="1:42" ht="17.25" customHeight="1">
      <c r="A1" s="446" t="s">
        <v>3</v>
      </c>
      <c r="B1" s="446" t="s">
        <v>4</v>
      </c>
      <c r="C1" s="446" t="s">
        <v>267</v>
      </c>
      <c r="D1" s="446" t="s">
        <v>69</v>
      </c>
      <c r="E1" s="446" t="s">
        <v>5</v>
      </c>
      <c r="F1" s="446" t="s">
        <v>70</v>
      </c>
      <c r="G1" s="442" t="s">
        <v>71</v>
      </c>
      <c r="H1" s="448"/>
      <c r="I1" s="448"/>
      <c r="J1" s="448"/>
      <c r="K1" s="448"/>
      <c r="L1" s="449"/>
      <c r="M1" s="457" t="s">
        <v>72</v>
      </c>
      <c r="N1" s="447" t="s">
        <v>268</v>
      </c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7" t="s">
        <v>74</v>
      </c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2" t="s">
        <v>269</v>
      </c>
      <c r="AO1" s="448"/>
      <c r="AP1" s="449"/>
    </row>
    <row r="2" spans="1:42" ht="17.25" customHeight="1">
      <c r="A2" s="436"/>
      <c r="B2" s="436"/>
      <c r="C2" s="436"/>
      <c r="D2" s="436"/>
      <c r="E2" s="436"/>
      <c r="F2" s="436"/>
      <c r="G2" s="437"/>
      <c r="H2" s="450"/>
      <c r="I2" s="450"/>
      <c r="J2" s="450"/>
      <c r="K2" s="450"/>
      <c r="L2" s="451"/>
      <c r="M2" s="459"/>
      <c r="N2" s="446" t="s">
        <v>270</v>
      </c>
      <c r="O2" s="441"/>
      <c r="P2" s="441"/>
      <c r="Q2" s="441"/>
      <c r="R2" s="441"/>
      <c r="S2" s="441"/>
      <c r="T2" s="441"/>
      <c r="U2" s="442" t="s">
        <v>77</v>
      </c>
      <c r="V2" s="457" t="s">
        <v>78</v>
      </c>
      <c r="W2" s="441"/>
      <c r="X2" s="441"/>
      <c r="Y2" s="441"/>
      <c r="Z2" s="441"/>
      <c r="AA2" s="446" t="s">
        <v>271</v>
      </c>
      <c r="AB2" s="446" t="s">
        <v>272</v>
      </c>
      <c r="AC2" s="446" t="s">
        <v>81</v>
      </c>
      <c r="AD2" s="446" t="s">
        <v>82</v>
      </c>
      <c r="AE2" s="446" t="s">
        <v>273</v>
      </c>
      <c r="AF2" s="446" t="s">
        <v>274</v>
      </c>
      <c r="AG2" s="446" t="s">
        <v>275</v>
      </c>
      <c r="AH2" s="446" t="s">
        <v>276</v>
      </c>
      <c r="AI2" s="446" t="s">
        <v>87</v>
      </c>
      <c r="AJ2" s="446" t="s">
        <v>88</v>
      </c>
      <c r="AK2" s="446" t="s">
        <v>89</v>
      </c>
      <c r="AL2" s="446" t="s">
        <v>90</v>
      </c>
      <c r="AM2" s="446" t="s">
        <v>91</v>
      </c>
      <c r="AN2" s="437"/>
      <c r="AO2" s="450"/>
      <c r="AP2" s="451"/>
    </row>
    <row r="3" spans="1:42" ht="99.4" customHeight="1">
      <c r="A3" s="437"/>
      <c r="B3" s="437"/>
      <c r="C3" s="437"/>
      <c r="D3" s="437"/>
      <c r="E3" s="437"/>
      <c r="F3" s="437"/>
      <c r="G3" s="172" t="s">
        <v>92</v>
      </c>
      <c r="H3" s="171" t="s">
        <v>93</v>
      </c>
      <c r="I3" s="171" t="s">
        <v>94</v>
      </c>
      <c r="J3" s="171" t="s">
        <v>95</v>
      </c>
      <c r="K3" s="171" t="s">
        <v>96</v>
      </c>
      <c r="L3" s="171" t="s">
        <v>97</v>
      </c>
      <c r="M3" s="450"/>
      <c r="N3" s="172" t="s">
        <v>277</v>
      </c>
      <c r="O3" s="171" t="s">
        <v>99</v>
      </c>
      <c r="P3" s="171" t="s">
        <v>100</v>
      </c>
      <c r="Q3" s="171" t="s">
        <v>101</v>
      </c>
      <c r="R3" s="171" t="s">
        <v>102</v>
      </c>
      <c r="S3" s="171" t="s">
        <v>103</v>
      </c>
      <c r="T3" s="170" t="s">
        <v>278</v>
      </c>
      <c r="U3" s="443"/>
      <c r="V3" s="171" t="s">
        <v>105</v>
      </c>
      <c r="W3" s="171" t="s">
        <v>279</v>
      </c>
      <c r="X3" s="171" t="s">
        <v>107</v>
      </c>
      <c r="Y3" s="171" t="s">
        <v>309</v>
      </c>
      <c r="Z3" s="170" t="s">
        <v>109</v>
      </c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172" t="s">
        <v>19</v>
      </c>
      <c r="AO3" s="171" t="s">
        <v>20</v>
      </c>
      <c r="AP3" s="171" t="s">
        <v>21</v>
      </c>
    </row>
    <row r="4" spans="1:42" ht="14.45" customHeight="1">
      <c r="A4" s="458" t="s">
        <v>112</v>
      </c>
      <c r="B4" s="441"/>
      <c r="C4" s="441"/>
      <c r="D4" s="439"/>
      <c r="E4" s="357">
        <v>250</v>
      </c>
      <c r="F4" s="358"/>
      <c r="G4" s="358"/>
      <c r="H4" s="358"/>
      <c r="I4" s="358"/>
      <c r="J4" s="358"/>
      <c r="K4" s="357"/>
      <c r="L4" s="358"/>
      <c r="M4" s="359"/>
      <c r="N4" s="360"/>
      <c r="O4" s="358"/>
      <c r="P4" s="358"/>
      <c r="Q4" s="358"/>
      <c r="R4" s="358"/>
      <c r="S4" s="358"/>
      <c r="T4" s="358"/>
      <c r="U4" s="361"/>
      <c r="V4" s="335"/>
      <c r="W4" s="335"/>
      <c r="X4" s="335"/>
      <c r="Y4" s="335"/>
      <c r="Z4" s="335"/>
      <c r="AA4" s="338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34"/>
      <c r="AO4" s="334"/>
      <c r="AP4" s="334"/>
    </row>
    <row r="5" spans="1:42" ht="14.45" customHeight="1">
      <c r="A5" s="435" t="s">
        <v>281</v>
      </c>
      <c r="B5" s="440" t="s">
        <v>113</v>
      </c>
      <c r="C5" s="441"/>
      <c r="D5" s="439"/>
      <c r="E5" s="339">
        <v>50</v>
      </c>
      <c r="F5" s="340">
        <v>79</v>
      </c>
      <c r="G5" s="340">
        <v>57</v>
      </c>
      <c r="H5" s="340"/>
      <c r="I5" s="340"/>
      <c r="J5" s="340"/>
      <c r="K5" s="339"/>
      <c r="L5" s="340"/>
      <c r="M5" s="362">
        <v>359</v>
      </c>
      <c r="N5" s="363">
        <v>177</v>
      </c>
      <c r="O5" s="340"/>
      <c r="P5" s="340"/>
      <c r="Q5" s="340"/>
      <c r="R5" s="340"/>
      <c r="S5" s="340"/>
      <c r="T5" s="340"/>
      <c r="U5" s="364"/>
      <c r="V5" s="340"/>
      <c r="W5" s="340"/>
      <c r="X5" s="340"/>
      <c r="Y5" s="340"/>
      <c r="Z5" s="340"/>
      <c r="AA5" s="342"/>
      <c r="AB5" s="340">
        <v>194</v>
      </c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39">
        <v>7.9</v>
      </c>
      <c r="AO5" s="339"/>
      <c r="AP5" s="339"/>
    </row>
    <row r="6" spans="1:42" ht="14.45" customHeight="1">
      <c r="A6" s="436"/>
      <c r="B6" s="438" t="s">
        <v>25</v>
      </c>
      <c r="C6" s="439"/>
      <c r="D6" s="169" t="s">
        <v>114</v>
      </c>
      <c r="E6" s="343">
        <v>50</v>
      </c>
      <c r="F6" s="344"/>
      <c r="G6" s="344"/>
      <c r="H6" s="344"/>
      <c r="I6" s="344"/>
      <c r="J6" s="344"/>
      <c r="K6" s="343"/>
      <c r="L6" s="344"/>
      <c r="M6" s="365"/>
      <c r="N6" s="366"/>
      <c r="O6" s="344"/>
      <c r="P6" s="344"/>
      <c r="Q6" s="344"/>
      <c r="R6" s="344"/>
      <c r="S6" s="344"/>
      <c r="T6" s="344"/>
      <c r="U6" s="364"/>
      <c r="V6" s="344"/>
      <c r="W6" s="344"/>
      <c r="X6" s="344"/>
      <c r="Y6" s="344"/>
      <c r="Z6" s="344"/>
      <c r="AA6" s="346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3"/>
      <c r="AO6" s="343"/>
      <c r="AP6" s="343"/>
    </row>
    <row r="7" spans="1:42" ht="14.45" customHeight="1">
      <c r="A7" s="436"/>
      <c r="B7" s="444" t="s">
        <v>25</v>
      </c>
      <c r="C7" s="39"/>
      <c r="D7" s="39" t="s">
        <v>128</v>
      </c>
      <c r="E7" s="347">
        <v>25</v>
      </c>
      <c r="F7" s="347">
        <v>233</v>
      </c>
      <c r="G7" s="347">
        <v>168</v>
      </c>
      <c r="H7" s="347"/>
      <c r="I7" s="347"/>
      <c r="J7" s="347"/>
      <c r="K7" s="347"/>
      <c r="L7" s="347"/>
      <c r="M7" s="347">
        <v>19</v>
      </c>
      <c r="N7" s="347">
        <v>454</v>
      </c>
      <c r="O7" s="347"/>
      <c r="P7" s="347"/>
      <c r="Q7" s="347"/>
      <c r="R7" s="347"/>
      <c r="S7" s="347"/>
      <c r="T7" s="347"/>
      <c r="U7" s="367"/>
      <c r="V7" s="347"/>
      <c r="W7" s="347"/>
      <c r="X7" s="347"/>
      <c r="Y7" s="347"/>
      <c r="Z7" s="347"/>
      <c r="AA7" s="349"/>
      <c r="AB7" s="347">
        <v>256</v>
      </c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>
        <v>-1.1000000000000001</v>
      </c>
      <c r="AO7" s="347"/>
      <c r="AP7" s="347"/>
    </row>
    <row r="8" spans="1:42" ht="17.25" customHeight="1">
      <c r="A8" s="437"/>
      <c r="B8" s="443"/>
      <c r="C8" s="39"/>
      <c r="D8" s="39" t="s">
        <v>129</v>
      </c>
      <c r="E8" s="347">
        <v>25</v>
      </c>
      <c r="F8" s="347">
        <v>447</v>
      </c>
      <c r="G8" s="347">
        <v>363</v>
      </c>
      <c r="H8" s="347"/>
      <c r="I8" s="347"/>
      <c r="J8" s="347"/>
      <c r="K8" s="347"/>
      <c r="L8" s="347"/>
      <c r="M8" s="347">
        <v>492</v>
      </c>
      <c r="N8" s="347">
        <v>77</v>
      </c>
      <c r="O8" s="347"/>
      <c r="P8" s="347"/>
      <c r="Q8" s="347"/>
      <c r="R8" s="347"/>
      <c r="S8" s="347"/>
      <c r="T8" s="347"/>
      <c r="U8" s="367"/>
      <c r="V8" s="347"/>
      <c r="W8" s="347"/>
      <c r="X8" s="347"/>
      <c r="Y8" s="347"/>
      <c r="Z8" s="347"/>
      <c r="AA8" s="349"/>
      <c r="AB8" s="347">
        <v>261</v>
      </c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>
        <v>3.4</v>
      </c>
      <c r="AO8" s="347"/>
      <c r="AP8" s="347"/>
    </row>
    <row r="9" spans="1:42" ht="14.45" customHeight="1">
      <c r="A9" s="435" t="s">
        <v>288</v>
      </c>
      <c r="B9" s="440" t="s">
        <v>113</v>
      </c>
      <c r="C9" s="441"/>
      <c r="D9" s="439"/>
      <c r="E9" s="339">
        <v>125</v>
      </c>
      <c r="F9" s="340">
        <v>194</v>
      </c>
      <c r="G9" s="340">
        <v>172</v>
      </c>
      <c r="H9" s="340"/>
      <c r="I9" s="340"/>
      <c r="J9" s="340"/>
      <c r="K9" s="339"/>
      <c r="L9" s="340"/>
      <c r="M9" s="362">
        <v>163</v>
      </c>
      <c r="N9" s="363">
        <v>168</v>
      </c>
      <c r="O9" s="340"/>
      <c r="P9" s="340"/>
      <c r="Q9" s="340"/>
      <c r="R9" s="340"/>
      <c r="S9" s="340"/>
      <c r="T9" s="340"/>
      <c r="U9" s="364"/>
      <c r="V9" s="340"/>
      <c r="W9" s="340"/>
      <c r="X9" s="340"/>
      <c r="Y9" s="340"/>
      <c r="Z9" s="340"/>
      <c r="AA9" s="342"/>
      <c r="AB9" s="340">
        <v>100</v>
      </c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39">
        <v>7.9</v>
      </c>
      <c r="AO9" s="339"/>
      <c r="AP9" s="339"/>
    </row>
    <row r="10" spans="1:42" ht="14.45" customHeight="1">
      <c r="A10" s="436"/>
      <c r="B10" s="438" t="s">
        <v>30</v>
      </c>
      <c r="C10" s="439"/>
      <c r="D10" s="169" t="s">
        <v>114</v>
      </c>
      <c r="E10" s="343">
        <v>125</v>
      </c>
      <c r="F10" s="344"/>
      <c r="G10" s="344"/>
      <c r="H10" s="344"/>
      <c r="I10" s="344"/>
      <c r="J10" s="344"/>
      <c r="K10" s="343"/>
      <c r="L10" s="344"/>
      <c r="M10" s="365"/>
      <c r="N10" s="366"/>
      <c r="O10" s="344"/>
      <c r="P10" s="344"/>
      <c r="Q10" s="344"/>
      <c r="R10" s="344"/>
      <c r="S10" s="344"/>
      <c r="T10" s="344"/>
      <c r="U10" s="364"/>
      <c r="V10" s="344"/>
      <c r="W10" s="344"/>
      <c r="X10" s="344"/>
      <c r="Y10" s="344"/>
      <c r="Z10" s="344"/>
      <c r="AA10" s="346"/>
      <c r="AB10" s="344"/>
      <c r="AC10" s="344"/>
      <c r="AD10" s="344"/>
      <c r="AE10" s="344"/>
      <c r="AF10" s="344"/>
      <c r="AG10" s="344"/>
      <c r="AH10" s="344"/>
      <c r="AI10" s="344"/>
      <c r="AJ10" s="344"/>
      <c r="AK10" s="344"/>
      <c r="AL10" s="344"/>
      <c r="AM10" s="344"/>
      <c r="AN10" s="343"/>
      <c r="AO10" s="343"/>
      <c r="AP10" s="343"/>
    </row>
    <row r="11" spans="1:42" ht="14.45" customHeight="1">
      <c r="A11" s="436"/>
      <c r="B11" s="444" t="s">
        <v>30</v>
      </c>
      <c r="C11" s="39"/>
      <c r="D11" s="39" t="s">
        <v>163</v>
      </c>
      <c r="E11" s="347">
        <v>25</v>
      </c>
      <c r="F11" s="347">
        <v>390</v>
      </c>
      <c r="G11" s="347">
        <v>323</v>
      </c>
      <c r="H11" s="347"/>
      <c r="I11" s="347"/>
      <c r="J11" s="347"/>
      <c r="K11" s="347"/>
      <c r="L11" s="347"/>
      <c r="M11" s="347">
        <v>215</v>
      </c>
      <c r="N11" s="347">
        <v>63</v>
      </c>
      <c r="O11" s="347"/>
      <c r="P11" s="347"/>
      <c r="Q11" s="347"/>
      <c r="R11" s="347"/>
      <c r="S11" s="347"/>
      <c r="T11" s="347"/>
      <c r="U11" s="367"/>
      <c r="V11" s="347"/>
      <c r="W11" s="347"/>
      <c r="X11" s="347"/>
      <c r="Y11" s="347"/>
      <c r="Z11" s="347"/>
      <c r="AA11" s="349"/>
      <c r="AB11" s="347">
        <v>146</v>
      </c>
      <c r="AC11" s="347"/>
      <c r="AD11" s="347"/>
      <c r="AE11" s="347"/>
      <c r="AF11" s="347"/>
      <c r="AG11" s="347"/>
      <c r="AH11" s="347"/>
      <c r="AI11" s="347"/>
      <c r="AJ11" s="347"/>
      <c r="AK11" s="347"/>
      <c r="AL11" s="347"/>
      <c r="AM11" s="347"/>
      <c r="AN11" s="347">
        <v>6.6</v>
      </c>
      <c r="AO11" s="347"/>
      <c r="AP11" s="347"/>
    </row>
    <row r="12" spans="1:42" ht="14.45" customHeight="1">
      <c r="A12" s="436"/>
      <c r="B12" s="445"/>
      <c r="C12" s="39"/>
      <c r="D12" s="39" t="s">
        <v>164</v>
      </c>
      <c r="E12" s="347">
        <v>25</v>
      </c>
      <c r="F12" s="347">
        <v>279</v>
      </c>
      <c r="G12" s="347">
        <v>92</v>
      </c>
      <c r="H12" s="347"/>
      <c r="I12" s="347"/>
      <c r="J12" s="347"/>
      <c r="K12" s="347"/>
      <c r="L12" s="347"/>
      <c r="M12" s="347">
        <v>202</v>
      </c>
      <c r="N12" s="347">
        <v>314</v>
      </c>
      <c r="O12" s="347"/>
      <c r="P12" s="347"/>
      <c r="Q12" s="347"/>
      <c r="R12" s="347"/>
      <c r="S12" s="347"/>
      <c r="T12" s="347"/>
      <c r="U12" s="367"/>
      <c r="V12" s="347"/>
      <c r="W12" s="347"/>
      <c r="X12" s="347"/>
      <c r="Y12" s="347"/>
      <c r="Z12" s="347"/>
      <c r="AA12" s="349"/>
      <c r="AB12" s="347">
        <v>22</v>
      </c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>
        <v>4.5</v>
      </c>
      <c r="AO12" s="347"/>
      <c r="AP12" s="347"/>
    </row>
    <row r="13" spans="1:42" ht="17.25" customHeight="1">
      <c r="A13" s="436"/>
      <c r="B13" s="445"/>
      <c r="C13" s="39"/>
      <c r="D13" s="39" t="s">
        <v>165</v>
      </c>
      <c r="E13" s="347">
        <v>25</v>
      </c>
      <c r="F13" s="347">
        <v>340</v>
      </c>
      <c r="G13" s="347">
        <v>133</v>
      </c>
      <c r="H13" s="347"/>
      <c r="I13" s="347"/>
      <c r="J13" s="347"/>
      <c r="K13" s="347"/>
      <c r="L13" s="347"/>
      <c r="M13" s="347">
        <v>332</v>
      </c>
      <c r="N13" s="347">
        <v>124</v>
      </c>
      <c r="O13" s="347"/>
      <c r="P13" s="347"/>
      <c r="Q13" s="347"/>
      <c r="R13" s="347"/>
      <c r="S13" s="347"/>
      <c r="T13" s="347"/>
      <c r="U13" s="367"/>
      <c r="V13" s="347"/>
      <c r="W13" s="347"/>
      <c r="X13" s="347"/>
      <c r="Y13" s="347"/>
      <c r="Z13" s="347"/>
      <c r="AA13" s="349"/>
      <c r="AB13" s="347">
        <v>236</v>
      </c>
      <c r="AC13" s="347"/>
      <c r="AD13" s="347"/>
      <c r="AE13" s="347"/>
      <c r="AF13" s="347"/>
      <c r="AG13" s="347"/>
      <c r="AH13" s="347"/>
      <c r="AI13" s="347"/>
      <c r="AJ13" s="347"/>
      <c r="AK13" s="347"/>
      <c r="AL13" s="347"/>
      <c r="AM13" s="347"/>
      <c r="AN13" s="347">
        <v>-2.5</v>
      </c>
      <c r="AO13" s="347"/>
      <c r="AP13" s="347"/>
    </row>
    <row r="14" spans="1:42" ht="14.45" customHeight="1">
      <c r="A14" s="436"/>
      <c r="B14" s="445"/>
      <c r="C14" s="39"/>
      <c r="D14" s="39" t="s">
        <v>128</v>
      </c>
      <c r="E14" s="347">
        <v>25</v>
      </c>
      <c r="F14" s="347">
        <v>325</v>
      </c>
      <c r="G14" s="347">
        <v>463</v>
      </c>
      <c r="H14" s="347"/>
      <c r="I14" s="347"/>
      <c r="J14" s="347"/>
      <c r="K14" s="347"/>
      <c r="L14" s="347"/>
      <c r="M14" s="347">
        <v>266</v>
      </c>
      <c r="N14" s="347">
        <v>406</v>
      </c>
      <c r="O14" s="347"/>
      <c r="P14" s="347"/>
      <c r="Q14" s="347"/>
      <c r="R14" s="347"/>
      <c r="S14" s="347"/>
      <c r="T14" s="347"/>
      <c r="U14" s="367"/>
      <c r="V14" s="347"/>
      <c r="W14" s="347"/>
      <c r="X14" s="347"/>
      <c r="Y14" s="347"/>
      <c r="Z14" s="347"/>
      <c r="AA14" s="349"/>
      <c r="AB14" s="347">
        <v>268</v>
      </c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>
        <v>5.8</v>
      </c>
      <c r="AO14" s="347"/>
      <c r="AP14" s="347"/>
    </row>
    <row r="15" spans="1:42" ht="14.45" customHeight="1">
      <c r="A15" s="437"/>
      <c r="B15" s="443"/>
      <c r="C15" s="39"/>
      <c r="D15" s="39" t="s">
        <v>166</v>
      </c>
      <c r="E15" s="347">
        <v>25</v>
      </c>
      <c r="F15" s="347">
        <v>199</v>
      </c>
      <c r="G15" s="347">
        <v>29</v>
      </c>
      <c r="H15" s="347"/>
      <c r="I15" s="347"/>
      <c r="J15" s="347"/>
      <c r="K15" s="347"/>
      <c r="L15" s="347"/>
      <c r="M15" s="347">
        <v>52</v>
      </c>
      <c r="N15" s="347">
        <v>172</v>
      </c>
      <c r="O15" s="347"/>
      <c r="P15" s="347"/>
      <c r="Q15" s="347"/>
      <c r="R15" s="347"/>
      <c r="S15" s="347"/>
      <c r="T15" s="347"/>
      <c r="U15" s="367"/>
      <c r="V15" s="347"/>
      <c r="W15" s="347"/>
      <c r="X15" s="347"/>
      <c r="Y15" s="347"/>
      <c r="Z15" s="347"/>
      <c r="AA15" s="349"/>
      <c r="AB15" s="347">
        <v>197</v>
      </c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7">
        <v>-3.7</v>
      </c>
      <c r="AO15" s="347"/>
      <c r="AP15" s="347"/>
    </row>
    <row r="16" spans="1:42" ht="14.45" customHeight="1">
      <c r="A16" s="435" t="s">
        <v>305</v>
      </c>
      <c r="B16" s="440" t="s">
        <v>113</v>
      </c>
      <c r="C16" s="441"/>
      <c r="D16" s="439"/>
      <c r="E16" s="339">
        <v>75</v>
      </c>
      <c r="F16" s="340">
        <v>330</v>
      </c>
      <c r="G16" s="340">
        <v>319</v>
      </c>
      <c r="H16" s="340"/>
      <c r="I16" s="340"/>
      <c r="J16" s="340"/>
      <c r="K16" s="339"/>
      <c r="L16" s="340"/>
      <c r="M16" s="362">
        <v>497</v>
      </c>
      <c r="N16" s="363">
        <v>385</v>
      </c>
      <c r="O16" s="340"/>
      <c r="P16" s="340"/>
      <c r="Q16" s="340"/>
      <c r="R16" s="340"/>
      <c r="S16" s="340"/>
      <c r="T16" s="340"/>
      <c r="U16" s="364"/>
      <c r="V16" s="340"/>
      <c r="W16" s="340"/>
      <c r="X16" s="340"/>
      <c r="Y16" s="340"/>
      <c r="Z16" s="340"/>
      <c r="AA16" s="342"/>
      <c r="AB16" s="340">
        <v>390</v>
      </c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39">
        <v>-1.2</v>
      </c>
      <c r="AO16" s="339"/>
      <c r="AP16" s="339"/>
    </row>
    <row r="17" spans="1:42" ht="14.45" customHeight="1">
      <c r="A17" s="436"/>
      <c r="B17" s="438" t="s">
        <v>54</v>
      </c>
      <c r="C17" s="439"/>
      <c r="D17" s="169" t="s">
        <v>114</v>
      </c>
      <c r="E17" s="343">
        <v>75</v>
      </c>
      <c r="F17" s="344"/>
      <c r="G17" s="344"/>
      <c r="H17" s="344"/>
      <c r="I17" s="344"/>
      <c r="J17" s="344"/>
      <c r="K17" s="343"/>
      <c r="L17" s="344"/>
      <c r="M17" s="365"/>
      <c r="N17" s="366"/>
      <c r="O17" s="344"/>
      <c r="P17" s="344"/>
      <c r="Q17" s="344"/>
      <c r="R17" s="344"/>
      <c r="S17" s="344"/>
      <c r="T17" s="344"/>
      <c r="U17" s="364"/>
      <c r="V17" s="344"/>
      <c r="W17" s="344"/>
      <c r="X17" s="344"/>
      <c r="Y17" s="344"/>
      <c r="Z17" s="344"/>
      <c r="AA17" s="346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3"/>
      <c r="AO17" s="343"/>
      <c r="AP17" s="343"/>
    </row>
    <row r="18" spans="1:42" ht="17.25" customHeight="1">
      <c r="A18" s="436"/>
      <c r="B18" s="444" t="s">
        <v>54</v>
      </c>
      <c r="C18" s="39"/>
      <c r="D18" s="39" t="s">
        <v>234</v>
      </c>
      <c r="E18" s="347">
        <v>25</v>
      </c>
      <c r="F18" s="347">
        <v>442</v>
      </c>
      <c r="G18" s="347">
        <v>411</v>
      </c>
      <c r="H18" s="347"/>
      <c r="I18" s="347"/>
      <c r="J18" s="347"/>
      <c r="K18" s="347"/>
      <c r="L18" s="347"/>
      <c r="M18" s="347">
        <v>381</v>
      </c>
      <c r="N18" s="347">
        <v>360</v>
      </c>
      <c r="O18" s="347"/>
      <c r="P18" s="347"/>
      <c r="Q18" s="347"/>
      <c r="R18" s="347"/>
      <c r="S18" s="347"/>
      <c r="T18" s="347"/>
      <c r="U18" s="367"/>
      <c r="V18" s="347"/>
      <c r="W18" s="347"/>
      <c r="X18" s="347"/>
      <c r="Y18" s="347"/>
      <c r="Z18" s="347"/>
      <c r="AA18" s="349"/>
      <c r="AB18" s="347">
        <v>96</v>
      </c>
      <c r="AC18" s="347"/>
      <c r="AD18" s="347"/>
      <c r="AE18" s="347"/>
      <c r="AF18" s="347"/>
      <c r="AG18" s="347"/>
      <c r="AH18" s="347"/>
      <c r="AI18" s="347"/>
      <c r="AJ18" s="347"/>
      <c r="AK18" s="347"/>
      <c r="AL18" s="347"/>
      <c r="AM18" s="368"/>
      <c r="AN18" s="368">
        <v>-1.6</v>
      </c>
      <c r="AO18" s="368"/>
      <c r="AP18" s="368"/>
    </row>
    <row r="19" spans="1:42" ht="14.45" customHeight="1">
      <c r="A19" s="436"/>
      <c r="B19" s="445"/>
      <c r="C19" s="39"/>
      <c r="D19" s="39" t="s">
        <v>164</v>
      </c>
      <c r="E19" s="347">
        <v>25</v>
      </c>
      <c r="F19" s="347">
        <v>289</v>
      </c>
      <c r="G19" s="347">
        <v>285</v>
      </c>
      <c r="H19" s="347"/>
      <c r="I19" s="347"/>
      <c r="J19" s="347"/>
      <c r="K19" s="347"/>
      <c r="L19" s="347"/>
      <c r="M19" s="347">
        <v>49</v>
      </c>
      <c r="N19" s="347">
        <v>218</v>
      </c>
      <c r="O19" s="347"/>
      <c r="P19" s="347"/>
      <c r="Q19" s="347"/>
      <c r="R19" s="347"/>
      <c r="S19" s="347"/>
      <c r="T19" s="347"/>
      <c r="U19" s="367"/>
      <c r="V19" s="347"/>
      <c r="W19" s="347"/>
      <c r="X19" s="347"/>
      <c r="Y19" s="347"/>
      <c r="Z19" s="347"/>
      <c r="AA19" s="349"/>
      <c r="AB19" s="347">
        <v>270</v>
      </c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>
        <v>2.1</v>
      </c>
      <c r="AO19" s="347"/>
      <c r="AP19" s="347"/>
    </row>
    <row r="20" spans="1:42" ht="14.45" customHeight="1">
      <c r="A20" s="437"/>
      <c r="B20" s="443"/>
      <c r="C20" s="39"/>
      <c r="D20" s="39" t="s">
        <v>128</v>
      </c>
      <c r="E20" s="347">
        <v>25</v>
      </c>
      <c r="F20" s="347">
        <v>484</v>
      </c>
      <c r="G20" s="347">
        <v>454</v>
      </c>
      <c r="H20" s="347"/>
      <c r="I20" s="347"/>
      <c r="J20" s="347"/>
      <c r="K20" s="347"/>
      <c r="L20" s="347"/>
      <c r="M20" s="347">
        <v>291</v>
      </c>
      <c r="N20" s="347">
        <v>206</v>
      </c>
      <c r="O20" s="347"/>
      <c r="P20" s="347"/>
      <c r="Q20" s="347"/>
      <c r="R20" s="347"/>
      <c r="S20" s="347"/>
      <c r="T20" s="347"/>
      <c r="U20" s="367"/>
      <c r="V20" s="347"/>
      <c r="W20" s="347"/>
      <c r="X20" s="347"/>
      <c r="Y20" s="347"/>
      <c r="Z20" s="347"/>
      <c r="AA20" s="349"/>
      <c r="AB20" s="347">
        <v>448</v>
      </c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>
        <v>7.7</v>
      </c>
      <c r="AO20" s="347"/>
      <c r="AP20" s="347"/>
    </row>
    <row r="21" spans="1:42">
      <c r="M21" s="35"/>
      <c r="N21" s="35"/>
      <c r="U21" s="35"/>
    </row>
    <row r="22" spans="1:42">
      <c r="M22" s="35"/>
      <c r="N22" s="35"/>
      <c r="U22" s="35"/>
    </row>
    <row r="23" spans="1:42">
      <c r="M23" s="35"/>
      <c r="N23" s="35"/>
      <c r="U23" s="35"/>
    </row>
    <row r="24" spans="1:42">
      <c r="M24" s="35"/>
      <c r="N24" s="35"/>
      <c r="U24" s="35"/>
    </row>
    <row r="25" spans="1:42">
      <c r="M25" s="35"/>
      <c r="N25" s="35"/>
      <c r="U25" s="35"/>
    </row>
    <row r="26" spans="1:42">
      <c r="M26" s="35"/>
      <c r="N26" s="35"/>
      <c r="U26" s="35"/>
    </row>
    <row r="27" spans="1:42">
      <c r="M27" s="35"/>
      <c r="N27" s="35"/>
      <c r="U27" s="35"/>
    </row>
    <row r="28" spans="1:42">
      <c r="M28" s="35"/>
      <c r="N28" s="35"/>
      <c r="U28" s="35"/>
    </row>
    <row r="29" spans="1:42">
      <c r="M29" s="35"/>
      <c r="N29" s="35"/>
      <c r="U29" s="35"/>
    </row>
    <row r="30" spans="1:42">
      <c r="M30" s="35"/>
      <c r="N30" s="35"/>
      <c r="U30" s="35"/>
    </row>
    <row r="31" spans="1:42">
      <c r="M31" s="35"/>
      <c r="N31" s="35"/>
      <c r="U31" s="35"/>
    </row>
    <row r="32" spans="1:42">
      <c r="M32" s="35"/>
      <c r="N32" s="35"/>
      <c r="U32" s="35"/>
    </row>
    <row r="33" spans="13:21">
      <c r="M33" s="35"/>
      <c r="N33" s="35"/>
      <c r="U33" s="35"/>
    </row>
    <row r="34" spans="13:21">
      <c r="M34" s="35"/>
      <c r="N34" s="35"/>
      <c r="U34" s="35"/>
    </row>
    <row r="35" spans="13:21">
      <c r="M35" s="35"/>
      <c r="N35" s="35"/>
      <c r="U35" s="35"/>
    </row>
    <row r="36" spans="13:21">
      <c r="M36" s="35"/>
      <c r="N36" s="35"/>
      <c r="U36" s="35"/>
    </row>
    <row r="37" spans="13:21">
      <c r="M37" s="35"/>
      <c r="N37" s="35"/>
      <c r="U37" s="35"/>
    </row>
    <row r="38" spans="13:21">
      <c r="M38" s="35"/>
      <c r="N38" s="35"/>
      <c r="U38" s="35"/>
    </row>
    <row r="39" spans="13:21">
      <c r="M39" s="35"/>
      <c r="N39" s="35"/>
      <c r="U39" s="35"/>
    </row>
    <row r="40" spans="13:21">
      <c r="M40" s="35"/>
      <c r="N40" s="35"/>
      <c r="U40" s="35"/>
    </row>
    <row r="41" spans="13:21">
      <c r="M41" s="35"/>
      <c r="N41" s="35"/>
      <c r="U41" s="35"/>
    </row>
    <row r="42" spans="13:21">
      <c r="M42" s="35"/>
      <c r="N42" s="35"/>
      <c r="U42" s="35"/>
    </row>
    <row r="43" spans="13:21">
      <c r="M43" s="35"/>
      <c r="N43" s="35"/>
      <c r="U43" s="35"/>
    </row>
    <row r="44" spans="13:21">
      <c r="M44" s="35"/>
      <c r="N44" s="35"/>
      <c r="U44" s="35"/>
    </row>
    <row r="45" spans="13:21">
      <c r="M45" s="35"/>
      <c r="N45" s="35"/>
      <c r="U45" s="35"/>
    </row>
    <row r="46" spans="13:21">
      <c r="M46" s="35"/>
      <c r="N46" s="35"/>
      <c r="U46" s="35"/>
    </row>
    <row r="47" spans="13:21">
      <c r="M47" s="35"/>
      <c r="N47" s="35"/>
      <c r="U47" s="35"/>
    </row>
    <row r="48" spans="13:21">
      <c r="M48" s="35"/>
      <c r="N48" s="35"/>
      <c r="U48" s="35"/>
    </row>
    <row r="49" spans="13:21">
      <c r="M49" s="35"/>
      <c r="N49" s="35"/>
      <c r="U49" s="35"/>
    </row>
    <row r="50" spans="13:21">
      <c r="M50" s="35"/>
      <c r="N50" s="35"/>
      <c r="U50" s="35"/>
    </row>
    <row r="51" spans="13:21">
      <c r="M51" s="35"/>
      <c r="N51" s="35"/>
      <c r="U51" s="35"/>
    </row>
    <row r="52" spans="13:21">
      <c r="M52" s="35"/>
      <c r="N52" s="35"/>
      <c r="U52" s="35"/>
    </row>
    <row r="53" spans="13:21">
      <c r="M53" s="35"/>
      <c r="N53" s="35"/>
      <c r="U53" s="35"/>
    </row>
    <row r="54" spans="13:21">
      <c r="M54" s="35"/>
      <c r="N54" s="35"/>
      <c r="U54" s="35"/>
    </row>
    <row r="55" spans="13:21">
      <c r="M55" s="35"/>
      <c r="N55" s="35"/>
      <c r="U55" s="35"/>
    </row>
    <row r="56" spans="13:21">
      <c r="M56" s="35"/>
      <c r="N56" s="35"/>
      <c r="U56" s="35"/>
    </row>
    <row r="57" spans="13:21">
      <c r="M57" s="35"/>
      <c r="N57" s="35"/>
      <c r="U57" s="35"/>
    </row>
    <row r="58" spans="13:21">
      <c r="M58" s="35"/>
      <c r="N58" s="35"/>
      <c r="U58" s="35"/>
    </row>
    <row r="59" spans="13:21">
      <c r="M59" s="35"/>
      <c r="N59" s="35"/>
      <c r="U59" s="35"/>
    </row>
    <row r="60" spans="13:21">
      <c r="M60" s="35"/>
      <c r="N60" s="35"/>
      <c r="U60" s="35"/>
    </row>
    <row r="61" spans="13:21">
      <c r="M61" s="35"/>
      <c r="N61" s="35"/>
      <c r="U61" s="35"/>
    </row>
    <row r="62" spans="13:21">
      <c r="M62" s="35"/>
      <c r="N62" s="35"/>
      <c r="U62" s="35"/>
    </row>
    <row r="63" spans="13:21">
      <c r="M63" s="35"/>
      <c r="N63" s="35"/>
      <c r="U63" s="35"/>
    </row>
    <row r="64" spans="13:21">
      <c r="M64" s="35"/>
      <c r="N64" s="35"/>
      <c r="U64" s="35"/>
    </row>
    <row r="65" spans="13:21">
      <c r="M65" s="35"/>
      <c r="N65" s="35"/>
      <c r="U65" s="35"/>
    </row>
    <row r="66" spans="13:21">
      <c r="M66" s="35"/>
      <c r="N66" s="35"/>
      <c r="U66" s="35"/>
    </row>
    <row r="67" spans="13:21">
      <c r="M67" s="35"/>
      <c r="N67" s="35"/>
      <c r="U67" s="35"/>
    </row>
    <row r="68" spans="13:21">
      <c r="M68" s="35"/>
      <c r="N68" s="35"/>
      <c r="U68" s="35"/>
    </row>
    <row r="69" spans="13:21">
      <c r="M69" s="35"/>
      <c r="N69" s="35"/>
      <c r="U69" s="35"/>
    </row>
    <row r="70" spans="13:21">
      <c r="M70" s="35"/>
      <c r="N70" s="35"/>
      <c r="U70" s="35"/>
    </row>
    <row r="71" spans="13:21">
      <c r="M71" s="35"/>
      <c r="N71" s="35"/>
      <c r="U71" s="35"/>
    </row>
    <row r="72" spans="13:21">
      <c r="M72" s="35"/>
      <c r="N72" s="35"/>
      <c r="U72" s="35"/>
    </row>
    <row r="73" spans="13:21">
      <c r="M73" s="35"/>
      <c r="N73" s="35"/>
      <c r="U73" s="35"/>
    </row>
    <row r="74" spans="13:21">
      <c r="M74" s="35"/>
      <c r="N74" s="35"/>
      <c r="U74" s="35"/>
    </row>
    <row r="75" spans="13:21">
      <c r="M75" s="35"/>
      <c r="N75" s="35"/>
      <c r="U75" s="35"/>
    </row>
    <row r="76" spans="13:21">
      <c r="M76" s="35"/>
      <c r="N76" s="35"/>
      <c r="U76" s="35"/>
    </row>
    <row r="77" spans="13:21">
      <c r="M77" s="35"/>
      <c r="N77" s="35"/>
      <c r="U77" s="35"/>
    </row>
    <row r="78" spans="13:21">
      <c r="M78" s="35"/>
      <c r="N78" s="35"/>
      <c r="U78" s="35"/>
    </row>
    <row r="79" spans="13:21">
      <c r="M79" s="35"/>
      <c r="N79" s="35"/>
      <c r="U79" s="35"/>
    </row>
    <row r="80" spans="13:21">
      <c r="M80" s="35"/>
      <c r="N80" s="35"/>
      <c r="U80" s="35"/>
    </row>
    <row r="81" spans="13:21">
      <c r="M81" s="35"/>
      <c r="N81" s="35"/>
      <c r="U81" s="35"/>
    </row>
    <row r="82" spans="13:21">
      <c r="M82" s="35"/>
      <c r="N82" s="35"/>
      <c r="U82" s="35"/>
    </row>
    <row r="83" spans="13:21">
      <c r="M83" s="35"/>
      <c r="N83" s="35"/>
      <c r="U83" s="35"/>
    </row>
    <row r="84" spans="13:21">
      <c r="M84" s="35"/>
      <c r="N84" s="35"/>
      <c r="U84" s="35"/>
    </row>
    <row r="85" spans="13:21">
      <c r="M85" s="35"/>
      <c r="N85" s="35"/>
      <c r="U85" s="35"/>
    </row>
    <row r="86" spans="13:21">
      <c r="M86" s="35"/>
      <c r="N86" s="35"/>
      <c r="U86" s="35"/>
    </row>
    <row r="87" spans="13:21">
      <c r="M87" s="35"/>
      <c r="N87" s="35"/>
      <c r="U87" s="35"/>
    </row>
    <row r="88" spans="13:21">
      <c r="M88" s="35"/>
      <c r="N88" s="35"/>
      <c r="U88" s="35"/>
    </row>
    <row r="89" spans="13:21">
      <c r="M89" s="35"/>
      <c r="N89" s="35"/>
      <c r="U89" s="35"/>
    </row>
    <row r="90" spans="13:21">
      <c r="M90" s="35"/>
      <c r="N90" s="35"/>
      <c r="U90" s="35"/>
    </row>
    <row r="91" spans="13:21">
      <c r="M91" s="35"/>
      <c r="N91" s="35"/>
      <c r="U91" s="35"/>
    </row>
    <row r="92" spans="13:21">
      <c r="M92" s="35"/>
      <c r="N92" s="35"/>
      <c r="U92" s="35"/>
    </row>
    <row r="93" spans="13:21">
      <c r="M93" s="35"/>
      <c r="N93" s="35"/>
      <c r="U93" s="35"/>
    </row>
    <row r="94" spans="13:21">
      <c r="M94" s="35"/>
      <c r="N94" s="35"/>
      <c r="U94" s="35"/>
    </row>
    <row r="95" spans="13:21">
      <c r="M95" s="35"/>
      <c r="N95" s="35"/>
      <c r="U95" s="35"/>
    </row>
    <row r="96" spans="13:21">
      <c r="M96" s="35"/>
      <c r="N96" s="35"/>
      <c r="U96" s="35"/>
    </row>
    <row r="97" spans="13:21">
      <c r="M97" s="35"/>
      <c r="N97" s="35"/>
      <c r="U97" s="35"/>
    </row>
    <row r="98" spans="13:21">
      <c r="M98" s="35"/>
      <c r="N98" s="35"/>
      <c r="U98" s="35"/>
    </row>
    <row r="99" spans="13:21">
      <c r="M99" s="35"/>
      <c r="N99" s="35"/>
      <c r="U99" s="35"/>
    </row>
    <row r="100" spans="13:21">
      <c r="M100" s="35"/>
      <c r="N100" s="35"/>
      <c r="U100" s="35"/>
    </row>
    <row r="101" spans="13:21">
      <c r="M101" s="35"/>
      <c r="N101" s="35"/>
      <c r="U101" s="35"/>
    </row>
    <row r="102" spans="13:21">
      <c r="M102" s="35"/>
      <c r="N102" s="35"/>
      <c r="U102" s="35"/>
    </row>
    <row r="103" spans="13:21">
      <c r="M103" s="35"/>
      <c r="N103" s="35"/>
      <c r="U103" s="35"/>
    </row>
    <row r="104" spans="13:21">
      <c r="M104" s="35"/>
      <c r="N104" s="35"/>
      <c r="U104" s="35"/>
    </row>
    <row r="105" spans="13:21">
      <c r="M105" s="35"/>
      <c r="N105" s="35"/>
      <c r="U105" s="35"/>
    </row>
    <row r="106" spans="13:21">
      <c r="M106" s="35"/>
      <c r="N106" s="35"/>
      <c r="U106" s="35"/>
    </row>
    <row r="107" spans="13:21">
      <c r="M107" s="35"/>
      <c r="N107" s="35"/>
      <c r="U107" s="35"/>
    </row>
    <row r="108" spans="13:21">
      <c r="M108" s="35"/>
      <c r="N108" s="35"/>
      <c r="U108" s="35"/>
    </row>
    <row r="109" spans="13:21">
      <c r="M109" s="35"/>
      <c r="N109" s="35"/>
      <c r="U109" s="35"/>
    </row>
    <row r="110" spans="13:21">
      <c r="M110" s="35"/>
      <c r="N110" s="35"/>
      <c r="U110" s="35"/>
    </row>
    <row r="111" spans="13:21">
      <c r="M111" s="35"/>
      <c r="N111" s="35"/>
      <c r="U111" s="35"/>
    </row>
    <row r="112" spans="13:21">
      <c r="M112" s="35"/>
      <c r="N112" s="35"/>
      <c r="U112" s="35"/>
    </row>
    <row r="113" spans="13:21">
      <c r="M113" s="35"/>
      <c r="N113" s="35"/>
      <c r="U113" s="35"/>
    </row>
    <row r="114" spans="13:21">
      <c r="M114" s="35"/>
      <c r="N114" s="35"/>
      <c r="U114" s="35"/>
    </row>
    <row r="115" spans="13:21">
      <c r="M115" s="35"/>
      <c r="N115" s="35"/>
      <c r="U115" s="35"/>
    </row>
    <row r="116" spans="13:21">
      <c r="M116" s="35"/>
      <c r="N116" s="35"/>
      <c r="U116" s="35"/>
    </row>
    <row r="117" spans="13:21">
      <c r="M117" s="35"/>
      <c r="N117" s="35"/>
      <c r="U117" s="35"/>
    </row>
    <row r="118" spans="13:21">
      <c r="M118" s="35"/>
      <c r="N118" s="35"/>
      <c r="U118" s="35"/>
    </row>
    <row r="119" spans="13:21">
      <c r="M119" s="35"/>
      <c r="N119" s="35"/>
      <c r="U119" s="35"/>
    </row>
    <row r="120" spans="13:21">
      <c r="M120" s="35"/>
      <c r="N120" s="35"/>
      <c r="U120" s="35"/>
    </row>
    <row r="121" spans="13:21">
      <c r="M121" s="35"/>
      <c r="N121" s="35"/>
      <c r="U121" s="35"/>
    </row>
    <row r="122" spans="13:21">
      <c r="M122" s="35"/>
      <c r="N122" s="35"/>
      <c r="U122" s="35"/>
    </row>
    <row r="123" spans="13:21">
      <c r="M123" s="35"/>
      <c r="N123" s="35"/>
      <c r="U123" s="35"/>
    </row>
    <row r="124" spans="13:21">
      <c r="M124" s="35"/>
      <c r="N124" s="35"/>
      <c r="U124" s="35"/>
    </row>
    <row r="125" spans="13:21">
      <c r="M125" s="35"/>
      <c r="N125" s="35"/>
      <c r="U125" s="35"/>
    </row>
    <row r="126" spans="13:21">
      <c r="M126" s="35"/>
      <c r="N126" s="35"/>
      <c r="U126" s="35"/>
    </row>
    <row r="127" spans="13:21">
      <c r="M127" s="35"/>
      <c r="N127" s="35"/>
      <c r="U127" s="35"/>
    </row>
    <row r="128" spans="13:21">
      <c r="M128" s="35"/>
      <c r="N128" s="35"/>
      <c r="U128" s="35"/>
    </row>
    <row r="129" spans="13:21">
      <c r="M129" s="35"/>
      <c r="N129" s="35"/>
      <c r="U129" s="35"/>
    </row>
    <row r="130" spans="13:21">
      <c r="M130" s="35"/>
      <c r="N130" s="35"/>
      <c r="U130" s="35"/>
    </row>
    <row r="131" spans="13:21">
      <c r="M131" s="35"/>
      <c r="N131" s="35"/>
      <c r="U131" s="35"/>
    </row>
    <row r="132" spans="13:21">
      <c r="M132" s="35"/>
      <c r="N132" s="35"/>
      <c r="U132" s="35"/>
    </row>
    <row r="133" spans="13:21">
      <c r="M133" s="35"/>
      <c r="N133" s="35"/>
      <c r="U133" s="35"/>
    </row>
    <row r="134" spans="13:21">
      <c r="M134" s="35"/>
      <c r="N134" s="35"/>
      <c r="U134" s="35"/>
    </row>
    <row r="135" spans="13:21">
      <c r="M135" s="35"/>
      <c r="N135" s="35"/>
      <c r="U135" s="35"/>
    </row>
    <row r="136" spans="13:21">
      <c r="M136" s="35"/>
      <c r="N136" s="35"/>
      <c r="U136" s="35"/>
    </row>
    <row r="137" spans="13:21">
      <c r="M137" s="35"/>
      <c r="N137" s="35"/>
      <c r="U137" s="35"/>
    </row>
    <row r="138" spans="13:21">
      <c r="M138" s="35"/>
      <c r="N138" s="35"/>
      <c r="U138" s="35"/>
    </row>
    <row r="139" spans="13:21">
      <c r="M139" s="35"/>
      <c r="N139" s="35"/>
      <c r="U139" s="35"/>
    </row>
    <row r="140" spans="13:21">
      <c r="M140" s="35"/>
      <c r="N140" s="35"/>
      <c r="U140" s="35"/>
    </row>
    <row r="141" spans="13:21">
      <c r="M141" s="35"/>
      <c r="N141" s="35"/>
      <c r="U141" s="35"/>
    </row>
    <row r="142" spans="13:21">
      <c r="M142" s="35"/>
      <c r="N142" s="35"/>
      <c r="U142" s="35"/>
    </row>
    <row r="143" spans="13:21">
      <c r="M143" s="35"/>
      <c r="N143" s="35"/>
      <c r="U143" s="35"/>
    </row>
    <row r="144" spans="13:21">
      <c r="M144" s="35"/>
      <c r="N144" s="35"/>
      <c r="U144" s="35"/>
    </row>
    <row r="145" spans="13:21">
      <c r="M145" s="35"/>
      <c r="N145" s="35"/>
      <c r="U145" s="35"/>
    </row>
    <row r="146" spans="13:21">
      <c r="M146" s="35"/>
      <c r="N146" s="35"/>
      <c r="U146" s="35"/>
    </row>
    <row r="147" spans="13:21">
      <c r="M147" s="35"/>
      <c r="N147" s="35"/>
      <c r="U147" s="35"/>
    </row>
    <row r="148" spans="13:21">
      <c r="M148" s="35"/>
      <c r="N148" s="35"/>
      <c r="U148" s="35"/>
    </row>
    <row r="149" spans="13:21">
      <c r="M149" s="35"/>
      <c r="N149" s="35"/>
      <c r="U149" s="35"/>
    </row>
    <row r="150" spans="13:21">
      <c r="M150" s="35"/>
      <c r="N150" s="35"/>
      <c r="U150" s="35"/>
    </row>
    <row r="151" spans="13:21">
      <c r="M151" s="35"/>
      <c r="N151" s="35"/>
      <c r="U151" s="35"/>
    </row>
    <row r="152" spans="13:21">
      <c r="M152" s="35"/>
      <c r="N152" s="35"/>
      <c r="U152" s="35"/>
    </row>
    <row r="153" spans="13:21">
      <c r="M153" s="35"/>
      <c r="N153" s="35"/>
      <c r="U153" s="35"/>
    </row>
    <row r="154" spans="13:21">
      <c r="M154" s="35"/>
      <c r="N154" s="35"/>
      <c r="U154" s="35"/>
    </row>
    <row r="155" spans="13:21">
      <c r="M155" s="35"/>
      <c r="N155" s="35"/>
      <c r="U155" s="35"/>
    </row>
    <row r="156" spans="13:21">
      <c r="M156" s="35"/>
      <c r="N156" s="35"/>
      <c r="U156" s="35"/>
    </row>
    <row r="157" spans="13:21">
      <c r="M157" s="35"/>
      <c r="N157" s="35"/>
      <c r="U157" s="35"/>
    </row>
    <row r="158" spans="13:21">
      <c r="M158" s="35"/>
      <c r="N158" s="35"/>
      <c r="U158" s="35"/>
    </row>
    <row r="159" spans="13:21">
      <c r="M159" s="35"/>
      <c r="N159" s="35"/>
      <c r="U159" s="35"/>
    </row>
    <row r="160" spans="13:21">
      <c r="M160" s="35"/>
      <c r="N160" s="35"/>
      <c r="U160" s="35"/>
    </row>
    <row r="161" spans="13:21">
      <c r="M161" s="35"/>
      <c r="N161" s="35"/>
      <c r="U161" s="35"/>
    </row>
    <row r="162" spans="13:21">
      <c r="M162" s="35"/>
      <c r="N162" s="35"/>
      <c r="U162" s="35"/>
    </row>
    <row r="163" spans="13:21">
      <c r="M163" s="35"/>
      <c r="N163" s="35"/>
      <c r="U163" s="35"/>
    </row>
    <row r="164" spans="13:21">
      <c r="M164" s="35"/>
      <c r="N164" s="35"/>
      <c r="U164" s="35"/>
    </row>
    <row r="165" spans="13:21">
      <c r="M165" s="35"/>
      <c r="N165" s="35"/>
      <c r="U165" s="35"/>
    </row>
    <row r="166" spans="13:21">
      <c r="M166" s="35"/>
      <c r="N166" s="35"/>
      <c r="U166" s="35"/>
    </row>
    <row r="167" spans="13:21">
      <c r="M167" s="35"/>
      <c r="N167" s="35"/>
      <c r="U167" s="35"/>
    </row>
    <row r="168" spans="13:21">
      <c r="M168" s="35"/>
      <c r="N168" s="35"/>
      <c r="U168" s="35"/>
    </row>
    <row r="169" spans="13:21">
      <c r="M169" s="35"/>
      <c r="N169" s="35"/>
      <c r="U169" s="35"/>
    </row>
    <row r="170" spans="13:21">
      <c r="M170" s="35"/>
      <c r="N170" s="35"/>
      <c r="U170" s="35"/>
    </row>
    <row r="171" spans="13:21">
      <c r="M171" s="35"/>
      <c r="N171" s="35"/>
      <c r="U171" s="35"/>
    </row>
    <row r="172" spans="13:21">
      <c r="M172" s="35"/>
      <c r="N172" s="35"/>
      <c r="U172" s="35"/>
    </row>
    <row r="173" spans="13:21">
      <c r="M173" s="35"/>
      <c r="N173" s="35"/>
      <c r="U173" s="35"/>
    </row>
    <row r="174" spans="13:21">
      <c r="M174" s="35"/>
      <c r="N174" s="35"/>
      <c r="U174" s="35"/>
    </row>
    <row r="175" spans="13:21">
      <c r="M175" s="35"/>
      <c r="N175" s="35"/>
      <c r="U175" s="35"/>
    </row>
    <row r="176" spans="13:21">
      <c r="M176" s="35"/>
      <c r="N176" s="35"/>
      <c r="U176" s="35"/>
    </row>
    <row r="177" spans="13:21">
      <c r="M177" s="35"/>
      <c r="N177" s="35"/>
      <c r="U177" s="35"/>
    </row>
    <row r="178" spans="13:21">
      <c r="M178" s="35"/>
      <c r="N178" s="35"/>
      <c r="U178" s="35"/>
    </row>
    <row r="179" spans="13:21">
      <c r="M179" s="35"/>
      <c r="N179" s="35"/>
      <c r="U179" s="35"/>
    </row>
    <row r="180" spans="13:21">
      <c r="M180" s="35"/>
      <c r="N180" s="35"/>
      <c r="U180" s="35"/>
    </row>
    <row r="181" spans="13:21">
      <c r="M181" s="35"/>
      <c r="N181" s="35"/>
      <c r="U181" s="35"/>
    </row>
    <row r="182" spans="13:21">
      <c r="M182" s="35"/>
      <c r="N182" s="35"/>
      <c r="U182" s="35"/>
    </row>
    <row r="183" spans="13:21">
      <c r="M183" s="35"/>
      <c r="N183" s="35"/>
      <c r="U183" s="35"/>
    </row>
    <row r="184" spans="13:21">
      <c r="M184" s="35"/>
      <c r="N184" s="35"/>
      <c r="U184" s="35"/>
    </row>
    <row r="185" spans="13:21">
      <c r="M185" s="35"/>
      <c r="N185" s="35"/>
      <c r="U185" s="35"/>
    </row>
    <row r="186" spans="13:21">
      <c r="M186" s="35"/>
      <c r="N186" s="35"/>
      <c r="U186" s="35"/>
    </row>
    <row r="187" spans="13:21">
      <c r="M187" s="35"/>
      <c r="N187" s="35"/>
      <c r="U187" s="35"/>
    </row>
    <row r="188" spans="13:21">
      <c r="M188" s="35"/>
      <c r="N188" s="35"/>
      <c r="U188" s="35"/>
    </row>
    <row r="189" spans="13:21">
      <c r="M189" s="35"/>
      <c r="N189" s="35"/>
      <c r="U189" s="35"/>
    </row>
    <row r="190" spans="13:21">
      <c r="M190" s="35"/>
      <c r="N190" s="35"/>
      <c r="U190" s="35"/>
    </row>
    <row r="191" spans="13:21">
      <c r="M191" s="35"/>
      <c r="N191" s="35"/>
      <c r="U191" s="35"/>
    </row>
    <row r="192" spans="13:21">
      <c r="M192" s="35"/>
      <c r="N192" s="35"/>
      <c r="U192" s="35"/>
    </row>
    <row r="193" spans="13:21">
      <c r="M193" s="35"/>
      <c r="N193" s="35"/>
      <c r="U193" s="35"/>
    </row>
    <row r="194" spans="13:21">
      <c r="M194" s="35"/>
      <c r="N194" s="35"/>
      <c r="U194" s="35"/>
    </row>
    <row r="195" spans="13:21">
      <c r="M195" s="35"/>
      <c r="N195" s="35"/>
      <c r="U195" s="35"/>
    </row>
    <row r="196" spans="13:21">
      <c r="M196" s="35"/>
      <c r="N196" s="35"/>
      <c r="U196" s="35"/>
    </row>
    <row r="197" spans="13:21">
      <c r="M197" s="35"/>
      <c r="N197" s="35"/>
      <c r="U197" s="35"/>
    </row>
    <row r="198" spans="13:21">
      <c r="M198" s="35"/>
      <c r="N198" s="35"/>
      <c r="U198" s="35"/>
    </row>
    <row r="199" spans="13:21">
      <c r="M199" s="35"/>
      <c r="N199" s="35"/>
      <c r="U199" s="35"/>
    </row>
    <row r="200" spans="13:21">
      <c r="M200" s="35"/>
      <c r="N200" s="35"/>
      <c r="U200" s="35"/>
    </row>
    <row r="201" spans="13:21">
      <c r="M201" s="35"/>
      <c r="N201" s="35"/>
      <c r="U201" s="35"/>
    </row>
    <row r="202" spans="13:21">
      <c r="M202" s="35"/>
      <c r="N202" s="35"/>
      <c r="U202" s="35"/>
    </row>
    <row r="203" spans="13:21">
      <c r="M203" s="35"/>
      <c r="N203" s="35"/>
      <c r="U203" s="35"/>
    </row>
    <row r="204" spans="13:21">
      <c r="M204" s="35"/>
      <c r="N204" s="35"/>
      <c r="U204" s="35"/>
    </row>
    <row r="205" spans="13:21">
      <c r="M205" s="35"/>
      <c r="N205" s="35"/>
      <c r="U205" s="35"/>
    </row>
    <row r="206" spans="13:21">
      <c r="M206" s="35"/>
      <c r="N206" s="35"/>
      <c r="U206" s="35"/>
    </row>
    <row r="207" spans="13:21">
      <c r="M207" s="35"/>
      <c r="N207" s="35"/>
      <c r="U207" s="35"/>
    </row>
    <row r="208" spans="13:21">
      <c r="M208" s="35"/>
      <c r="N208" s="35"/>
      <c r="U208" s="35"/>
    </row>
    <row r="209" spans="13:21">
      <c r="M209" s="35"/>
      <c r="N209" s="35"/>
      <c r="U209" s="35"/>
    </row>
    <row r="210" spans="13:21">
      <c r="M210" s="35"/>
      <c r="N210" s="35"/>
      <c r="U210" s="35"/>
    </row>
    <row r="211" spans="13:21">
      <c r="M211" s="35"/>
      <c r="N211" s="35"/>
      <c r="U211" s="35"/>
    </row>
    <row r="212" spans="13:21">
      <c r="M212" s="35"/>
      <c r="N212" s="35"/>
      <c r="U212" s="35"/>
    </row>
    <row r="213" spans="13:21">
      <c r="M213" s="35"/>
      <c r="N213" s="35"/>
      <c r="U213" s="35"/>
    </row>
    <row r="214" spans="13:21">
      <c r="M214" s="35"/>
      <c r="N214" s="35"/>
      <c r="U214" s="35"/>
    </row>
    <row r="215" spans="13:21">
      <c r="M215" s="35"/>
      <c r="N215" s="35"/>
      <c r="U215" s="35"/>
    </row>
    <row r="216" spans="13:21">
      <c r="M216" s="35"/>
      <c r="N216" s="35"/>
      <c r="U216" s="35"/>
    </row>
    <row r="217" spans="13:21">
      <c r="M217" s="35"/>
      <c r="N217" s="35"/>
      <c r="U217" s="35"/>
    </row>
    <row r="218" spans="13:21">
      <c r="M218" s="35"/>
      <c r="N218" s="35"/>
      <c r="U218" s="35"/>
    </row>
    <row r="219" spans="13:21">
      <c r="M219" s="35"/>
      <c r="N219" s="35"/>
      <c r="U219" s="35"/>
    </row>
    <row r="220" spans="13:21">
      <c r="M220" s="35"/>
      <c r="N220" s="35"/>
      <c r="U220" s="35"/>
    </row>
    <row r="221" spans="13:21">
      <c r="M221" s="35"/>
      <c r="N221" s="35"/>
      <c r="U221" s="35"/>
    </row>
    <row r="222" spans="13:21">
      <c r="M222" s="35"/>
      <c r="N222" s="35"/>
      <c r="U222" s="35"/>
    </row>
    <row r="223" spans="13:21">
      <c r="M223" s="35"/>
      <c r="N223" s="35"/>
      <c r="U223" s="35"/>
    </row>
    <row r="224" spans="13:21">
      <c r="M224" s="35"/>
      <c r="N224" s="35"/>
      <c r="U224" s="35"/>
    </row>
    <row r="225" spans="13:21">
      <c r="M225" s="35"/>
      <c r="N225" s="35"/>
      <c r="U225" s="35"/>
    </row>
    <row r="226" spans="13:21">
      <c r="M226" s="35"/>
      <c r="N226" s="35"/>
      <c r="U226" s="35"/>
    </row>
    <row r="227" spans="13:21">
      <c r="M227" s="35"/>
      <c r="N227" s="35"/>
      <c r="U227" s="35"/>
    </row>
    <row r="228" spans="13:21">
      <c r="M228" s="35"/>
      <c r="N228" s="35"/>
      <c r="U228" s="35"/>
    </row>
    <row r="229" spans="13:21">
      <c r="M229" s="35"/>
      <c r="N229" s="35"/>
      <c r="U229" s="35"/>
    </row>
    <row r="230" spans="13:21">
      <c r="M230" s="35"/>
      <c r="N230" s="35"/>
      <c r="U230" s="35"/>
    </row>
    <row r="231" spans="13:21">
      <c r="M231" s="35"/>
      <c r="N231" s="35"/>
      <c r="U231" s="35"/>
    </row>
    <row r="232" spans="13:21">
      <c r="M232" s="35"/>
      <c r="N232" s="35"/>
      <c r="U232" s="35"/>
    </row>
    <row r="233" spans="13:21">
      <c r="M233" s="35"/>
      <c r="N233" s="35"/>
      <c r="U233" s="35"/>
    </row>
    <row r="234" spans="13:21">
      <c r="M234" s="35"/>
      <c r="N234" s="35"/>
      <c r="U234" s="35"/>
    </row>
    <row r="235" spans="13:21">
      <c r="M235" s="35"/>
      <c r="N235" s="35"/>
      <c r="U235" s="35"/>
    </row>
    <row r="236" spans="13:21">
      <c r="M236" s="35"/>
      <c r="N236" s="35"/>
      <c r="U236" s="35"/>
    </row>
    <row r="237" spans="13:21">
      <c r="M237" s="35"/>
      <c r="N237" s="35"/>
      <c r="U237" s="35"/>
    </row>
    <row r="238" spans="13:21">
      <c r="M238" s="35"/>
      <c r="N238" s="35"/>
      <c r="U238" s="35"/>
    </row>
    <row r="239" spans="13:21">
      <c r="M239" s="35"/>
      <c r="N239" s="35"/>
      <c r="U239" s="35"/>
    </row>
    <row r="240" spans="13:21">
      <c r="M240" s="35"/>
      <c r="N240" s="35"/>
      <c r="U240" s="35"/>
    </row>
    <row r="241" spans="13:21">
      <c r="M241" s="35"/>
      <c r="N241" s="35"/>
      <c r="U241" s="35"/>
    </row>
    <row r="242" spans="13:21">
      <c r="M242" s="35"/>
      <c r="N242" s="35"/>
      <c r="U242" s="35"/>
    </row>
    <row r="243" spans="13:21">
      <c r="M243" s="35"/>
      <c r="N243" s="35"/>
      <c r="U243" s="35"/>
    </row>
    <row r="244" spans="13:21">
      <c r="M244" s="35"/>
      <c r="N244" s="35"/>
      <c r="U244" s="35"/>
    </row>
    <row r="245" spans="13:21">
      <c r="M245" s="35"/>
      <c r="N245" s="35"/>
      <c r="U245" s="35"/>
    </row>
    <row r="246" spans="13:21">
      <c r="M246" s="35"/>
      <c r="N246" s="35"/>
      <c r="U246" s="35"/>
    </row>
    <row r="247" spans="13:21">
      <c r="M247" s="35"/>
      <c r="N247" s="35"/>
      <c r="U247" s="35"/>
    </row>
    <row r="248" spans="13:21">
      <c r="M248" s="35"/>
      <c r="N248" s="35"/>
      <c r="U248" s="35"/>
    </row>
    <row r="249" spans="13:21">
      <c r="M249" s="35"/>
      <c r="N249" s="35"/>
      <c r="U249" s="35"/>
    </row>
    <row r="250" spans="13:21">
      <c r="M250" s="35"/>
      <c r="N250" s="35"/>
      <c r="U250" s="35"/>
    </row>
    <row r="251" spans="13:21">
      <c r="M251" s="35"/>
      <c r="N251" s="35"/>
      <c r="U251" s="35"/>
    </row>
    <row r="252" spans="13:21">
      <c r="M252" s="35"/>
      <c r="N252" s="35"/>
      <c r="U252" s="35"/>
    </row>
    <row r="253" spans="13:21">
      <c r="M253" s="35"/>
      <c r="N253" s="35"/>
      <c r="U253" s="35"/>
    </row>
    <row r="254" spans="13:21">
      <c r="M254" s="35"/>
      <c r="N254" s="35"/>
      <c r="U254" s="35"/>
    </row>
    <row r="255" spans="13:21">
      <c r="M255" s="35"/>
      <c r="N255" s="35"/>
      <c r="U255" s="35"/>
    </row>
    <row r="256" spans="13:21">
      <c r="M256" s="35"/>
      <c r="N256" s="35"/>
      <c r="U256" s="35"/>
    </row>
    <row r="257" spans="13:21">
      <c r="M257" s="35"/>
      <c r="N257" s="35"/>
      <c r="U257" s="35"/>
    </row>
    <row r="258" spans="13:21">
      <c r="M258" s="35"/>
      <c r="N258" s="35"/>
      <c r="U258" s="35"/>
    </row>
    <row r="259" spans="13:21">
      <c r="M259" s="35"/>
      <c r="N259" s="35"/>
      <c r="U259" s="35"/>
    </row>
    <row r="260" spans="13:21">
      <c r="M260" s="35"/>
      <c r="N260" s="35"/>
      <c r="U260" s="35"/>
    </row>
    <row r="261" spans="13:21">
      <c r="M261" s="35"/>
      <c r="N261" s="35"/>
      <c r="U261" s="35"/>
    </row>
    <row r="262" spans="13:21">
      <c r="M262" s="35"/>
      <c r="N262" s="35"/>
      <c r="U262" s="35"/>
    </row>
    <row r="263" spans="13:21">
      <c r="M263" s="35"/>
      <c r="N263" s="35"/>
      <c r="U263" s="35"/>
    </row>
    <row r="264" spans="13:21">
      <c r="M264" s="35"/>
      <c r="N264" s="35"/>
      <c r="U264" s="35"/>
    </row>
    <row r="265" spans="13:21">
      <c r="M265" s="35"/>
      <c r="N265" s="35"/>
      <c r="U265" s="35"/>
    </row>
    <row r="266" spans="13:21">
      <c r="M266" s="35"/>
      <c r="N266" s="35"/>
      <c r="U266" s="35"/>
    </row>
    <row r="267" spans="13:21">
      <c r="M267" s="35"/>
      <c r="N267" s="35"/>
      <c r="U267" s="35"/>
    </row>
    <row r="268" spans="13:21">
      <c r="M268" s="35"/>
      <c r="N268" s="35"/>
      <c r="U268" s="35"/>
    </row>
    <row r="269" spans="13:21">
      <c r="M269" s="35"/>
      <c r="N269" s="35"/>
      <c r="U269" s="35"/>
    </row>
    <row r="270" spans="13:21">
      <c r="M270" s="35"/>
      <c r="N270" s="35"/>
      <c r="U270" s="35"/>
    </row>
    <row r="271" spans="13:21">
      <c r="M271" s="35"/>
      <c r="N271" s="35"/>
      <c r="U271" s="35"/>
    </row>
    <row r="272" spans="13:21">
      <c r="M272" s="35"/>
      <c r="N272" s="35"/>
      <c r="U272" s="35"/>
    </row>
    <row r="273" spans="13:21">
      <c r="M273" s="35"/>
      <c r="N273" s="35"/>
      <c r="U273" s="35"/>
    </row>
    <row r="274" spans="13:21">
      <c r="M274" s="35"/>
      <c r="N274" s="35"/>
      <c r="U274" s="35"/>
    </row>
    <row r="275" spans="13:21">
      <c r="M275" s="35"/>
      <c r="N275" s="35"/>
      <c r="U275" s="35"/>
    </row>
    <row r="276" spans="13:21">
      <c r="M276" s="35"/>
      <c r="N276" s="35"/>
      <c r="U276" s="35"/>
    </row>
    <row r="277" spans="13:21">
      <c r="M277" s="35"/>
      <c r="N277" s="35"/>
      <c r="U277" s="35"/>
    </row>
    <row r="278" spans="13:21">
      <c r="M278" s="35"/>
      <c r="N278" s="35"/>
      <c r="U278" s="35"/>
    </row>
    <row r="279" spans="13:21">
      <c r="M279" s="35"/>
      <c r="N279" s="35"/>
      <c r="U279" s="35"/>
    </row>
    <row r="280" spans="13:21">
      <c r="M280" s="35"/>
      <c r="N280" s="35"/>
      <c r="U280" s="35"/>
    </row>
    <row r="281" spans="13:21">
      <c r="M281" s="35"/>
      <c r="N281" s="35"/>
      <c r="U281" s="35"/>
    </row>
    <row r="282" spans="13:21">
      <c r="M282" s="35"/>
      <c r="N282" s="35"/>
      <c r="U282" s="35"/>
    </row>
    <row r="283" spans="13:21">
      <c r="M283" s="35"/>
      <c r="N283" s="35"/>
      <c r="U283" s="35"/>
    </row>
    <row r="284" spans="13:21">
      <c r="M284" s="35"/>
      <c r="N284" s="35"/>
      <c r="U284" s="35"/>
    </row>
    <row r="285" spans="13:21">
      <c r="M285" s="35"/>
      <c r="N285" s="35"/>
      <c r="U285" s="35"/>
    </row>
    <row r="286" spans="13:21">
      <c r="M286" s="35"/>
      <c r="N286" s="35"/>
      <c r="U286" s="35"/>
    </row>
    <row r="287" spans="13:21">
      <c r="M287" s="35"/>
      <c r="N287" s="35"/>
      <c r="U287" s="35"/>
    </row>
    <row r="288" spans="13:21">
      <c r="M288" s="35"/>
      <c r="N288" s="35"/>
      <c r="U288" s="35"/>
    </row>
    <row r="289" spans="13:21">
      <c r="M289" s="35"/>
      <c r="N289" s="35"/>
      <c r="U289" s="35"/>
    </row>
    <row r="290" spans="13:21">
      <c r="M290" s="35"/>
      <c r="N290" s="35"/>
      <c r="U290" s="35"/>
    </row>
    <row r="291" spans="13:21">
      <c r="M291" s="35"/>
      <c r="N291" s="35"/>
      <c r="U291" s="35"/>
    </row>
    <row r="292" spans="13:21">
      <c r="M292" s="35"/>
      <c r="N292" s="35"/>
      <c r="U292" s="35"/>
    </row>
    <row r="293" spans="13:21">
      <c r="M293" s="35"/>
      <c r="N293" s="35"/>
      <c r="U293" s="35"/>
    </row>
    <row r="294" spans="13:21">
      <c r="M294" s="35"/>
      <c r="N294" s="35"/>
      <c r="U294" s="35"/>
    </row>
    <row r="295" spans="13:21">
      <c r="M295" s="35"/>
      <c r="N295" s="35"/>
      <c r="U295" s="35"/>
    </row>
    <row r="296" spans="13:21">
      <c r="M296" s="35"/>
      <c r="N296" s="35"/>
      <c r="U296" s="35"/>
    </row>
    <row r="297" spans="13:21">
      <c r="M297" s="35"/>
      <c r="N297" s="35"/>
      <c r="U297" s="35"/>
    </row>
    <row r="298" spans="13:21">
      <c r="M298" s="35"/>
      <c r="N298" s="35"/>
      <c r="U298" s="35"/>
    </row>
    <row r="299" spans="13:21">
      <c r="M299" s="35"/>
      <c r="N299" s="35"/>
      <c r="U299" s="35"/>
    </row>
    <row r="300" spans="13:21">
      <c r="M300" s="35"/>
      <c r="N300" s="35"/>
      <c r="U300" s="35"/>
    </row>
    <row r="301" spans="13:21">
      <c r="M301" s="35"/>
      <c r="N301" s="35"/>
      <c r="U301" s="35"/>
    </row>
    <row r="302" spans="13:21">
      <c r="M302" s="35"/>
      <c r="N302" s="35"/>
      <c r="U302" s="35"/>
    </row>
    <row r="303" spans="13:21">
      <c r="M303" s="35"/>
      <c r="N303" s="35"/>
      <c r="U303" s="35"/>
    </row>
    <row r="304" spans="13:21">
      <c r="M304" s="35"/>
      <c r="N304" s="35"/>
      <c r="U304" s="35"/>
    </row>
    <row r="305" spans="13:21">
      <c r="M305" s="35"/>
      <c r="N305" s="35"/>
      <c r="U305" s="35"/>
    </row>
    <row r="306" spans="13:21">
      <c r="M306" s="35"/>
      <c r="N306" s="35"/>
      <c r="U306" s="35"/>
    </row>
    <row r="307" spans="13:21">
      <c r="M307" s="35"/>
      <c r="N307" s="35"/>
      <c r="U307" s="35"/>
    </row>
    <row r="308" spans="13:21">
      <c r="M308" s="35"/>
      <c r="N308" s="35"/>
      <c r="U308" s="35"/>
    </row>
    <row r="309" spans="13:21">
      <c r="M309" s="35"/>
      <c r="N309" s="35"/>
      <c r="U309" s="35"/>
    </row>
    <row r="310" spans="13:21">
      <c r="M310" s="35"/>
      <c r="N310" s="35"/>
      <c r="U310" s="35"/>
    </row>
    <row r="311" spans="13:21">
      <c r="M311" s="35"/>
      <c r="N311" s="35"/>
      <c r="U311" s="35"/>
    </row>
    <row r="312" spans="13:21">
      <c r="M312" s="35"/>
      <c r="N312" s="35"/>
      <c r="U312" s="35"/>
    </row>
    <row r="313" spans="13:21">
      <c r="M313" s="35"/>
      <c r="N313" s="35"/>
      <c r="U313" s="35"/>
    </row>
    <row r="314" spans="13:21">
      <c r="M314" s="35"/>
      <c r="N314" s="35"/>
      <c r="U314" s="35"/>
    </row>
    <row r="315" spans="13:21">
      <c r="M315" s="35"/>
      <c r="N315" s="35"/>
      <c r="U315" s="35"/>
    </row>
    <row r="316" spans="13:21">
      <c r="M316" s="35"/>
      <c r="N316" s="35"/>
      <c r="U316" s="35"/>
    </row>
    <row r="317" spans="13:21">
      <c r="M317" s="35"/>
      <c r="N317" s="35"/>
      <c r="U317" s="35"/>
    </row>
    <row r="318" spans="13:21">
      <c r="M318" s="35"/>
      <c r="N318" s="35"/>
      <c r="U318" s="35"/>
    </row>
    <row r="319" spans="13:21">
      <c r="M319" s="35"/>
      <c r="N319" s="35"/>
      <c r="U319" s="35"/>
    </row>
    <row r="320" spans="13:21">
      <c r="M320" s="35"/>
      <c r="N320" s="35"/>
      <c r="U320" s="35"/>
    </row>
    <row r="321" spans="13:21">
      <c r="M321" s="35"/>
      <c r="N321" s="35"/>
      <c r="U321" s="35"/>
    </row>
    <row r="322" spans="13:21">
      <c r="M322" s="35"/>
      <c r="N322" s="35"/>
      <c r="U322" s="35"/>
    </row>
    <row r="323" spans="13:21">
      <c r="M323" s="35"/>
      <c r="N323" s="35"/>
      <c r="U323" s="35"/>
    </row>
    <row r="324" spans="13:21">
      <c r="M324" s="35"/>
      <c r="N324" s="35"/>
      <c r="U324" s="35"/>
    </row>
    <row r="325" spans="13:21">
      <c r="M325" s="35"/>
      <c r="N325" s="35"/>
      <c r="U325" s="35"/>
    </row>
    <row r="326" spans="13:21">
      <c r="M326" s="35"/>
      <c r="N326" s="35"/>
      <c r="U326" s="35"/>
    </row>
    <row r="327" spans="13:21">
      <c r="M327" s="35"/>
      <c r="N327" s="35"/>
      <c r="U327" s="35"/>
    </row>
    <row r="328" spans="13:21">
      <c r="M328" s="35"/>
      <c r="N328" s="35"/>
      <c r="U328" s="35"/>
    </row>
    <row r="329" spans="13:21">
      <c r="M329" s="35"/>
      <c r="N329" s="35"/>
      <c r="U329" s="35"/>
    </row>
    <row r="330" spans="13:21">
      <c r="M330" s="35"/>
      <c r="N330" s="35"/>
      <c r="U330" s="35"/>
    </row>
    <row r="331" spans="13:21">
      <c r="M331" s="35"/>
      <c r="N331" s="35"/>
      <c r="U331" s="35"/>
    </row>
    <row r="332" spans="13:21">
      <c r="M332" s="35"/>
      <c r="N332" s="35"/>
      <c r="U332" s="35"/>
    </row>
    <row r="333" spans="13:21">
      <c r="M333" s="35"/>
      <c r="N333" s="35"/>
      <c r="U333" s="35"/>
    </row>
    <row r="334" spans="13:21">
      <c r="M334" s="35"/>
      <c r="N334" s="35"/>
      <c r="U334" s="35"/>
    </row>
    <row r="335" spans="13:21">
      <c r="M335" s="35"/>
      <c r="N335" s="35"/>
      <c r="U335" s="35"/>
    </row>
    <row r="336" spans="13:21">
      <c r="M336" s="35"/>
      <c r="N336" s="35"/>
      <c r="U336" s="35"/>
    </row>
    <row r="337" spans="13:21">
      <c r="M337" s="35"/>
      <c r="N337" s="35"/>
      <c r="U337" s="35"/>
    </row>
    <row r="338" spans="13:21">
      <c r="M338" s="35"/>
      <c r="N338" s="35"/>
      <c r="U338" s="35"/>
    </row>
    <row r="339" spans="13:21">
      <c r="M339" s="35"/>
      <c r="N339" s="35"/>
      <c r="U339" s="35"/>
    </row>
    <row r="340" spans="13:21">
      <c r="M340" s="35"/>
      <c r="N340" s="35"/>
      <c r="U340" s="35"/>
    </row>
    <row r="341" spans="13:21">
      <c r="M341" s="35"/>
      <c r="N341" s="35"/>
      <c r="U341" s="35"/>
    </row>
    <row r="342" spans="13:21">
      <c r="M342" s="35"/>
      <c r="N342" s="35"/>
      <c r="U342" s="35"/>
    </row>
    <row r="343" spans="13:21">
      <c r="M343" s="35"/>
      <c r="N343" s="35"/>
      <c r="U343" s="35"/>
    </row>
    <row r="344" spans="13:21">
      <c r="M344" s="35"/>
      <c r="N344" s="35"/>
      <c r="U344" s="35"/>
    </row>
    <row r="345" spans="13:21">
      <c r="M345" s="35"/>
      <c r="N345" s="35"/>
      <c r="U345" s="35"/>
    </row>
    <row r="346" spans="13:21">
      <c r="M346" s="35"/>
      <c r="N346" s="35"/>
      <c r="U346" s="35"/>
    </row>
    <row r="347" spans="13:21">
      <c r="M347" s="35"/>
      <c r="N347" s="35"/>
      <c r="U347" s="35"/>
    </row>
    <row r="348" spans="13:21">
      <c r="M348" s="35"/>
      <c r="N348" s="35"/>
      <c r="U348" s="35"/>
    </row>
    <row r="349" spans="13:21">
      <c r="M349" s="35"/>
      <c r="N349" s="35"/>
      <c r="U349" s="35"/>
    </row>
    <row r="350" spans="13:21">
      <c r="M350" s="35"/>
      <c r="N350" s="35"/>
      <c r="U350" s="35"/>
    </row>
    <row r="351" spans="13:21">
      <c r="M351" s="35"/>
      <c r="N351" s="35"/>
      <c r="U351" s="35"/>
    </row>
    <row r="352" spans="13:21">
      <c r="M352" s="35"/>
      <c r="N352" s="35"/>
      <c r="U352" s="35"/>
    </row>
    <row r="353" spans="13:21">
      <c r="M353" s="35"/>
      <c r="N353" s="35"/>
      <c r="U353" s="35"/>
    </row>
    <row r="354" spans="13:21">
      <c r="M354" s="35"/>
      <c r="N354" s="35"/>
      <c r="U354" s="35"/>
    </row>
    <row r="355" spans="13:21">
      <c r="M355" s="35"/>
      <c r="N355" s="35"/>
      <c r="U355" s="35"/>
    </row>
    <row r="356" spans="13:21">
      <c r="M356" s="35"/>
      <c r="N356" s="35"/>
      <c r="U356" s="35"/>
    </row>
    <row r="357" spans="13:21">
      <c r="M357" s="35"/>
      <c r="N357" s="35"/>
      <c r="U357" s="35"/>
    </row>
    <row r="358" spans="13:21">
      <c r="M358" s="35"/>
      <c r="N358" s="35"/>
      <c r="U358" s="35"/>
    </row>
    <row r="359" spans="13:21">
      <c r="M359" s="35"/>
      <c r="N359" s="35"/>
      <c r="U359" s="35"/>
    </row>
    <row r="360" spans="13:21">
      <c r="M360" s="35"/>
      <c r="N360" s="35"/>
      <c r="U360" s="35"/>
    </row>
    <row r="361" spans="13:21">
      <c r="M361" s="35"/>
      <c r="N361" s="35"/>
      <c r="U361" s="35"/>
    </row>
    <row r="362" spans="13:21">
      <c r="M362" s="35"/>
      <c r="N362" s="35"/>
      <c r="U362" s="35"/>
    </row>
    <row r="363" spans="13:21">
      <c r="M363" s="35"/>
      <c r="N363" s="35"/>
      <c r="U363" s="35"/>
    </row>
    <row r="364" spans="13:21">
      <c r="M364" s="35"/>
      <c r="N364" s="35"/>
      <c r="U364" s="35"/>
    </row>
    <row r="365" spans="13:21">
      <c r="M365" s="35"/>
      <c r="N365" s="35"/>
      <c r="U365" s="35"/>
    </row>
    <row r="366" spans="13:21">
      <c r="M366" s="35"/>
      <c r="N366" s="35"/>
      <c r="U366" s="35"/>
    </row>
    <row r="367" spans="13:21">
      <c r="M367" s="35"/>
      <c r="N367" s="35"/>
      <c r="U367" s="35"/>
    </row>
    <row r="368" spans="13:21">
      <c r="M368" s="35"/>
      <c r="N368" s="35"/>
      <c r="U368" s="35"/>
    </row>
    <row r="369" spans="13:21">
      <c r="M369" s="35"/>
      <c r="N369" s="35"/>
      <c r="U369" s="35"/>
    </row>
    <row r="370" spans="13:21">
      <c r="M370" s="35"/>
      <c r="N370" s="35"/>
      <c r="U370" s="35"/>
    </row>
    <row r="371" spans="13:21">
      <c r="M371" s="35"/>
      <c r="N371" s="35"/>
      <c r="U371" s="35"/>
    </row>
    <row r="372" spans="13:21">
      <c r="M372" s="35"/>
      <c r="N372" s="35"/>
      <c r="U372" s="35"/>
    </row>
    <row r="373" spans="13:21">
      <c r="M373" s="35"/>
      <c r="N373" s="35"/>
      <c r="U373" s="35"/>
    </row>
    <row r="374" spans="13:21">
      <c r="M374" s="35"/>
      <c r="N374" s="35"/>
      <c r="U374" s="35"/>
    </row>
    <row r="375" spans="13:21">
      <c r="M375" s="35"/>
      <c r="N375" s="35"/>
      <c r="U375" s="35"/>
    </row>
    <row r="376" spans="13:21">
      <c r="M376" s="35"/>
      <c r="N376" s="35"/>
      <c r="U376" s="35"/>
    </row>
    <row r="377" spans="13:21">
      <c r="M377" s="35"/>
      <c r="N377" s="35"/>
      <c r="U377" s="35"/>
    </row>
    <row r="378" spans="13:21">
      <c r="M378" s="35"/>
      <c r="N378" s="35"/>
      <c r="U378" s="35"/>
    </row>
    <row r="379" spans="13:21">
      <c r="M379" s="35"/>
      <c r="N379" s="35"/>
      <c r="U379" s="35"/>
    </row>
    <row r="380" spans="13:21">
      <c r="M380" s="35"/>
      <c r="N380" s="35"/>
      <c r="U380" s="35"/>
    </row>
    <row r="381" spans="13:21">
      <c r="M381" s="35"/>
      <c r="N381" s="35"/>
      <c r="U381" s="35"/>
    </row>
    <row r="382" spans="13:21">
      <c r="M382" s="35"/>
      <c r="N382" s="35"/>
      <c r="U382" s="35"/>
    </row>
    <row r="383" spans="13:21">
      <c r="M383" s="35"/>
      <c r="N383" s="35"/>
      <c r="U383" s="35"/>
    </row>
    <row r="384" spans="13:21">
      <c r="M384" s="35"/>
      <c r="N384" s="35"/>
      <c r="U384" s="35"/>
    </row>
    <row r="385" spans="13:21">
      <c r="M385" s="35"/>
      <c r="N385" s="35"/>
      <c r="U385" s="35"/>
    </row>
    <row r="386" spans="13:21">
      <c r="M386" s="35"/>
      <c r="N386" s="35"/>
      <c r="U386" s="35"/>
    </row>
    <row r="387" spans="13:21">
      <c r="M387" s="35"/>
      <c r="N387" s="35"/>
      <c r="U387" s="35"/>
    </row>
    <row r="388" spans="13:21">
      <c r="M388" s="35"/>
      <c r="N388" s="35"/>
      <c r="U388" s="35"/>
    </row>
    <row r="389" spans="13:21">
      <c r="M389" s="35"/>
      <c r="N389" s="35"/>
      <c r="U389" s="35"/>
    </row>
    <row r="390" spans="13:21">
      <c r="M390" s="35"/>
      <c r="N390" s="35"/>
      <c r="U390" s="35"/>
    </row>
    <row r="391" spans="13:21">
      <c r="M391" s="35"/>
      <c r="N391" s="35"/>
      <c r="U391" s="35"/>
    </row>
    <row r="392" spans="13:21">
      <c r="M392" s="35"/>
      <c r="N392" s="35"/>
      <c r="U392" s="35"/>
    </row>
    <row r="393" spans="13:21">
      <c r="M393" s="35"/>
      <c r="N393" s="35"/>
      <c r="U393" s="35"/>
    </row>
    <row r="394" spans="13:21">
      <c r="M394" s="35"/>
      <c r="N394" s="35"/>
      <c r="U394" s="35"/>
    </row>
    <row r="395" spans="13:21">
      <c r="M395" s="35"/>
      <c r="N395" s="35"/>
      <c r="U395" s="35"/>
    </row>
    <row r="396" spans="13:21">
      <c r="M396" s="35"/>
      <c r="N396" s="35"/>
      <c r="U396" s="35"/>
    </row>
    <row r="397" spans="13:21">
      <c r="M397" s="35"/>
      <c r="N397" s="35"/>
      <c r="U397" s="35"/>
    </row>
    <row r="398" spans="13:21">
      <c r="M398" s="35"/>
      <c r="N398" s="35"/>
      <c r="U398" s="35"/>
    </row>
    <row r="399" spans="13:21">
      <c r="M399" s="35"/>
      <c r="N399" s="35"/>
      <c r="U399" s="35"/>
    </row>
    <row r="400" spans="13:21">
      <c r="M400" s="35"/>
      <c r="N400" s="35"/>
      <c r="U400" s="35"/>
    </row>
    <row r="401" spans="13:21">
      <c r="M401" s="35"/>
      <c r="N401" s="35"/>
      <c r="U401" s="35"/>
    </row>
    <row r="402" spans="13:21">
      <c r="M402" s="35"/>
      <c r="N402" s="35"/>
      <c r="U402" s="35"/>
    </row>
    <row r="403" spans="13:21">
      <c r="M403" s="35"/>
      <c r="N403" s="35"/>
      <c r="U403" s="35"/>
    </row>
    <row r="404" spans="13:21">
      <c r="M404" s="35"/>
      <c r="N404" s="35"/>
      <c r="U404" s="35"/>
    </row>
    <row r="405" spans="13:21">
      <c r="M405" s="35"/>
      <c r="N405" s="35"/>
      <c r="U405" s="35"/>
    </row>
    <row r="406" spans="13:21">
      <c r="M406" s="35"/>
      <c r="N406" s="35"/>
      <c r="U406" s="35"/>
    </row>
    <row r="407" spans="13:21">
      <c r="M407" s="35"/>
      <c r="N407" s="35"/>
      <c r="U407" s="35"/>
    </row>
    <row r="408" spans="13:21">
      <c r="M408" s="35"/>
      <c r="N408" s="35"/>
      <c r="U408" s="35"/>
    </row>
    <row r="409" spans="13:21">
      <c r="M409" s="35"/>
      <c r="N409" s="35"/>
      <c r="U409" s="35"/>
    </row>
    <row r="410" spans="13:21">
      <c r="M410" s="35"/>
      <c r="N410" s="35"/>
      <c r="U410" s="35"/>
    </row>
    <row r="411" spans="13:21">
      <c r="M411" s="35"/>
      <c r="N411" s="35"/>
      <c r="U411" s="35"/>
    </row>
    <row r="412" spans="13:21">
      <c r="M412" s="35"/>
      <c r="N412" s="35"/>
      <c r="U412" s="35"/>
    </row>
    <row r="413" spans="13:21">
      <c r="M413" s="35"/>
      <c r="N413" s="35"/>
      <c r="U413" s="35"/>
    </row>
    <row r="414" spans="13:21">
      <c r="M414" s="35"/>
      <c r="N414" s="35"/>
      <c r="U414" s="35"/>
    </row>
    <row r="415" spans="13:21">
      <c r="M415" s="35"/>
      <c r="N415" s="35"/>
      <c r="U415" s="35"/>
    </row>
    <row r="416" spans="13:21">
      <c r="M416" s="35"/>
      <c r="N416" s="35"/>
      <c r="U416" s="35"/>
    </row>
    <row r="417" spans="13:21">
      <c r="M417" s="35"/>
      <c r="N417" s="35"/>
      <c r="U417" s="35"/>
    </row>
    <row r="418" spans="13:21">
      <c r="M418" s="35"/>
      <c r="N418" s="35"/>
      <c r="U418" s="35"/>
    </row>
    <row r="419" spans="13:21">
      <c r="M419" s="35"/>
      <c r="N419" s="35"/>
      <c r="U419" s="35"/>
    </row>
    <row r="420" spans="13:21">
      <c r="M420" s="35"/>
      <c r="N420" s="35"/>
      <c r="U420" s="35"/>
    </row>
    <row r="421" spans="13:21">
      <c r="M421" s="35"/>
      <c r="N421" s="35"/>
      <c r="U421" s="35"/>
    </row>
    <row r="422" spans="13:21">
      <c r="M422" s="35"/>
      <c r="N422" s="35"/>
      <c r="U422" s="35"/>
    </row>
    <row r="423" spans="13:21">
      <c r="M423" s="35"/>
      <c r="N423" s="35"/>
      <c r="U423" s="35"/>
    </row>
    <row r="424" spans="13:21">
      <c r="M424" s="35"/>
      <c r="N424" s="35"/>
      <c r="U424" s="35"/>
    </row>
    <row r="425" spans="13:21">
      <c r="M425" s="35"/>
      <c r="N425" s="35"/>
      <c r="U425" s="35"/>
    </row>
    <row r="426" spans="13:21">
      <c r="M426" s="35"/>
      <c r="N426" s="35"/>
      <c r="U426" s="35"/>
    </row>
    <row r="427" spans="13:21">
      <c r="M427" s="35"/>
      <c r="N427" s="35"/>
      <c r="U427" s="35"/>
    </row>
    <row r="428" spans="13:21">
      <c r="M428" s="35"/>
      <c r="N428" s="35"/>
      <c r="U428" s="35"/>
    </row>
    <row r="429" spans="13:21">
      <c r="M429" s="35"/>
      <c r="N429" s="35"/>
      <c r="U429" s="35"/>
    </row>
    <row r="430" spans="13:21">
      <c r="M430" s="35"/>
      <c r="N430" s="35"/>
      <c r="U430" s="35"/>
    </row>
    <row r="431" spans="13:21">
      <c r="M431" s="35"/>
      <c r="N431" s="35"/>
      <c r="U431" s="35"/>
    </row>
    <row r="432" spans="13:21">
      <c r="M432" s="35"/>
      <c r="N432" s="35"/>
      <c r="U432" s="35"/>
    </row>
    <row r="433" spans="13:21">
      <c r="M433" s="35"/>
      <c r="N433" s="35"/>
      <c r="U433" s="35"/>
    </row>
    <row r="434" spans="13:21">
      <c r="M434" s="35"/>
      <c r="N434" s="35"/>
      <c r="U434" s="35"/>
    </row>
    <row r="435" spans="13:21">
      <c r="M435" s="35"/>
      <c r="N435" s="35"/>
      <c r="U435" s="35"/>
    </row>
    <row r="436" spans="13:21">
      <c r="M436" s="35"/>
      <c r="N436" s="35"/>
      <c r="U436" s="35"/>
    </row>
    <row r="437" spans="13:21">
      <c r="M437" s="35"/>
      <c r="N437" s="35"/>
      <c r="U437" s="35"/>
    </row>
    <row r="438" spans="13:21">
      <c r="M438" s="35"/>
      <c r="N438" s="35"/>
      <c r="U438" s="35"/>
    </row>
    <row r="439" spans="13:21">
      <c r="M439" s="35"/>
      <c r="N439" s="35"/>
      <c r="U439" s="35"/>
    </row>
    <row r="440" spans="13:21">
      <c r="M440" s="35"/>
      <c r="N440" s="35"/>
      <c r="U440" s="35"/>
    </row>
    <row r="441" spans="13:21">
      <c r="M441" s="35"/>
      <c r="N441" s="35"/>
      <c r="U441" s="35"/>
    </row>
    <row r="442" spans="13:21">
      <c r="M442" s="35"/>
      <c r="N442" s="35"/>
      <c r="U442" s="35"/>
    </row>
    <row r="443" spans="13:21">
      <c r="M443" s="35"/>
      <c r="N443" s="35"/>
      <c r="U443" s="35"/>
    </row>
    <row r="444" spans="13:21">
      <c r="M444" s="35"/>
      <c r="N444" s="35"/>
      <c r="U444" s="35"/>
    </row>
    <row r="445" spans="13:21">
      <c r="M445" s="35"/>
      <c r="N445" s="35"/>
      <c r="U445" s="35"/>
    </row>
    <row r="446" spans="13:21">
      <c r="M446" s="35"/>
      <c r="N446" s="35"/>
      <c r="U446" s="35"/>
    </row>
    <row r="447" spans="13:21">
      <c r="M447" s="35"/>
      <c r="N447" s="35"/>
      <c r="U447" s="35"/>
    </row>
    <row r="448" spans="13:21">
      <c r="M448" s="35"/>
      <c r="N448" s="35"/>
      <c r="U448" s="35"/>
    </row>
    <row r="449" spans="13:21">
      <c r="M449" s="35"/>
      <c r="N449" s="35"/>
      <c r="U449" s="35"/>
    </row>
    <row r="450" spans="13:21">
      <c r="M450" s="35"/>
      <c r="N450" s="35"/>
      <c r="U450" s="35"/>
    </row>
    <row r="451" spans="13:21">
      <c r="M451" s="35"/>
      <c r="N451" s="35"/>
      <c r="U451" s="35"/>
    </row>
    <row r="452" spans="13:21">
      <c r="M452" s="35"/>
      <c r="N452" s="35"/>
      <c r="U452" s="35"/>
    </row>
    <row r="453" spans="13:21">
      <c r="M453" s="35"/>
      <c r="N453" s="35"/>
      <c r="U453" s="35"/>
    </row>
    <row r="454" spans="13:21">
      <c r="M454" s="35"/>
      <c r="N454" s="35"/>
      <c r="U454" s="35"/>
    </row>
    <row r="455" spans="13:21">
      <c r="M455" s="35"/>
      <c r="N455" s="35"/>
      <c r="U455" s="35"/>
    </row>
    <row r="456" spans="13:21">
      <c r="M456" s="35"/>
      <c r="N456" s="35"/>
      <c r="U456" s="35"/>
    </row>
    <row r="457" spans="13:21">
      <c r="M457" s="35"/>
      <c r="N457" s="35"/>
      <c r="U457" s="35"/>
    </row>
    <row r="458" spans="13:21">
      <c r="M458" s="35"/>
      <c r="N458" s="35"/>
      <c r="U458" s="35"/>
    </row>
    <row r="459" spans="13:21">
      <c r="M459" s="35"/>
      <c r="N459" s="35"/>
      <c r="U459" s="35"/>
    </row>
    <row r="460" spans="13:21">
      <c r="M460" s="35"/>
      <c r="N460" s="35"/>
      <c r="U460" s="35"/>
    </row>
    <row r="461" spans="13:21">
      <c r="M461" s="35"/>
      <c r="N461" s="35"/>
      <c r="U461" s="35"/>
    </row>
    <row r="462" spans="13:21">
      <c r="M462" s="35"/>
      <c r="N462" s="35"/>
      <c r="U462" s="35"/>
    </row>
    <row r="463" spans="13:21">
      <c r="M463" s="35"/>
      <c r="N463" s="35"/>
      <c r="U463" s="35"/>
    </row>
    <row r="464" spans="13:21">
      <c r="M464" s="35"/>
      <c r="N464" s="35"/>
      <c r="U464" s="35"/>
    </row>
    <row r="465" spans="13:21">
      <c r="M465" s="35"/>
      <c r="N465" s="35"/>
      <c r="U465" s="35"/>
    </row>
    <row r="466" spans="13:21">
      <c r="M466" s="35"/>
      <c r="N466" s="35"/>
      <c r="U466" s="35"/>
    </row>
    <row r="467" spans="13:21">
      <c r="M467" s="35"/>
      <c r="N467" s="35"/>
      <c r="U467" s="35"/>
    </row>
    <row r="468" spans="13:21">
      <c r="M468" s="35"/>
      <c r="N468" s="35"/>
      <c r="U468" s="35"/>
    </row>
    <row r="469" spans="13:21">
      <c r="M469" s="35"/>
      <c r="N469" s="35"/>
      <c r="U469" s="35"/>
    </row>
    <row r="470" spans="13:21">
      <c r="M470" s="35"/>
      <c r="N470" s="35"/>
      <c r="U470" s="35"/>
    </row>
    <row r="471" spans="13:21">
      <c r="M471" s="35"/>
      <c r="N471" s="35"/>
      <c r="U471" s="35"/>
    </row>
    <row r="472" spans="13:21">
      <c r="M472" s="35"/>
      <c r="N472" s="35"/>
      <c r="U472" s="35"/>
    </row>
    <row r="473" spans="13:21">
      <c r="M473" s="35"/>
      <c r="N473" s="35"/>
      <c r="U473" s="35"/>
    </row>
    <row r="474" spans="13:21">
      <c r="M474" s="35"/>
      <c r="N474" s="35"/>
      <c r="U474" s="35"/>
    </row>
    <row r="475" spans="13:21">
      <c r="M475" s="35"/>
      <c r="N475" s="35"/>
      <c r="U475" s="35"/>
    </row>
    <row r="476" spans="13:21">
      <c r="M476" s="35"/>
      <c r="N476" s="35"/>
      <c r="U476" s="35"/>
    </row>
    <row r="477" spans="13:21">
      <c r="M477" s="35"/>
      <c r="N477" s="35"/>
      <c r="U477" s="35"/>
    </row>
    <row r="478" spans="13:21">
      <c r="M478" s="35"/>
      <c r="N478" s="35"/>
      <c r="U478" s="35"/>
    </row>
    <row r="479" spans="13:21">
      <c r="M479" s="35"/>
      <c r="N479" s="35"/>
      <c r="U479" s="35"/>
    </row>
    <row r="480" spans="13:21">
      <c r="M480" s="35"/>
      <c r="N480" s="35"/>
      <c r="U480" s="35"/>
    </row>
    <row r="481" spans="13:21">
      <c r="M481" s="35"/>
      <c r="N481" s="35"/>
      <c r="U481" s="35"/>
    </row>
    <row r="482" spans="13:21">
      <c r="M482" s="35"/>
      <c r="N482" s="35"/>
      <c r="U482" s="35"/>
    </row>
    <row r="483" spans="13:21">
      <c r="M483" s="35"/>
      <c r="N483" s="35"/>
      <c r="U483" s="35"/>
    </row>
    <row r="484" spans="13:21">
      <c r="M484" s="35"/>
      <c r="N484" s="35"/>
      <c r="U484" s="35"/>
    </row>
    <row r="485" spans="13:21">
      <c r="M485" s="35"/>
      <c r="N485" s="35"/>
      <c r="U485" s="35"/>
    </row>
    <row r="486" spans="13:21">
      <c r="M486" s="35"/>
      <c r="N486" s="35"/>
      <c r="U486" s="35"/>
    </row>
    <row r="487" spans="13:21">
      <c r="M487" s="35"/>
      <c r="N487" s="35"/>
      <c r="U487" s="35"/>
    </row>
    <row r="488" spans="13:21">
      <c r="M488" s="35"/>
      <c r="N488" s="35"/>
      <c r="U488" s="35"/>
    </row>
    <row r="489" spans="13:21">
      <c r="M489" s="35"/>
      <c r="N489" s="35"/>
      <c r="U489" s="35"/>
    </row>
    <row r="490" spans="13:21">
      <c r="M490" s="35"/>
      <c r="N490" s="35"/>
      <c r="U490" s="35"/>
    </row>
    <row r="491" spans="13:21">
      <c r="M491" s="35"/>
      <c r="N491" s="35"/>
      <c r="U491" s="35"/>
    </row>
    <row r="492" spans="13:21">
      <c r="M492" s="35"/>
      <c r="N492" s="35"/>
      <c r="U492" s="35"/>
    </row>
    <row r="493" spans="13:21">
      <c r="M493" s="35"/>
      <c r="N493" s="35"/>
      <c r="U493" s="35"/>
    </row>
    <row r="494" spans="13:21">
      <c r="M494" s="35"/>
      <c r="N494" s="35"/>
      <c r="U494" s="35"/>
    </row>
    <row r="495" spans="13:21">
      <c r="M495" s="35"/>
      <c r="N495" s="35"/>
      <c r="U495" s="35"/>
    </row>
    <row r="496" spans="13:21">
      <c r="M496" s="35"/>
      <c r="N496" s="35"/>
      <c r="U496" s="35"/>
    </row>
    <row r="497" spans="13:21">
      <c r="M497" s="35"/>
      <c r="N497" s="35"/>
      <c r="U497" s="35"/>
    </row>
    <row r="498" spans="13:21">
      <c r="M498" s="35"/>
      <c r="N498" s="35"/>
      <c r="U498" s="35"/>
    </row>
    <row r="499" spans="13:21">
      <c r="M499" s="35"/>
      <c r="N499" s="35"/>
      <c r="U499" s="35"/>
    </row>
    <row r="500" spans="13:21">
      <c r="M500" s="35"/>
      <c r="N500" s="35"/>
      <c r="U500" s="35"/>
    </row>
    <row r="501" spans="13:21">
      <c r="M501" s="35"/>
      <c r="N501" s="35"/>
      <c r="U501" s="35"/>
    </row>
    <row r="502" spans="13:21">
      <c r="M502" s="35"/>
      <c r="N502" s="35"/>
      <c r="U502" s="35"/>
    </row>
    <row r="503" spans="13:21">
      <c r="M503" s="35"/>
      <c r="N503" s="35"/>
      <c r="U503" s="35"/>
    </row>
    <row r="504" spans="13:21">
      <c r="M504" s="35"/>
      <c r="N504" s="35"/>
      <c r="U504" s="35"/>
    </row>
    <row r="505" spans="13:21">
      <c r="M505" s="35"/>
      <c r="N505" s="35"/>
      <c r="U505" s="35"/>
    </row>
    <row r="506" spans="13:21">
      <c r="M506" s="35"/>
      <c r="N506" s="35"/>
      <c r="U506" s="35"/>
    </row>
    <row r="507" spans="13:21">
      <c r="M507" s="35"/>
      <c r="N507" s="35"/>
      <c r="U507" s="35"/>
    </row>
    <row r="508" spans="13:21">
      <c r="M508" s="35"/>
      <c r="N508" s="35"/>
      <c r="U508" s="35"/>
    </row>
    <row r="509" spans="13:21">
      <c r="M509" s="35"/>
      <c r="N509" s="35"/>
      <c r="U509" s="35"/>
    </row>
    <row r="510" spans="13:21">
      <c r="M510" s="35"/>
      <c r="N510" s="35"/>
      <c r="U510" s="35"/>
    </row>
    <row r="511" spans="13:21">
      <c r="M511" s="35"/>
      <c r="N511" s="35"/>
      <c r="U511" s="35"/>
    </row>
    <row r="512" spans="13:21">
      <c r="M512" s="35"/>
      <c r="N512" s="35"/>
      <c r="U512" s="35"/>
    </row>
    <row r="513" spans="13:21">
      <c r="M513" s="35"/>
      <c r="N513" s="35"/>
      <c r="U513" s="35"/>
    </row>
    <row r="514" spans="13:21">
      <c r="M514" s="35"/>
      <c r="N514" s="35"/>
      <c r="U514" s="35"/>
    </row>
    <row r="515" spans="13:21">
      <c r="M515" s="35"/>
      <c r="N515" s="35"/>
      <c r="U515" s="35"/>
    </row>
    <row r="516" spans="13:21">
      <c r="M516" s="35"/>
      <c r="N516" s="35"/>
      <c r="U516" s="35"/>
    </row>
    <row r="517" spans="13:21">
      <c r="M517" s="35"/>
      <c r="N517" s="35"/>
      <c r="U517" s="35"/>
    </row>
    <row r="518" spans="13:21">
      <c r="M518" s="35"/>
      <c r="N518" s="35"/>
      <c r="U518" s="35"/>
    </row>
    <row r="519" spans="13:21">
      <c r="M519" s="35"/>
      <c r="N519" s="35"/>
      <c r="U519" s="35"/>
    </row>
    <row r="520" spans="13:21">
      <c r="M520" s="35"/>
      <c r="N520" s="35"/>
      <c r="U520" s="35"/>
    </row>
    <row r="521" spans="13:21">
      <c r="M521" s="35"/>
      <c r="N521" s="35"/>
      <c r="U521" s="35"/>
    </row>
    <row r="522" spans="13:21">
      <c r="M522" s="35"/>
      <c r="N522" s="35"/>
      <c r="U522" s="35"/>
    </row>
    <row r="523" spans="13:21">
      <c r="M523" s="35"/>
      <c r="N523" s="35"/>
      <c r="U523" s="35"/>
    </row>
    <row r="524" spans="13:21">
      <c r="M524" s="35"/>
      <c r="N524" s="35"/>
      <c r="U524" s="35"/>
    </row>
    <row r="525" spans="13:21">
      <c r="M525" s="35"/>
      <c r="N525" s="35"/>
      <c r="U525" s="35"/>
    </row>
    <row r="526" spans="13:21">
      <c r="M526" s="35"/>
      <c r="N526" s="35"/>
      <c r="U526" s="35"/>
    </row>
    <row r="527" spans="13:21">
      <c r="M527" s="35"/>
      <c r="N527" s="35"/>
      <c r="U527" s="35"/>
    </row>
    <row r="528" spans="13:21">
      <c r="M528" s="35"/>
      <c r="N528" s="35"/>
      <c r="U528" s="35"/>
    </row>
    <row r="529" spans="13:21">
      <c r="M529" s="35"/>
      <c r="N529" s="35"/>
      <c r="U529" s="35"/>
    </row>
    <row r="530" spans="13:21">
      <c r="M530" s="35"/>
      <c r="N530" s="35"/>
      <c r="U530" s="35"/>
    </row>
    <row r="531" spans="13:21">
      <c r="M531" s="35"/>
      <c r="N531" s="35"/>
      <c r="U531" s="35"/>
    </row>
    <row r="532" spans="13:21">
      <c r="M532" s="35"/>
      <c r="N532" s="35"/>
      <c r="U532" s="35"/>
    </row>
    <row r="533" spans="13:21">
      <c r="M533" s="35"/>
      <c r="N533" s="35"/>
      <c r="U533" s="35"/>
    </row>
    <row r="534" spans="13:21">
      <c r="M534" s="35"/>
      <c r="N534" s="35"/>
      <c r="U534" s="35"/>
    </row>
    <row r="535" spans="13:21">
      <c r="M535" s="35"/>
      <c r="N535" s="35"/>
      <c r="U535" s="35"/>
    </row>
    <row r="536" spans="13:21">
      <c r="M536" s="35"/>
      <c r="N536" s="35"/>
      <c r="U536" s="35"/>
    </row>
    <row r="537" spans="13:21">
      <c r="M537" s="35"/>
      <c r="N537" s="35"/>
      <c r="U537" s="35"/>
    </row>
    <row r="538" spans="13:21">
      <c r="M538" s="35"/>
      <c r="N538" s="35"/>
      <c r="U538" s="35"/>
    </row>
    <row r="539" spans="13:21">
      <c r="M539" s="35"/>
      <c r="N539" s="35"/>
      <c r="U539" s="35"/>
    </row>
    <row r="540" spans="13:21">
      <c r="M540" s="35"/>
      <c r="N540" s="35"/>
      <c r="U540" s="35"/>
    </row>
    <row r="541" spans="13:21">
      <c r="M541" s="35"/>
      <c r="N541" s="35"/>
      <c r="U541" s="35"/>
    </row>
    <row r="542" spans="13:21">
      <c r="M542" s="35"/>
      <c r="N542" s="35"/>
      <c r="U542" s="35"/>
    </row>
    <row r="543" spans="13:21">
      <c r="M543" s="35"/>
      <c r="N543" s="35"/>
      <c r="U543" s="35"/>
    </row>
    <row r="544" spans="13:21">
      <c r="M544" s="35"/>
      <c r="N544" s="35"/>
      <c r="U544" s="35"/>
    </row>
    <row r="545" spans="13:21">
      <c r="M545" s="35"/>
      <c r="N545" s="35"/>
      <c r="U545" s="35"/>
    </row>
    <row r="546" spans="13:21">
      <c r="M546" s="35"/>
      <c r="N546" s="35"/>
      <c r="U546" s="35"/>
    </row>
    <row r="547" spans="13:21">
      <c r="M547" s="35"/>
      <c r="N547" s="35"/>
      <c r="U547" s="35"/>
    </row>
    <row r="548" spans="13:21">
      <c r="M548" s="35"/>
      <c r="N548" s="35"/>
      <c r="U548" s="35"/>
    </row>
    <row r="549" spans="13:21">
      <c r="M549" s="35"/>
      <c r="N549" s="35"/>
      <c r="U549" s="35"/>
    </row>
    <row r="550" spans="13:21">
      <c r="M550" s="35"/>
      <c r="N550" s="35"/>
      <c r="U550" s="35"/>
    </row>
    <row r="551" spans="13:21">
      <c r="M551" s="35"/>
      <c r="N551" s="35"/>
      <c r="U551" s="35"/>
    </row>
    <row r="552" spans="13:21">
      <c r="M552" s="35"/>
      <c r="N552" s="35"/>
      <c r="U552" s="35"/>
    </row>
    <row r="553" spans="13:21">
      <c r="M553" s="35"/>
      <c r="N553" s="35"/>
      <c r="U553" s="35"/>
    </row>
    <row r="554" spans="13:21">
      <c r="M554" s="35"/>
      <c r="N554" s="35"/>
      <c r="U554" s="35"/>
    </row>
    <row r="555" spans="13:21">
      <c r="M555" s="35"/>
      <c r="N555" s="35"/>
      <c r="U555" s="35"/>
    </row>
    <row r="556" spans="13:21">
      <c r="M556" s="35"/>
      <c r="N556" s="35"/>
      <c r="U556" s="35"/>
    </row>
    <row r="557" spans="13:21">
      <c r="M557" s="35"/>
      <c r="N557" s="35"/>
      <c r="U557" s="35"/>
    </row>
    <row r="558" spans="13:21">
      <c r="M558" s="35"/>
      <c r="N558" s="35"/>
      <c r="U558" s="35"/>
    </row>
    <row r="559" spans="13:21">
      <c r="M559" s="35"/>
      <c r="N559" s="35"/>
      <c r="U559" s="35"/>
    </row>
    <row r="560" spans="13:21">
      <c r="M560" s="35"/>
      <c r="N560" s="35"/>
      <c r="U560" s="35"/>
    </row>
    <row r="561" spans="13:21">
      <c r="M561" s="35"/>
      <c r="N561" s="35"/>
      <c r="U561" s="35"/>
    </row>
    <row r="562" spans="13:21">
      <c r="M562" s="35"/>
      <c r="N562" s="35"/>
      <c r="U562" s="35"/>
    </row>
    <row r="563" spans="13:21">
      <c r="M563" s="35"/>
      <c r="N563" s="35"/>
      <c r="U563" s="35"/>
    </row>
    <row r="564" spans="13:21">
      <c r="M564" s="35"/>
      <c r="N564" s="35"/>
      <c r="U564" s="35"/>
    </row>
    <row r="565" spans="13:21">
      <c r="M565" s="35"/>
      <c r="N565" s="35"/>
      <c r="U565" s="35"/>
    </row>
    <row r="566" spans="13:21">
      <c r="M566" s="35"/>
      <c r="N566" s="35"/>
      <c r="U566" s="35"/>
    </row>
    <row r="567" spans="13:21">
      <c r="M567" s="35"/>
      <c r="N567" s="35"/>
      <c r="U567" s="35"/>
    </row>
    <row r="568" spans="13:21">
      <c r="M568" s="35"/>
      <c r="N568" s="35"/>
      <c r="U568" s="35"/>
    </row>
    <row r="569" spans="13:21">
      <c r="M569" s="35"/>
      <c r="N569" s="35"/>
      <c r="U569" s="35"/>
    </row>
    <row r="570" spans="13:21">
      <c r="M570" s="35"/>
      <c r="N570" s="35"/>
      <c r="U570" s="35"/>
    </row>
    <row r="571" spans="13:21">
      <c r="M571" s="35"/>
      <c r="N571" s="35"/>
      <c r="U571" s="35"/>
    </row>
    <row r="572" spans="13:21">
      <c r="M572" s="35"/>
      <c r="N572" s="35"/>
      <c r="U572" s="35"/>
    </row>
    <row r="573" spans="13:21">
      <c r="M573" s="35"/>
      <c r="N573" s="35"/>
      <c r="U573" s="35"/>
    </row>
    <row r="574" spans="13:21">
      <c r="M574" s="35"/>
      <c r="N574" s="35"/>
      <c r="U574" s="35"/>
    </row>
    <row r="575" spans="13:21">
      <c r="M575" s="35"/>
      <c r="N575" s="35"/>
      <c r="U575" s="35"/>
    </row>
    <row r="576" spans="13:21">
      <c r="M576" s="35"/>
      <c r="N576" s="35"/>
      <c r="U576" s="35"/>
    </row>
    <row r="577" spans="13:21">
      <c r="M577" s="35"/>
      <c r="N577" s="35"/>
      <c r="U577" s="35"/>
    </row>
    <row r="578" spans="13:21">
      <c r="M578" s="35"/>
      <c r="N578" s="35"/>
      <c r="U578" s="35"/>
    </row>
    <row r="579" spans="13:21">
      <c r="M579" s="35"/>
      <c r="N579" s="35"/>
      <c r="U579" s="35"/>
    </row>
    <row r="580" spans="13:21">
      <c r="M580" s="35"/>
      <c r="N580" s="35"/>
      <c r="U580" s="35"/>
    </row>
    <row r="581" spans="13:21">
      <c r="M581" s="35"/>
      <c r="N581" s="35"/>
      <c r="U581" s="35"/>
    </row>
    <row r="582" spans="13:21">
      <c r="M582" s="35"/>
      <c r="N582" s="35"/>
      <c r="U582" s="35"/>
    </row>
    <row r="583" spans="13:21">
      <c r="M583" s="35"/>
      <c r="N583" s="35"/>
      <c r="U583" s="35"/>
    </row>
    <row r="584" spans="13:21">
      <c r="M584" s="35"/>
      <c r="N584" s="35"/>
      <c r="U584" s="35"/>
    </row>
    <row r="585" spans="13:21">
      <c r="M585" s="35"/>
      <c r="N585" s="35"/>
      <c r="U585" s="35"/>
    </row>
    <row r="586" spans="13:21">
      <c r="M586" s="35"/>
      <c r="N586" s="35"/>
      <c r="U586" s="35"/>
    </row>
    <row r="587" spans="13:21">
      <c r="M587" s="35"/>
      <c r="N587" s="35"/>
      <c r="U587" s="35"/>
    </row>
    <row r="588" spans="13:21">
      <c r="M588" s="35"/>
      <c r="N588" s="35"/>
      <c r="U588" s="35"/>
    </row>
    <row r="589" spans="13:21">
      <c r="M589" s="35"/>
      <c r="N589" s="35"/>
      <c r="U589" s="35"/>
    </row>
    <row r="590" spans="13:21">
      <c r="M590" s="35"/>
      <c r="N590" s="35"/>
      <c r="U590" s="35"/>
    </row>
    <row r="591" spans="13:21">
      <c r="M591" s="35"/>
      <c r="N591" s="35"/>
      <c r="U591" s="35"/>
    </row>
    <row r="592" spans="13:21">
      <c r="M592" s="35"/>
      <c r="N592" s="35"/>
      <c r="U592" s="35"/>
    </row>
    <row r="593" spans="13:21">
      <c r="M593" s="35"/>
      <c r="N593" s="35"/>
      <c r="U593" s="35"/>
    </row>
    <row r="594" spans="13:21">
      <c r="M594" s="35"/>
      <c r="N594" s="35"/>
      <c r="U594" s="35"/>
    </row>
    <row r="595" spans="13:21">
      <c r="M595" s="35"/>
      <c r="N595" s="35"/>
      <c r="U595" s="35"/>
    </row>
    <row r="596" spans="13:21">
      <c r="M596" s="35"/>
      <c r="N596" s="35"/>
      <c r="U596" s="35"/>
    </row>
    <row r="597" spans="13:21">
      <c r="M597" s="35"/>
      <c r="N597" s="35"/>
      <c r="U597" s="35"/>
    </row>
    <row r="598" spans="13:21">
      <c r="M598" s="35"/>
      <c r="N598" s="35"/>
      <c r="U598" s="35"/>
    </row>
    <row r="599" spans="13:21">
      <c r="M599" s="35"/>
      <c r="N599" s="35"/>
      <c r="U599" s="35"/>
    </row>
    <row r="600" spans="13:21">
      <c r="M600" s="35"/>
      <c r="N600" s="35"/>
      <c r="U600" s="35"/>
    </row>
    <row r="601" spans="13:21">
      <c r="M601" s="35"/>
      <c r="N601" s="35"/>
      <c r="U601" s="35"/>
    </row>
    <row r="602" spans="13:21">
      <c r="M602" s="35"/>
      <c r="N602" s="35"/>
      <c r="U602" s="35"/>
    </row>
    <row r="603" spans="13:21">
      <c r="M603" s="35"/>
      <c r="N603" s="35"/>
      <c r="U603" s="35"/>
    </row>
    <row r="604" spans="13:21">
      <c r="M604" s="35"/>
      <c r="N604" s="35"/>
      <c r="U604" s="35"/>
    </row>
    <row r="605" spans="13:21">
      <c r="M605" s="35"/>
      <c r="N605" s="35"/>
      <c r="U605" s="35"/>
    </row>
    <row r="606" spans="13:21">
      <c r="M606" s="35"/>
      <c r="N606" s="35"/>
      <c r="U606" s="35"/>
    </row>
    <row r="607" spans="13:21">
      <c r="M607" s="35"/>
      <c r="N607" s="35"/>
      <c r="U607" s="35"/>
    </row>
    <row r="608" spans="13:21">
      <c r="M608" s="35"/>
      <c r="N608" s="35"/>
      <c r="U608" s="35"/>
    </row>
    <row r="609" spans="13:21">
      <c r="M609" s="35"/>
      <c r="N609" s="35"/>
      <c r="U609" s="35"/>
    </row>
    <row r="610" spans="13:21">
      <c r="M610" s="35"/>
      <c r="N610" s="35"/>
      <c r="U610" s="35"/>
    </row>
    <row r="611" spans="13:21">
      <c r="M611" s="35"/>
      <c r="N611" s="35"/>
      <c r="U611" s="35"/>
    </row>
    <row r="612" spans="13:21">
      <c r="M612" s="35"/>
      <c r="N612" s="35"/>
      <c r="U612" s="35"/>
    </row>
    <row r="613" spans="13:21">
      <c r="M613" s="35"/>
      <c r="N613" s="35"/>
      <c r="U613" s="35"/>
    </row>
    <row r="614" spans="13:21">
      <c r="M614" s="35"/>
      <c r="N614" s="35"/>
      <c r="U614" s="35"/>
    </row>
    <row r="615" spans="13:21">
      <c r="M615" s="35"/>
      <c r="N615" s="35"/>
      <c r="U615" s="35"/>
    </row>
    <row r="616" spans="13:21">
      <c r="M616" s="35"/>
      <c r="N616" s="35"/>
      <c r="U616" s="35"/>
    </row>
    <row r="617" spans="13:21">
      <c r="M617" s="35"/>
      <c r="N617" s="35"/>
      <c r="U617" s="35"/>
    </row>
    <row r="618" spans="13:21">
      <c r="M618" s="35"/>
      <c r="N618" s="35"/>
      <c r="U618" s="35"/>
    </row>
    <row r="619" spans="13:21">
      <c r="M619" s="35"/>
      <c r="N619" s="35"/>
      <c r="U619" s="35"/>
    </row>
    <row r="620" spans="13:21">
      <c r="M620" s="35"/>
      <c r="N620" s="35"/>
      <c r="U620" s="35"/>
    </row>
    <row r="621" spans="13:21">
      <c r="M621" s="35"/>
      <c r="N621" s="35"/>
      <c r="U621" s="35"/>
    </row>
    <row r="622" spans="13:21">
      <c r="M622" s="35"/>
      <c r="N622" s="35"/>
      <c r="U622" s="35"/>
    </row>
    <row r="623" spans="13:21">
      <c r="M623" s="35"/>
      <c r="N623" s="35"/>
      <c r="U623" s="35"/>
    </row>
    <row r="624" spans="13:21">
      <c r="M624" s="35"/>
      <c r="N624" s="35"/>
      <c r="U624" s="35"/>
    </row>
    <row r="625" spans="13:21">
      <c r="M625" s="35"/>
      <c r="N625" s="35"/>
      <c r="U625" s="35"/>
    </row>
    <row r="626" spans="13:21">
      <c r="M626" s="35"/>
      <c r="N626" s="35"/>
      <c r="U626" s="35"/>
    </row>
    <row r="627" spans="13:21">
      <c r="M627" s="35"/>
      <c r="N627" s="35"/>
      <c r="U627" s="35"/>
    </row>
    <row r="628" spans="13:21">
      <c r="M628" s="35"/>
      <c r="N628" s="35"/>
      <c r="U628" s="35"/>
    </row>
    <row r="629" spans="13:21">
      <c r="M629" s="35"/>
      <c r="N629" s="35"/>
      <c r="U629" s="35"/>
    </row>
    <row r="630" spans="13:21">
      <c r="M630" s="35"/>
      <c r="N630" s="35"/>
      <c r="U630" s="35"/>
    </row>
    <row r="631" spans="13:21">
      <c r="M631" s="35"/>
      <c r="N631" s="35"/>
      <c r="U631" s="35"/>
    </row>
    <row r="632" spans="13:21">
      <c r="M632" s="35"/>
      <c r="N632" s="35"/>
      <c r="U632" s="35"/>
    </row>
    <row r="633" spans="13:21">
      <c r="M633" s="35"/>
      <c r="N633" s="35"/>
      <c r="U633" s="35"/>
    </row>
    <row r="634" spans="13:21">
      <c r="M634" s="35"/>
      <c r="N634" s="35"/>
      <c r="U634" s="35"/>
    </row>
    <row r="635" spans="13:21">
      <c r="M635" s="35"/>
      <c r="N635" s="35"/>
      <c r="U635" s="35"/>
    </row>
    <row r="636" spans="13:21">
      <c r="M636" s="35"/>
      <c r="N636" s="35"/>
      <c r="U636" s="35"/>
    </row>
    <row r="637" spans="13:21">
      <c r="M637" s="35"/>
      <c r="N637" s="35"/>
      <c r="U637" s="35"/>
    </row>
    <row r="638" spans="13:21">
      <c r="M638" s="35"/>
      <c r="N638" s="35"/>
      <c r="U638" s="35"/>
    </row>
    <row r="639" spans="13:21">
      <c r="M639" s="35"/>
      <c r="N639" s="35"/>
      <c r="U639" s="35"/>
    </row>
    <row r="640" spans="13:21">
      <c r="M640" s="35"/>
      <c r="N640" s="35"/>
      <c r="U640" s="35"/>
    </row>
    <row r="641" spans="13:21">
      <c r="M641" s="35"/>
      <c r="N641" s="35"/>
      <c r="U641" s="35"/>
    </row>
    <row r="642" spans="13:21">
      <c r="M642" s="35"/>
      <c r="N642" s="35"/>
      <c r="U642" s="35"/>
    </row>
    <row r="643" spans="13:21">
      <c r="M643" s="35"/>
      <c r="N643" s="35"/>
      <c r="U643" s="35"/>
    </row>
    <row r="644" spans="13:21">
      <c r="M644" s="35"/>
      <c r="N644" s="35"/>
      <c r="U644" s="35"/>
    </row>
  </sheetData>
  <mergeCells count="40">
    <mergeCell ref="A16:A20"/>
    <mergeCell ref="B7:B8"/>
    <mergeCell ref="AJ2:AJ3"/>
    <mergeCell ref="AL2:AL3"/>
    <mergeCell ref="B18:B20"/>
    <mergeCell ref="B6:C6"/>
    <mergeCell ref="B1:B3"/>
    <mergeCell ref="C1:C3"/>
    <mergeCell ref="B11:B15"/>
    <mergeCell ref="A9:A15"/>
    <mergeCell ref="AN1:AP2"/>
    <mergeCell ref="B10:C10"/>
    <mergeCell ref="AA2:AA3"/>
    <mergeCell ref="A5:A8"/>
    <mergeCell ref="AC2:AC3"/>
    <mergeCell ref="E1:E3"/>
    <mergeCell ref="AI2:AI3"/>
    <mergeCell ref="AK2:AK3"/>
    <mergeCell ref="M1:M3"/>
    <mergeCell ref="N2:T2"/>
    <mergeCell ref="AM2:AM3"/>
    <mergeCell ref="B9:D9"/>
    <mergeCell ref="AB2:AB3"/>
    <mergeCell ref="B17:C17"/>
    <mergeCell ref="AD2:AD3"/>
    <mergeCell ref="AF2:AF3"/>
    <mergeCell ref="B5:D5"/>
    <mergeCell ref="B16:D16"/>
    <mergeCell ref="AB1:AM1"/>
    <mergeCell ref="G1:L2"/>
    <mergeCell ref="V2:Z2"/>
    <mergeCell ref="A4:D4"/>
    <mergeCell ref="AE2:AE3"/>
    <mergeCell ref="U2:U3"/>
    <mergeCell ref="AG2:AG3"/>
    <mergeCell ref="D1:D3"/>
    <mergeCell ref="F1:F3"/>
    <mergeCell ref="AH2:AH3"/>
    <mergeCell ref="A1:A3"/>
    <mergeCell ref="N1:AA1"/>
  </mergeCells>
  <phoneticPr fontId="4" type="noConversion"/>
  <pageMargins left="0.19685039370078741" right="0.19685039370078741" top="0.59055118110236215" bottom="0.39370078740157483" header="0" footer="0"/>
  <pageSetup paperSize="12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2년제학위(종합)</vt:lpstr>
      <vt:lpstr>학과별취업현황(종합)</vt:lpstr>
      <vt:lpstr>학위</vt:lpstr>
      <vt:lpstr>P-TECH</vt:lpstr>
      <vt:lpstr>심화</vt:lpstr>
      <vt:lpstr>'2년제학위(종합)'!Print_Area</vt:lpstr>
      <vt:lpstr>'학과별취업현황(종합)'!Print_Titles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NEWKL1</cp:lastModifiedBy>
  <cp:lastPrinted>2025-01-16T09:57:37Z</cp:lastPrinted>
  <dcterms:created xsi:type="dcterms:W3CDTF">2024-08-27T06:46:54Z</dcterms:created>
  <dcterms:modified xsi:type="dcterms:W3CDTF">2026-01-22T09:04:48Z</dcterms:modified>
</cp:coreProperties>
</file>